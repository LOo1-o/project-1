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73"/>
  </bookViews>
  <sheets>
    <sheet name="T28" sheetId="1" r:id="rId1"/>
  </sheets>
  <definedNames>
    <definedName name="_xlnm._FilterDatabase" localSheetId="0" hidden="1">'T28'!$A$7:$BZ$66</definedName>
    <definedName name="ExternalData_1" localSheetId="0">'T28'!$A$8:$Z$66</definedName>
    <definedName name="_xlnm.Print_Titles" localSheetId="0">'T28'!$A:$B,'T28'!$4:$7</definedName>
  </definedNames>
  <calcPr calcId="125725"/>
</workbook>
</file>

<file path=xl/calcChain.xml><?xml version="1.0" encoding="utf-8"?>
<calcChain xmlns="http://schemas.openxmlformats.org/spreadsheetml/2006/main">
  <c r="AZ10" i="1"/>
  <c r="BA10"/>
  <c r="BB10"/>
  <c r="BC10"/>
  <c r="BD10"/>
  <c r="BE10"/>
  <c r="BF10"/>
  <c r="BG10"/>
  <c r="AZ11"/>
  <c r="BA11"/>
  <c r="BB11"/>
  <c r="BC11"/>
  <c r="BD11"/>
  <c r="BE11"/>
  <c r="BF11"/>
  <c r="BG11"/>
  <c r="AZ12"/>
  <c r="BA12"/>
  <c r="BB12"/>
  <c r="BC12"/>
  <c r="BD12"/>
  <c r="BE12"/>
  <c r="BF12"/>
  <c r="BG12"/>
  <c r="AZ13"/>
  <c r="BA13"/>
  <c r="BB13"/>
  <c r="BC13"/>
  <c r="BD13"/>
  <c r="BE13"/>
  <c r="BF13"/>
  <c r="BG13"/>
  <c r="AZ14"/>
  <c r="BA14"/>
  <c r="BB14"/>
  <c r="BC14"/>
  <c r="BD14"/>
  <c r="BE14"/>
  <c r="BF14"/>
  <c r="BG14"/>
  <c r="AZ15"/>
  <c r="BA15"/>
  <c r="BB15"/>
  <c r="BC15"/>
  <c r="BD15"/>
  <c r="BE15"/>
  <c r="BF15"/>
  <c r="BG15"/>
  <c r="AZ16"/>
  <c r="BA16"/>
  <c r="BB16"/>
  <c r="BC16"/>
  <c r="BD16"/>
  <c r="BE16"/>
  <c r="BF16"/>
  <c r="BG16"/>
  <c r="AZ17"/>
  <c r="BA17"/>
  <c r="BB17"/>
  <c r="BC17"/>
  <c r="BD17"/>
  <c r="BE17"/>
  <c r="BF17"/>
  <c r="BG17"/>
  <c r="AZ18"/>
  <c r="BA18"/>
  <c r="BB18"/>
  <c r="BC18"/>
  <c r="BD18"/>
  <c r="BE18"/>
  <c r="BF18"/>
  <c r="BG18"/>
  <c r="AZ19"/>
  <c r="BA19"/>
  <c r="BB19"/>
  <c r="BC19"/>
  <c r="BD19"/>
  <c r="BE19"/>
  <c r="BF19"/>
  <c r="BG19"/>
  <c r="AZ20"/>
  <c r="BA20"/>
  <c r="BB20"/>
  <c r="BC20"/>
  <c r="BD20"/>
  <c r="BE20"/>
  <c r="BF20"/>
  <c r="BG20"/>
  <c r="AZ21"/>
  <c r="BA21"/>
  <c r="BB21"/>
  <c r="BC21"/>
  <c r="BD21"/>
  <c r="BE21"/>
  <c r="BF21"/>
  <c r="BG21"/>
  <c r="AZ22"/>
  <c r="BA22"/>
  <c r="BB22"/>
  <c r="BC22"/>
  <c r="BD22"/>
  <c r="BE22"/>
  <c r="BF22"/>
  <c r="BG22"/>
  <c r="AZ23"/>
  <c r="BA23"/>
  <c r="BB23"/>
  <c r="BC23"/>
  <c r="BD23"/>
  <c r="BE23"/>
  <c r="BF23"/>
  <c r="BG23"/>
  <c r="AZ24"/>
  <c r="BA24"/>
  <c r="BB24"/>
  <c r="BC24"/>
  <c r="BD24"/>
  <c r="BE24"/>
  <c r="BF24"/>
  <c r="BG24"/>
  <c r="AZ25"/>
  <c r="BA25"/>
  <c r="BB25"/>
  <c r="BC25"/>
  <c r="BD25"/>
  <c r="BE25"/>
  <c r="BF25"/>
  <c r="BG25"/>
  <c r="AZ26"/>
  <c r="BA26"/>
  <c r="BB26"/>
  <c r="BC26"/>
  <c r="BD26"/>
  <c r="BE26"/>
  <c r="BF26"/>
  <c r="BG26"/>
  <c r="AZ27"/>
  <c r="BA27"/>
  <c r="BB27"/>
  <c r="BC27"/>
  <c r="BD27"/>
  <c r="BE27"/>
  <c r="BF27"/>
  <c r="BG27"/>
  <c r="AZ28"/>
  <c r="BA28"/>
  <c r="BB28"/>
  <c r="BC28"/>
  <c r="BD28"/>
  <c r="BE28"/>
  <c r="BF28"/>
  <c r="BG28"/>
  <c r="AZ29"/>
  <c r="BA29"/>
  <c r="BB29"/>
  <c r="BC29"/>
  <c r="BD29"/>
  <c r="BE29"/>
  <c r="BF29"/>
  <c r="BG29"/>
  <c r="AZ30"/>
  <c r="BA30"/>
  <c r="BB30"/>
  <c r="BC30"/>
  <c r="BD30"/>
  <c r="BE30"/>
  <c r="BF30"/>
  <c r="BG30"/>
  <c r="AZ31"/>
  <c r="BA31"/>
  <c r="BB31"/>
  <c r="BC31"/>
  <c r="BD31"/>
  <c r="BE31"/>
  <c r="BF31"/>
  <c r="BG31"/>
  <c r="AZ32"/>
  <c r="BA32"/>
  <c r="BB32"/>
  <c r="BC32"/>
  <c r="BD32"/>
  <c r="BE32"/>
  <c r="BF32"/>
  <c r="BG32"/>
  <c r="AZ33"/>
  <c r="BA33"/>
  <c r="BB33"/>
  <c r="BC33"/>
  <c r="BD33"/>
  <c r="BE33"/>
  <c r="BF33"/>
  <c r="BG33"/>
  <c r="AZ34"/>
  <c r="BA34"/>
  <c r="BB34"/>
  <c r="BC34"/>
  <c r="BD34"/>
  <c r="BE34"/>
  <c r="BF34"/>
  <c r="BG34"/>
  <c r="AZ35"/>
  <c r="BA35"/>
  <c r="BB35"/>
  <c r="BC35"/>
  <c r="BD35"/>
  <c r="BE35"/>
  <c r="BF35"/>
  <c r="BG35"/>
  <c r="AZ36"/>
  <c r="BA36"/>
  <c r="BB36"/>
  <c r="BC36"/>
  <c r="BD36"/>
  <c r="BE36"/>
  <c r="BF36"/>
  <c r="BG36"/>
  <c r="AZ37"/>
  <c r="BA37"/>
  <c r="BB37"/>
  <c r="BC37"/>
  <c r="BD37"/>
  <c r="BE37"/>
  <c r="BF37"/>
  <c r="BG37"/>
  <c r="AZ38"/>
  <c r="BA38"/>
  <c r="BB38"/>
  <c r="BC38"/>
  <c r="BD38"/>
  <c r="BE38"/>
  <c r="BF38"/>
  <c r="BG38"/>
  <c r="AZ39"/>
  <c r="BA39"/>
  <c r="BB39"/>
  <c r="BC39"/>
  <c r="BD39"/>
  <c r="BE39"/>
  <c r="BF39"/>
  <c r="BG39"/>
  <c r="AZ40"/>
  <c r="BA40"/>
  <c r="BB40"/>
  <c r="BC40"/>
  <c r="BD40"/>
  <c r="BE40"/>
  <c r="BF40"/>
  <c r="BG40"/>
  <c r="AZ41"/>
  <c r="BA41"/>
  <c r="BB41"/>
  <c r="BC41"/>
  <c r="BD41"/>
  <c r="BE41"/>
  <c r="BF41"/>
  <c r="BG41"/>
  <c r="AZ42"/>
  <c r="BA42"/>
  <c r="BB42"/>
  <c r="BC42"/>
  <c r="BD42"/>
  <c r="BE42"/>
  <c r="BF42"/>
  <c r="BG42"/>
  <c r="AZ43"/>
  <c r="BA43"/>
  <c r="BB43"/>
  <c r="BC43"/>
  <c r="BD43"/>
  <c r="BE43"/>
  <c r="BF43"/>
  <c r="BG43"/>
  <c r="AZ44"/>
  <c r="BA44"/>
  <c r="BB44"/>
  <c r="BC44"/>
  <c r="BD44"/>
  <c r="BE44"/>
  <c r="BF44"/>
  <c r="BG44"/>
  <c r="AZ45"/>
  <c r="BA45"/>
  <c r="BB45"/>
  <c r="BC45"/>
  <c r="BD45"/>
  <c r="BE45"/>
  <c r="BF45"/>
  <c r="BG45"/>
  <c r="AZ46"/>
  <c r="BA46"/>
  <c r="BB46"/>
  <c r="BC46"/>
  <c r="BD46"/>
  <c r="BE46"/>
  <c r="BF46"/>
  <c r="BG46"/>
  <c r="AZ47"/>
  <c r="BA47"/>
  <c r="BB47"/>
  <c r="BC47"/>
  <c r="BD47"/>
  <c r="BE47"/>
  <c r="BF47"/>
  <c r="BG47"/>
  <c r="AZ48"/>
  <c r="BA48"/>
  <c r="BB48"/>
  <c r="BC48"/>
  <c r="BD48"/>
  <c r="BE48"/>
  <c r="BF48"/>
  <c r="BG48"/>
  <c r="AZ49"/>
  <c r="BA49"/>
  <c r="BB49"/>
  <c r="BC49"/>
  <c r="BD49"/>
  <c r="BE49"/>
  <c r="BF49"/>
  <c r="BG49"/>
  <c r="AZ50"/>
  <c r="BA50"/>
  <c r="BB50"/>
  <c r="BC50"/>
  <c r="BD50"/>
  <c r="BE50"/>
  <c r="BF50"/>
  <c r="BG50"/>
  <c r="AZ51"/>
  <c r="BA51"/>
  <c r="BB51"/>
  <c r="BC51"/>
  <c r="BD51"/>
  <c r="BE51"/>
  <c r="BF51"/>
  <c r="BG51"/>
  <c r="AZ52"/>
  <c r="BA52"/>
  <c r="BB52"/>
  <c r="BC52"/>
  <c r="BD52"/>
  <c r="BE52"/>
  <c r="BF52"/>
  <c r="BG52"/>
  <c r="AZ53"/>
  <c r="BA53"/>
  <c r="BB53"/>
  <c r="BC53"/>
  <c r="BD53"/>
  <c r="BE53"/>
  <c r="BF53"/>
  <c r="BG53"/>
  <c r="AZ54"/>
  <c r="BA54"/>
  <c r="BB54"/>
  <c r="BC54"/>
  <c r="BD54"/>
  <c r="BE54"/>
  <c r="BF54"/>
  <c r="BG54"/>
  <c r="AZ55"/>
  <c r="BA55"/>
  <c r="BB55"/>
  <c r="BC55"/>
  <c r="BD55"/>
  <c r="BE55"/>
  <c r="BF55"/>
  <c r="BG55"/>
  <c r="AZ56"/>
  <c r="BA56"/>
  <c r="BB56"/>
  <c r="BC56"/>
  <c r="BD56"/>
  <c r="BE56"/>
  <c r="BF56"/>
  <c r="BG56"/>
  <c r="AZ57"/>
  <c r="BA57"/>
  <c r="BB57"/>
  <c r="BC57"/>
  <c r="BD57"/>
  <c r="BE57"/>
  <c r="BF57"/>
  <c r="BG57"/>
  <c r="AZ58"/>
  <c r="BA58"/>
  <c r="BB58"/>
  <c r="BC58"/>
  <c r="BD58"/>
  <c r="BE58"/>
  <c r="BF58"/>
  <c r="BG58"/>
  <c r="AZ59"/>
  <c r="BA59"/>
  <c r="BB59"/>
  <c r="BC59"/>
  <c r="BD59"/>
  <c r="BE59"/>
  <c r="BF59"/>
  <c r="BG59"/>
  <c r="AZ60"/>
  <c r="BA60"/>
  <c r="BB60"/>
  <c r="BC60"/>
  <c r="BD60"/>
  <c r="BE60"/>
  <c r="BF60"/>
  <c r="BG60"/>
  <c r="AZ61"/>
  <c r="BA61"/>
  <c r="BB61"/>
  <c r="BC61"/>
  <c r="BD61"/>
  <c r="BE61"/>
  <c r="BF61"/>
  <c r="BG61"/>
  <c r="AZ62"/>
  <c r="BA62"/>
  <c r="BB62"/>
  <c r="BC62"/>
  <c r="BD62"/>
  <c r="BE62"/>
  <c r="BF62"/>
  <c r="BG62"/>
  <c r="AZ63"/>
  <c r="BA63"/>
  <c r="BB63"/>
  <c r="BC63"/>
  <c r="BD63"/>
  <c r="BE63"/>
  <c r="BF63"/>
  <c r="BG63"/>
  <c r="AZ64"/>
  <c r="BA64"/>
  <c r="BB64"/>
  <c r="BC64"/>
  <c r="BD64"/>
  <c r="BE64"/>
  <c r="BF64"/>
  <c r="BG64"/>
  <c r="AZ65"/>
  <c r="BA65"/>
  <c r="BB65"/>
  <c r="BC65"/>
  <c r="BD65"/>
  <c r="BE65"/>
  <c r="BF65"/>
  <c r="BG65"/>
  <c r="AZ66"/>
  <c r="BA66"/>
  <c r="BB66"/>
  <c r="BC66"/>
  <c r="BD66"/>
  <c r="BE66"/>
  <c r="BF66"/>
  <c r="BG66"/>
  <c r="BH10"/>
  <c r="BI10"/>
  <c r="BJ10"/>
  <c r="BK10"/>
  <c r="BL10"/>
  <c r="BM10"/>
  <c r="BN10"/>
  <c r="BO10"/>
  <c r="BP10"/>
  <c r="BQ10"/>
  <c r="BR10"/>
  <c r="BS10"/>
  <c r="BT10"/>
  <c r="BU10"/>
  <c r="BV10"/>
  <c r="BW10"/>
  <c r="BH11"/>
  <c r="BI11"/>
  <c r="BJ11"/>
  <c r="BK11"/>
  <c r="BL11"/>
  <c r="BM11"/>
  <c r="BN11"/>
  <c r="BO11"/>
  <c r="BP11"/>
  <c r="BQ11"/>
  <c r="BR11"/>
  <c r="BS11"/>
  <c r="BT11"/>
  <c r="BU11"/>
  <c r="BV11"/>
  <c r="BW11"/>
  <c r="BH12"/>
  <c r="BI12"/>
  <c r="BJ12"/>
  <c r="BK12"/>
  <c r="BL12"/>
  <c r="BM12"/>
  <c r="BN12"/>
  <c r="BO12"/>
  <c r="BP12"/>
  <c r="BQ12"/>
  <c r="BR12"/>
  <c r="BS12"/>
  <c r="BT12"/>
  <c r="BU12"/>
  <c r="BV12"/>
  <c r="BW12"/>
  <c r="BH13"/>
  <c r="BI13"/>
  <c r="BJ13"/>
  <c r="BK13"/>
  <c r="BL13"/>
  <c r="BM13"/>
  <c r="BN13"/>
  <c r="BO13"/>
  <c r="BP13"/>
  <c r="BQ13"/>
  <c r="BR13"/>
  <c r="BS13"/>
  <c r="BT13"/>
  <c r="BU13"/>
  <c r="BV13"/>
  <c r="BW13"/>
  <c r="BH14"/>
  <c r="BI14"/>
  <c r="BJ14"/>
  <c r="BK14"/>
  <c r="BL14"/>
  <c r="BM14"/>
  <c r="BN14"/>
  <c r="BO14"/>
  <c r="BP14"/>
  <c r="BQ14"/>
  <c r="BR14"/>
  <c r="BS14"/>
  <c r="BT14"/>
  <c r="BU14"/>
  <c r="BV14"/>
  <c r="BW14"/>
  <c r="BH15"/>
  <c r="BI15"/>
  <c r="BJ15"/>
  <c r="BK15"/>
  <c r="BL15"/>
  <c r="BM15"/>
  <c r="BN15"/>
  <c r="BO15"/>
  <c r="BP15"/>
  <c r="BQ15"/>
  <c r="BR15"/>
  <c r="BS15"/>
  <c r="BT15"/>
  <c r="BU15"/>
  <c r="BV15"/>
  <c r="BW15"/>
  <c r="BH16"/>
  <c r="BI16"/>
  <c r="BJ16"/>
  <c r="BK16"/>
  <c r="BL16"/>
  <c r="BM16"/>
  <c r="BN16"/>
  <c r="BO16"/>
  <c r="BP16"/>
  <c r="BQ16"/>
  <c r="BR16"/>
  <c r="BS16"/>
  <c r="BT16"/>
  <c r="BU16"/>
  <c r="BV16"/>
  <c r="BW16"/>
  <c r="BH17"/>
  <c r="BI17"/>
  <c r="BJ17"/>
  <c r="BK17"/>
  <c r="BL17"/>
  <c r="BM17"/>
  <c r="BN17"/>
  <c r="BO17"/>
  <c r="BP17"/>
  <c r="BQ17"/>
  <c r="BR17"/>
  <c r="BS17"/>
  <c r="BT17"/>
  <c r="BU17"/>
  <c r="BV17"/>
  <c r="BW17"/>
  <c r="BH18"/>
  <c r="BI18"/>
  <c r="BJ18"/>
  <c r="BK18"/>
  <c r="BL18"/>
  <c r="BM18"/>
  <c r="BN18"/>
  <c r="BO18"/>
  <c r="BP18"/>
  <c r="BQ18"/>
  <c r="BR18"/>
  <c r="BS18"/>
  <c r="BT18"/>
  <c r="BU18"/>
  <c r="BV18"/>
  <c r="BW18"/>
  <c r="BH19"/>
  <c r="BI19"/>
  <c r="BJ19"/>
  <c r="BK19"/>
  <c r="BL19"/>
  <c r="BM19"/>
  <c r="BN19"/>
  <c r="BO19"/>
  <c r="BP19"/>
  <c r="BQ19"/>
  <c r="BR19"/>
  <c r="BS19"/>
  <c r="BT19"/>
  <c r="BU19"/>
  <c r="BV19"/>
  <c r="BW19"/>
  <c r="BH20"/>
  <c r="BI20"/>
  <c r="BJ20"/>
  <c r="BK20"/>
  <c r="BL20"/>
  <c r="BM20"/>
  <c r="BN20"/>
  <c r="BO20"/>
  <c r="BP20"/>
  <c r="BQ20"/>
  <c r="BR20"/>
  <c r="BS20"/>
  <c r="BT20"/>
  <c r="BU20"/>
  <c r="BV20"/>
  <c r="BW20"/>
  <c r="BH21"/>
  <c r="BI21"/>
  <c r="BJ21"/>
  <c r="BK21"/>
  <c r="BL21"/>
  <c r="BM21"/>
  <c r="BN21"/>
  <c r="BO21"/>
  <c r="BP21"/>
  <c r="BQ21"/>
  <c r="BR21"/>
  <c r="BS21"/>
  <c r="BT21"/>
  <c r="BU21"/>
  <c r="BV21"/>
  <c r="BW21"/>
  <c r="BH22"/>
  <c r="BI22"/>
  <c r="BJ22"/>
  <c r="BK22"/>
  <c r="BL22"/>
  <c r="BM22"/>
  <c r="BN22"/>
  <c r="BO22"/>
  <c r="BP22"/>
  <c r="BQ22"/>
  <c r="BR22"/>
  <c r="BS22"/>
  <c r="BT22"/>
  <c r="BU22"/>
  <c r="BV22"/>
  <c r="BW22"/>
  <c r="BH23"/>
  <c r="BI23"/>
  <c r="BJ23"/>
  <c r="BK23"/>
  <c r="BL23"/>
  <c r="BM23"/>
  <c r="BN23"/>
  <c r="BO23"/>
  <c r="BP23"/>
  <c r="BQ23"/>
  <c r="BR23"/>
  <c r="BS23"/>
  <c r="BT23"/>
  <c r="BU23"/>
  <c r="BV23"/>
  <c r="BW23"/>
  <c r="BH24"/>
  <c r="BI24"/>
  <c r="BJ24"/>
  <c r="BK24"/>
  <c r="BL24"/>
  <c r="BM24"/>
  <c r="BN24"/>
  <c r="BO24"/>
  <c r="BP24"/>
  <c r="BQ24"/>
  <c r="BR24"/>
  <c r="BS24"/>
  <c r="BT24"/>
  <c r="BU24"/>
  <c r="BV24"/>
  <c r="BW24"/>
  <c r="BH25"/>
  <c r="BI25"/>
  <c r="BJ25"/>
  <c r="BK25"/>
  <c r="BL25"/>
  <c r="BM25"/>
  <c r="BN25"/>
  <c r="BO25"/>
  <c r="BP25"/>
  <c r="BQ25"/>
  <c r="BR25"/>
  <c r="BS25"/>
  <c r="BT25"/>
  <c r="BU25"/>
  <c r="BV25"/>
  <c r="BW25"/>
  <c r="BH26"/>
  <c r="BI26"/>
  <c r="BJ26"/>
  <c r="BK26"/>
  <c r="BL26"/>
  <c r="BM26"/>
  <c r="BN26"/>
  <c r="BO26"/>
  <c r="BP26"/>
  <c r="BQ26"/>
  <c r="BR26"/>
  <c r="BS26"/>
  <c r="BT26"/>
  <c r="BU26"/>
  <c r="BV26"/>
  <c r="BW26"/>
  <c r="BH27"/>
  <c r="BI27"/>
  <c r="BJ27"/>
  <c r="BK27"/>
  <c r="BL27"/>
  <c r="BM27"/>
  <c r="BN27"/>
  <c r="BO27"/>
  <c r="BP27"/>
  <c r="BQ27"/>
  <c r="BR27"/>
  <c r="BS27"/>
  <c r="BT27"/>
  <c r="BU27"/>
  <c r="BV27"/>
  <c r="BW27"/>
  <c r="BH28"/>
  <c r="BI28"/>
  <c r="BJ28"/>
  <c r="BK28"/>
  <c r="BL28"/>
  <c r="BM28"/>
  <c r="BN28"/>
  <c r="BO28"/>
  <c r="BP28"/>
  <c r="BQ28"/>
  <c r="BR28"/>
  <c r="BS28"/>
  <c r="BT28"/>
  <c r="BU28"/>
  <c r="BV28"/>
  <c r="BW28"/>
  <c r="BH29"/>
  <c r="BI29"/>
  <c r="BJ29"/>
  <c r="BK29"/>
  <c r="BL29"/>
  <c r="BM29"/>
  <c r="BN29"/>
  <c r="BO29"/>
  <c r="BP29"/>
  <c r="BQ29"/>
  <c r="BR29"/>
  <c r="BS29"/>
  <c r="BT29"/>
  <c r="BU29"/>
  <c r="BV29"/>
  <c r="BW29"/>
  <c r="BH30"/>
  <c r="BI30"/>
  <c r="BJ30"/>
  <c r="BK30"/>
  <c r="BL30"/>
  <c r="BM30"/>
  <c r="BN30"/>
  <c r="BO30"/>
  <c r="BP30"/>
  <c r="BQ30"/>
  <c r="BR30"/>
  <c r="BS30"/>
  <c r="BT30"/>
  <c r="BU30"/>
  <c r="BV30"/>
  <c r="BW30"/>
  <c r="BH31"/>
  <c r="BI31"/>
  <c r="BJ31"/>
  <c r="BK31"/>
  <c r="BL31"/>
  <c r="BM31"/>
  <c r="BN31"/>
  <c r="BO31"/>
  <c r="BP31"/>
  <c r="BQ31"/>
  <c r="BR31"/>
  <c r="BS31"/>
  <c r="BT31"/>
  <c r="BU31"/>
  <c r="BV31"/>
  <c r="BW31"/>
  <c r="BH32"/>
  <c r="BI32"/>
  <c r="BJ32"/>
  <c r="BK32"/>
  <c r="BL32"/>
  <c r="BM32"/>
  <c r="BN32"/>
  <c r="BO32"/>
  <c r="BP32"/>
  <c r="BQ32"/>
  <c r="BR32"/>
  <c r="BS32"/>
  <c r="BT32"/>
  <c r="BU32"/>
  <c r="BV32"/>
  <c r="BW32"/>
  <c r="BH33"/>
  <c r="BI33"/>
  <c r="BJ33"/>
  <c r="BK33"/>
  <c r="BL33"/>
  <c r="BM33"/>
  <c r="BN33"/>
  <c r="BO33"/>
  <c r="BP33"/>
  <c r="BQ33"/>
  <c r="BR33"/>
  <c r="BS33"/>
  <c r="BT33"/>
  <c r="BU33"/>
  <c r="BV33"/>
  <c r="BW33"/>
  <c r="BH34"/>
  <c r="BI34"/>
  <c r="BJ34"/>
  <c r="BK34"/>
  <c r="BL34"/>
  <c r="BM34"/>
  <c r="BN34"/>
  <c r="BO34"/>
  <c r="BP34"/>
  <c r="BQ34"/>
  <c r="BR34"/>
  <c r="BS34"/>
  <c r="BT34"/>
  <c r="BU34"/>
  <c r="BV34"/>
  <c r="BW34"/>
  <c r="BH35"/>
  <c r="BI35"/>
  <c r="BJ35"/>
  <c r="BK35"/>
  <c r="BL35"/>
  <c r="BM35"/>
  <c r="BN35"/>
  <c r="BO35"/>
  <c r="BP35"/>
  <c r="BQ35"/>
  <c r="BR35"/>
  <c r="BS35"/>
  <c r="BT35"/>
  <c r="BU35"/>
  <c r="BV35"/>
  <c r="BW35"/>
  <c r="BH36"/>
  <c r="BI36"/>
  <c r="BJ36"/>
  <c r="BK36"/>
  <c r="BL36"/>
  <c r="BM36"/>
  <c r="BN36"/>
  <c r="BO36"/>
  <c r="BP36"/>
  <c r="BQ36"/>
  <c r="BR36"/>
  <c r="BS36"/>
  <c r="BT36"/>
  <c r="BU36"/>
  <c r="BV36"/>
  <c r="BW36"/>
  <c r="BH37"/>
  <c r="BI37"/>
  <c r="BJ37"/>
  <c r="BK37"/>
  <c r="BL37"/>
  <c r="BM37"/>
  <c r="BN37"/>
  <c r="BO37"/>
  <c r="BP37"/>
  <c r="BQ37"/>
  <c r="BR37"/>
  <c r="BS37"/>
  <c r="BT37"/>
  <c r="BU37"/>
  <c r="BV37"/>
  <c r="BW37"/>
  <c r="BH38"/>
  <c r="BI38"/>
  <c r="BJ38"/>
  <c r="BK38"/>
  <c r="BL38"/>
  <c r="BM38"/>
  <c r="BN38"/>
  <c r="BO38"/>
  <c r="BP38"/>
  <c r="BQ38"/>
  <c r="BR38"/>
  <c r="BS38"/>
  <c r="BT38"/>
  <c r="BU38"/>
  <c r="BV38"/>
  <c r="BW38"/>
  <c r="BH39"/>
  <c r="BI39"/>
  <c r="BJ39"/>
  <c r="BK39"/>
  <c r="BL39"/>
  <c r="BM39"/>
  <c r="BN39"/>
  <c r="BO39"/>
  <c r="BP39"/>
  <c r="BQ39"/>
  <c r="BR39"/>
  <c r="BS39"/>
  <c r="BT39"/>
  <c r="BU39"/>
  <c r="BV39"/>
  <c r="BW39"/>
  <c r="BH40"/>
  <c r="BI40"/>
  <c r="BJ40"/>
  <c r="BK40"/>
  <c r="BL40"/>
  <c r="BM40"/>
  <c r="BN40"/>
  <c r="BO40"/>
  <c r="BP40"/>
  <c r="BQ40"/>
  <c r="BR40"/>
  <c r="BS40"/>
  <c r="BT40"/>
  <c r="BU40"/>
  <c r="BV40"/>
  <c r="BW40"/>
  <c r="BH41"/>
  <c r="BI41"/>
  <c r="BJ41"/>
  <c r="BK41"/>
  <c r="BL41"/>
  <c r="BM41"/>
  <c r="BN41"/>
  <c r="BO41"/>
  <c r="BP41"/>
  <c r="BQ41"/>
  <c r="BR41"/>
  <c r="BS41"/>
  <c r="BT41"/>
  <c r="BU41"/>
  <c r="BV41"/>
  <c r="BW41"/>
  <c r="BH42"/>
  <c r="BI42"/>
  <c r="BJ42"/>
  <c r="BK42"/>
  <c r="BL42"/>
  <c r="BM42"/>
  <c r="BN42"/>
  <c r="BO42"/>
  <c r="BP42"/>
  <c r="BQ42"/>
  <c r="BR42"/>
  <c r="BS42"/>
  <c r="BT42"/>
  <c r="BU42"/>
  <c r="BV42"/>
  <c r="BW42"/>
  <c r="BH43"/>
  <c r="BI43"/>
  <c r="BJ43"/>
  <c r="BK43"/>
  <c r="BL43"/>
  <c r="BM43"/>
  <c r="BN43"/>
  <c r="BO43"/>
  <c r="BP43"/>
  <c r="BQ43"/>
  <c r="BR43"/>
  <c r="BS43"/>
  <c r="BT43"/>
  <c r="BU43"/>
  <c r="BV43"/>
  <c r="BW43"/>
  <c r="BH44"/>
  <c r="BI44"/>
  <c r="BJ44"/>
  <c r="BK44"/>
  <c r="BL44"/>
  <c r="BM44"/>
  <c r="BN44"/>
  <c r="BO44"/>
  <c r="BP44"/>
  <c r="BQ44"/>
  <c r="BR44"/>
  <c r="BS44"/>
  <c r="BT44"/>
  <c r="BU44"/>
  <c r="BV44"/>
  <c r="BW44"/>
  <c r="BH45"/>
  <c r="BI45"/>
  <c r="BJ45"/>
  <c r="BK45"/>
  <c r="BL45"/>
  <c r="BM45"/>
  <c r="BN45"/>
  <c r="BO45"/>
  <c r="BP45"/>
  <c r="BQ45"/>
  <c r="BR45"/>
  <c r="BS45"/>
  <c r="BT45"/>
  <c r="BU45"/>
  <c r="BV45"/>
  <c r="BW45"/>
  <c r="BH46"/>
  <c r="BI46"/>
  <c r="BJ46"/>
  <c r="BK46"/>
  <c r="BL46"/>
  <c r="BM46"/>
  <c r="BN46"/>
  <c r="BO46"/>
  <c r="BP46"/>
  <c r="BQ46"/>
  <c r="BR46"/>
  <c r="BS46"/>
  <c r="BT46"/>
  <c r="BU46"/>
  <c r="BV46"/>
  <c r="BW46"/>
  <c r="BH47"/>
  <c r="BI47"/>
  <c r="BJ47"/>
  <c r="BK47"/>
  <c r="BL47"/>
  <c r="BM47"/>
  <c r="BN47"/>
  <c r="BO47"/>
  <c r="BP47"/>
  <c r="BQ47"/>
  <c r="BR47"/>
  <c r="BS47"/>
  <c r="BT47"/>
  <c r="BU47"/>
  <c r="BV47"/>
  <c r="BW47"/>
  <c r="BH48"/>
  <c r="BI48"/>
  <c r="BJ48"/>
  <c r="BK48"/>
  <c r="BL48"/>
  <c r="BM48"/>
  <c r="BN48"/>
  <c r="BO48"/>
  <c r="BP48"/>
  <c r="BQ48"/>
  <c r="BR48"/>
  <c r="BS48"/>
  <c r="BT48"/>
  <c r="BU48"/>
  <c r="BV48"/>
  <c r="BW48"/>
  <c r="BH49"/>
  <c r="BI49"/>
  <c r="BJ49"/>
  <c r="BK49"/>
  <c r="BL49"/>
  <c r="BM49"/>
  <c r="BN49"/>
  <c r="BO49"/>
  <c r="BP49"/>
  <c r="BQ49"/>
  <c r="BR49"/>
  <c r="BS49"/>
  <c r="BT49"/>
  <c r="BU49"/>
  <c r="BV49"/>
  <c r="BW49"/>
  <c r="BH50"/>
  <c r="BI50"/>
  <c r="BJ50"/>
  <c r="BK50"/>
  <c r="BL50"/>
  <c r="BM50"/>
  <c r="BN50"/>
  <c r="BO50"/>
  <c r="BP50"/>
  <c r="BQ50"/>
  <c r="BR50"/>
  <c r="BS50"/>
  <c r="BT50"/>
  <c r="BU50"/>
  <c r="BV50"/>
  <c r="BW50"/>
  <c r="BH51"/>
  <c r="BI51"/>
  <c r="BJ51"/>
  <c r="BK51"/>
  <c r="BL51"/>
  <c r="BM51"/>
  <c r="BN51"/>
  <c r="BO51"/>
  <c r="BP51"/>
  <c r="BQ51"/>
  <c r="BR51"/>
  <c r="BS51"/>
  <c r="BT51"/>
  <c r="BU51"/>
  <c r="BV51"/>
  <c r="BW51"/>
  <c r="BH52"/>
  <c r="BI52"/>
  <c r="BJ52"/>
  <c r="BK52"/>
  <c r="BL52"/>
  <c r="BM52"/>
  <c r="BN52"/>
  <c r="BO52"/>
  <c r="BP52"/>
  <c r="BQ52"/>
  <c r="BR52"/>
  <c r="BS52"/>
  <c r="BT52"/>
  <c r="BU52"/>
  <c r="BV52"/>
  <c r="BW52"/>
  <c r="BH53"/>
  <c r="BI53"/>
  <c r="BJ53"/>
  <c r="BK53"/>
  <c r="BL53"/>
  <c r="BM53"/>
  <c r="BN53"/>
  <c r="BO53"/>
  <c r="BP53"/>
  <c r="BQ53"/>
  <c r="BR53"/>
  <c r="BS53"/>
  <c r="BT53"/>
  <c r="BU53"/>
  <c r="BV53"/>
  <c r="BW53"/>
  <c r="BH54"/>
  <c r="BI54"/>
  <c r="BJ54"/>
  <c r="BK54"/>
  <c r="BL54"/>
  <c r="BM54"/>
  <c r="BN54"/>
  <c r="BO54"/>
  <c r="BP54"/>
  <c r="BQ54"/>
  <c r="BR54"/>
  <c r="BS54"/>
  <c r="BT54"/>
  <c r="BU54"/>
  <c r="BV54"/>
  <c r="BW54"/>
  <c r="BH55"/>
  <c r="BI55"/>
  <c r="BJ55"/>
  <c r="BK55"/>
  <c r="BL55"/>
  <c r="BM55"/>
  <c r="BN55"/>
  <c r="BO55"/>
  <c r="BP55"/>
  <c r="BQ55"/>
  <c r="BR55"/>
  <c r="BS55"/>
  <c r="BT55"/>
  <c r="BU55"/>
  <c r="BV55"/>
  <c r="BW55"/>
  <c r="BH56"/>
  <c r="BI56"/>
  <c r="BJ56"/>
  <c r="BK56"/>
  <c r="BL56"/>
  <c r="BM56"/>
  <c r="BN56"/>
  <c r="BO56"/>
  <c r="BP56"/>
  <c r="BQ56"/>
  <c r="BR56"/>
  <c r="BS56"/>
  <c r="BT56"/>
  <c r="BU56"/>
  <c r="BV56"/>
  <c r="BW56"/>
  <c r="BH57"/>
  <c r="BI57"/>
  <c r="BJ57"/>
  <c r="BK57"/>
  <c r="BL57"/>
  <c r="BM57"/>
  <c r="BN57"/>
  <c r="BO57"/>
  <c r="BP57"/>
  <c r="BQ57"/>
  <c r="BR57"/>
  <c r="BS57"/>
  <c r="BT57"/>
  <c r="BU57"/>
  <c r="BV57"/>
  <c r="BW57"/>
  <c r="BH58"/>
  <c r="BI58"/>
  <c r="BJ58"/>
  <c r="BK58"/>
  <c r="BL58"/>
  <c r="BM58"/>
  <c r="BN58"/>
  <c r="BO58"/>
  <c r="BP58"/>
  <c r="BQ58"/>
  <c r="BR58"/>
  <c r="BS58"/>
  <c r="BT58"/>
  <c r="BU58"/>
  <c r="BV58"/>
  <c r="BW58"/>
  <c r="BH59"/>
  <c r="BI59"/>
  <c r="BJ59"/>
  <c r="BK59"/>
  <c r="BL59"/>
  <c r="BM59"/>
  <c r="BN59"/>
  <c r="BO59"/>
  <c r="BP59"/>
  <c r="BQ59"/>
  <c r="BR59"/>
  <c r="BS59"/>
  <c r="BT59"/>
  <c r="BU59"/>
  <c r="BV59"/>
  <c r="BW59"/>
  <c r="BH60"/>
  <c r="BI60"/>
  <c r="BJ60"/>
  <c r="BK60"/>
  <c r="BL60"/>
  <c r="BM60"/>
  <c r="BN60"/>
  <c r="BO60"/>
  <c r="BP60"/>
  <c r="BQ60"/>
  <c r="BR60"/>
  <c r="BS60"/>
  <c r="BT60"/>
  <c r="BU60"/>
  <c r="BV60"/>
  <c r="BW60"/>
  <c r="BH61"/>
  <c r="BI61"/>
  <c r="BJ61"/>
  <c r="BK61"/>
  <c r="BL61"/>
  <c r="BM61"/>
  <c r="BN61"/>
  <c r="BO61"/>
  <c r="BP61"/>
  <c r="BQ61"/>
  <c r="BR61"/>
  <c r="BS61"/>
  <c r="BT61"/>
  <c r="BU61"/>
  <c r="BV61"/>
  <c r="BW61"/>
  <c r="BH62"/>
  <c r="BI62"/>
  <c r="BJ62"/>
  <c r="BK62"/>
  <c r="BL62"/>
  <c r="BM62"/>
  <c r="BN62"/>
  <c r="BO62"/>
  <c r="BP62"/>
  <c r="BQ62"/>
  <c r="BR62"/>
  <c r="BS62"/>
  <c r="BT62"/>
  <c r="BU62"/>
  <c r="BV62"/>
  <c r="BW62"/>
  <c r="BH63"/>
  <c r="BI63"/>
  <c r="BJ63"/>
  <c r="BK63"/>
  <c r="BL63"/>
  <c r="BM63"/>
  <c r="BN63"/>
  <c r="BO63"/>
  <c r="BP63"/>
  <c r="BQ63"/>
  <c r="BR63"/>
  <c r="BS63"/>
  <c r="BT63"/>
  <c r="BU63"/>
  <c r="BV63"/>
  <c r="BW63"/>
  <c r="BH64"/>
  <c r="BI64"/>
  <c r="BJ64"/>
  <c r="BK64"/>
  <c r="BL64"/>
  <c r="BM64"/>
  <c r="BN64"/>
  <c r="BO64"/>
  <c r="BP64"/>
  <c r="BQ64"/>
  <c r="BR64"/>
  <c r="BS64"/>
  <c r="BT64"/>
  <c r="BU64"/>
  <c r="BV64"/>
  <c r="BW64"/>
  <c r="BH65"/>
  <c r="BI65"/>
  <c r="BJ65"/>
  <c r="BK65"/>
  <c r="BL65"/>
  <c r="BM65"/>
  <c r="BN65"/>
  <c r="BO65"/>
  <c r="BP65"/>
  <c r="BQ65"/>
  <c r="BR65"/>
  <c r="BS65"/>
  <c r="BT65"/>
  <c r="BU65"/>
  <c r="BV65"/>
  <c r="BW65"/>
  <c r="BH66"/>
  <c r="BI66"/>
  <c r="BJ66"/>
  <c r="BK66"/>
  <c r="BL66"/>
  <c r="BM66"/>
  <c r="BN66"/>
  <c r="BO66"/>
  <c r="BP66"/>
  <c r="BQ66"/>
  <c r="BR66"/>
  <c r="BS66"/>
  <c r="BT66"/>
  <c r="BU66"/>
  <c r="BV66"/>
  <c r="BW66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AZ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<sst xmlns="http://schemas.openxmlformats.org/spreadsheetml/2006/main" count="572" uniqueCount="137">
  <si>
    <t>А</t>
  </si>
  <si>
    <t>тыс.руб.</t>
  </si>
  <si>
    <t xml:space="preserve">Коэффициент текущей ликвидности до &lt; 100%      
</t>
  </si>
  <si>
    <t>Продолжение</t>
  </si>
  <si>
    <t xml:space="preserve">Коэффициент текущей ликвидности от &gt; = 200% </t>
  </si>
  <si>
    <t>Коэффициент текущей ликвидности от &gt; = 100% до &lt; 200%</t>
  </si>
  <si>
    <t>Код</t>
  </si>
  <si>
    <t>Б</t>
  </si>
  <si>
    <t>Наименование</t>
  </si>
  <si>
    <t>Денежные средства и денежные эквиваленты</t>
  </si>
  <si>
    <t>в % ко всем денежным средствам денежным эквивалентам</t>
  </si>
  <si>
    <t>Кредиторская задолженность</t>
  </si>
  <si>
    <t>Дебиторская задолженность</t>
  </si>
  <si>
    <t>Коли-чество органи-заций (единиц)</t>
  </si>
  <si>
    <t>в % к общему коли-честву</t>
  </si>
  <si>
    <t>в % к общей задол-жен-ности</t>
  </si>
  <si>
    <t>Группировка организаций по коэффициенту текущей ликвидности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</si>
  <si>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</si>
  <si>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</si>
  <si>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</si>
  <si>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</si>
  <si>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</si>
  <si>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</si>
  <si>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</si>
  <si>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</si>
  <si>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</si>
  <si>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</si>
  <si>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</si>
  <si>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</si>
  <si>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</si>
  <si>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</si>
  <si>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-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</si>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</sst>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rgb="FFC00000"/>
      <name val="Times New Roman CYR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49" fontId="9" fillId="0" borderId="0" xfId="0" applyNumberFormat="1" applyFont="1"/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49" fontId="2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8" fillId="2" borderId="0" xfId="0" applyFont="1" applyFill="1"/>
    <xf numFmtId="0" fontId="10" fillId="2" borderId="2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10" fillId="2" borderId="5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/>
    </xf>
    <xf numFmtId="0" fontId="1" fillId="2" borderId="0" xfId="0" applyFont="1" applyFill="1"/>
    <xf numFmtId="49" fontId="2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0" fillId="3" borderId="2" xfId="0" applyFont="1" applyFill="1" applyBorder="1" applyAlignment="1">
      <alignment horizontal="right"/>
    </xf>
    <xf numFmtId="0" fontId="10" fillId="3" borderId="3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0" fontId="1" fillId="3" borderId="0" xfId="0" applyFont="1" applyFill="1"/>
    <xf numFmtId="1" fontId="8" fillId="0" borderId="0" xfId="0" applyNumberFormat="1" applyFont="1"/>
    <xf numFmtId="1" fontId="1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79"/>
  <sheetViews>
    <sheetView tabSelected="1" zoomScaleNormal="100" workbookViewId="0">
      <pane xSplit="2" ySplit="7" topLeftCell="AJ8" activePane="bottomRight" state="frozen"/>
      <selection pane="topRight" activeCell="C1" sqref="C1"/>
      <selection pane="bottomLeft" activeCell="A8" sqref="A8"/>
      <selection pane="bottomRight" activeCell="AB60" sqref="AB60:AI60"/>
    </sheetView>
  </sheetViews>
  <sheetFormatPr defaultColWidth="8.85546875" defaultRowHeight="12.75"/>
  <cols>
    <col min="1" max="1" width="14" style="2" customWidth="1"/>
    <col min="2" max="2" width="47.7109375" style="5" customWidth="1"/>
    <col min="3" max="3" width="6.85546875" style="3" customWidth="1"/>
    <col min="4" max="4" width="5.7109375" style="4" customWidth="1"/>
    <col min="5" max="5" width="12.7109375" style="3" customWidth="1"/>
    <col min="6" max="6" width="5.7109375" style="4" customWidth="1"/>
    <col min="7" max="7" width="12.7109375" style="3" customWidth="1"/>
    <col min="8" max="8" width="5.7109375" style="4" customWidth="1"/>
    <col min="9" max="9" width="12.140625" style="3" customWidth="1"/>
    <col min="10" max="10" width="9.42578125" style="4" customWidth="1"/>
    <col min="11" max="11" width="6.85546875" style="3" customWidth="1"/>
    <col min="12" max="12" width="5.7109375" style="4" customWidth="1"/>
    <col min="13" max="13" width="12.7109375" style="3" customWidth="1"/>
    <col min="14" max="14" width="5.7109375" style="4" customWidth="1"/>
    <col min="15" max="15" width="12.7109375" style="3" customWidth="1"/>
    <col min="16" max="16" width="5.7109375" style="4" customWidth="1"/>
    <col min="17" max="17" width="12.7109375" style="3" customWidth="1"/>
    <col min="18" max="18" width="9.140625" style="4" customWidth="1"/>
    <col min="19" max="19" width="6.85546875" style="3" customWidth="1"/>
    <col min="20" max="20" width="5.7109375" style="4" customWidth="1"/>
    <col min="21" max="21" width="12.7109375" style="3" customWidth="1"/>
    <col min="22" max="22" width="5.7109375" style="4" customWidth="1"/>
    <col min="23" max="23" width="12.7109375" style="3" customWidth="1"/>
    <col min="24" max="24" width="5.7109375" style="4" customWidth="1"/>
    <col min="25" max="25" width="12.7109375" style="3" customWidth="1"/>
    <col min="26" max="26" width="9.140625" style="4" customWidth="1"/>
    <col min="27" max="27" width="8.85546875" style="1"/>
    <col min="28" max="35" width="8.85546875" style="52"/>
    <col min="36" max="43" width="8.85546875" style="1"/>
    <col min="44" max="51" width="8.85546875" style="60"/>
    <col min="52" max="16384" width="8.85546875" style="1"/>
  </cols>
  <sheetData>
    <row r="1" spans="1:78" s="6" customFormat="1" ht="30.6" customHeight="1">
      <c r="C1" s="24" t="s">
        <v>16</v>
      </c>
      <c r="D1" s="24"/>
      <c r="E1" s="24"/>
      <c r="F1" s="24"/>
      <c r="G1" s="24"/>
      <c r="H1" s="24"/>
      <c r="I1" s="25"/>
      <c r="J1" s="9"/>
      <c r="K1" s="24" t="s">
        <v>16</v>
      </c>
      <c r="L1" s="24"/>
      <c r="M1" s="24"/>
      <c r="N1" s="24"/>
      <c r="O1" s="25"/>
      <c r="P1" s="28"/>
      <c r="Q1" s="28"/>
      <c r="S1" s="24" t="s">
        <v>16</v>
      </c>
      <c r="T1" s="24"/>
      <c r="U1" s="24"/>
      <c r="V1" s="24"/>
      <c r="W1" s="24"/>
      <c r="X1" s="25"/>
      <c r="Y1" s="25"/>
      <c r="AB1" s="44"/>
      <c r="AC1" s="44"/>
      <c r="AD1" s="44"/>
      <c r="AE1" s="44"/>
      <c r="AF1" s="44"/>
      <c r="AG1" s="44"/>
      <c r="AH1" s="44"/>
      <c r="AI1" s="44"/>
      <c r="AR1" s="53"/>
      <c r="AS1" s="53"/>
      <c r="AT1" s="53"/>
      <c r="AU1" s="53"/>
      <c r="AV1" s="53"/>
      <c r="AW1" s="53"/>
      <c r="AX1" s="53"/>
      <c r="AY1" s="53"/>
    </row>
    <row r="2" spans="1:78" s="6" customFormat="1" ht="21.6" customHeight="1">
      <c r="C2" s="29" t="s">
        <v>18</v>
      </c>
      <c r="D2" s="29"/>
      <c r="E2" s="29"/>
      <c r="F2" s="29"/>
      <c r="G2" s="29"/>
      <c r="H2" s="29"/>
      <c r="I2" s="25"/>
      <c r="J2" s="12"/>
      <c r="K2" s="30" t="s">
        <v>18</v>
      </c>
      <c r="L2" s="30"/>
      <c r="M2" s="30"/>
      <c r="N2" s="30"/>
      <c r="O2" s="30"/>
      <c r="P2" s="28"/>
      <c r="Q2" s="28"/>
      <c r="S2" s="26" t="s">
        <v>18</v>
      </c>
      <c r="T2" s="25"/>
      <c r="U2" s="25"/>
      <c r="V2" s="25"/>
      <c r="W2" s="25"/>
      <c r="X2" s="25"/>
      <c r="Y2" s="25"/>
      <c r="AB2" s="44"/>
      <c r="AC2" s="44"/>
      <c r="AD2" s="44"/>
      <c r="AE2" s="44"/>
      <c r="AF2" s="44"/>
      <c r="AG2" s="44"/>
      <c r="AH2" s="44"/>
      <c r="AI2" s="44"/>
      <c r="AR2" s="53"/>
      <c r="AS2" s="53"/>
      <c r="AT2" s="53"/>
      <c r="AU2" s="53"/>
      <c r="AV2" s="53"/>
      <c r="AW2" s="53"/>
      <c r="AX2" s="53"/>
      <c r="AY2" s="53"/>
    </row>
    <row r="3" spans="1:78" s="6" customFormat="1" ht="16.149999999999999" customHeight="1">
      <c r="C3" s="29" t="s">
        <v>17</v>
      </c>
      <c r="D3" s="29"/>
      <c r="E3" s="29"/>
      <c r="F3" s="29"/>
      <c r="G3" s="29"/>
      <c r="H3" s="29"/>
      <c r="I3" s="25"/>
      <c r="J3" s="13"/>
      <c r="K3" s="31" t="s">
        <v>17</v>
      </c>
      <c r="L3" s="31"/>
      <c r="M3" s="31"/>
      <c r="N3" s="31"/>
      <c r="O3" s="31"/>
      <c r="P3" s="28"/>
      <c r="Q3" s="28"/>
      <c r="S3" s="27" t="s">
        <v>17</v>
      </c>
      <c r="T3" s="28"/>
      <c r="U3" s="28"/>
      <c r="V3" s="28"/>
      <c r="W3" s="28"/>
      <c r="X3" s="28"/>
      <c r="Y3" s="28"/>
      <c r="AB3" s="44"/>
      <c r="AC3" s="44"/>
      <c r="AD3" s="44"/>
      <c r="AE3" s="44"/>
      <c r="AF3" s="44"/>
      <c r="AG3" s="44"/>
      <c r="AH3" s="44"/>
      <c r="AI3" s="44"/>
      <c r="AR3" s="53"/>
      <c r="AS3" s="53"/>
      <c r="AT3" s="53"/>
      <c r="AU3" s="53"/>
      <c r="AV3" s="53"/>
      <c r="AW3" s="53"/>
      <c r="AX3" s="53"/>
      <c r="AY3" s="53"/>
    </row>
    <row r="4" spans="1:78" s="6" customFormat="1">
      <c r="I4" s="36" t="s">
        <v>1</v>
      </c>
      <c r="J4" s="37"/>
      <c r="M4" s="10"/>
      <c r="O4" s="10"/>
      <c r="P4" s="14"/>
      <c r="Q4" s="32" t="s">
        <v>3</v>
      </c>
      <c r="R4" s="32"/>
      <c r="U4" s="10"/>
      <c r="W4" s="10"/>
      <c r="Y4" s="32" t="s">
        <v>3</v>
      </c>
      <c r="Z4" s="32"/>
      <c r="AB4" s="44"/>
      <c r="AC4" s="44"/>
      <c r="AD4" s="44"/>
      <c r="AE4" s="44"/>
      <c r="AF4" s="44"/>
      <c r="AG4" s="44"/>
      <c r="AH4" s="44"/>
      <c r="AI4" s="44"/>
      <c r="AR4" s="53"/>
      <c r="AS4" s="53"/>
      <c r="AT4" s="53"/>
      <c r="AU4" s="53"/>
      <c r="AV4" s="53"/>
      <c r="AW4" s="53"/>
      <c r="AX4" s="53"/>
      <c r="AY4" s="53"/>
    </row>
    <row r="5" spans="1:78" s="8" customFormat="1" ht="11.25">
      <c r="A5" s="33" t="s">
        <v>6</v>
      </c>
      <c r="B5" s="33" t="s">
        <v>8</v>
      </c>
      <c r="C5" s="33" t="s">
        <v>2</v>
      </c>
      <c r="D5" s="34"/>
      <c r="E5" s="34"/>
      <c r="F5" s="34"/>
      <c r="G5" s="34"/>
      <c r="H5" s="34"/>
      <c r="I5" s="34"/>
      <c r="J5" s="34"/>
      <c r="K5" s="33" t="s">
        <v>5</v>
      </c>
      <c r="L5" s="34"/>
      <c r="M5" s="34"/>
      <c r="N5" s="34"/>
      <c r="O5" s="34"/>
      <c r="P5" s="34"/>
      <c r="Q5" s="34"/>
      <c r="R5" s="34"/>
      <c r="S5" s="33" t="s">
        <v>4</v>
      </c>
      <c r="T5" s="34"/>
      <c r="U5" s="34"/>
      <c r="V5" s="34"/>
      <c r="W5" s="34"/>
      <c r="X5" s="34"/>
      <c r="Y5" s="34"/>
      <c r="Z5" s="34"/>
      <c r="AB5" s="45"/>
      <c r="AC5" s="45"/>
      <c r="AD5" s="45"/>
      <c r="AE5" s="45"/>
      <c r="AF5" s="45"/>
      <c r="AG5" s="45"/>
      <c r="AH5" s="45"/>
      <c r="AI5" s="45"/>
      <c r="AR5" s="54"/>
      <c r="AS5" s="54"/>
      <c r="AT5" s="54"/>
      <c r="AU5" s="54"/>
      <c r="AV5" s="54"/>
      <c r="AW5" s="54"/>
      <c r="AX5" s="54"/>
      <c r="AY5" s="54"/>
    </row>
    <row r="6" spans="1:78" s="8" customFormat="1" ht="62.45" customHeight="1">
      <c r="A6" s="33"/>
      <c r="B6" s="35"/>
      <c r="C6" s="7" t="s">
        <v>13</v>
      </c>
      <c r="D6" s="7" t="s">
        <v>14</v>
      </c>
      <c r="E6" s="7" t="s">
        <v>12</v>
      </c>
      <c r="F6" s="7" t="s">
        <v>15</v>
      </c>
      <c r="G6" s="7" t="s">
        <v>11</v>
      </c>
      <c r="H6" s="7" t="s">
        <v>15</v>
      </c>
      <c r="I6" s="7" t="s">
        <v>9</v>
      </c>
      <c r="J6" s="7" t="s">
        <v>10</v>
      </c>
      <c r="K6" s="7" t="s">
        <v>13</v>
      </c>
      <c r="L6" s="7" t="s">
        <v>14</v>
      </c>
      <c r="M6" s="7" t="s">
        <v>12</v>
      </c>
      <c r="N6" s="7" t="s">
        <v>15</v>
      </c>
      <c r="O6" s="7" t="s">
        <v>11</v>
      </c>
      <c r="P6" s="7" t="s">
        <v>15</v>
      </c>
      <c r="Q6" s="7" t="s">
        <v>9</v>
      </c>
      <c r="R6" s="7" t="s">
        <v>10</v>
      </c>
      <c r="S6" s="7" t="s">
        <v>13</v>
      </c>
      <c r="T6" s="7" t="s">
        <v>14</v>
      </c>
      <c r="U6" s="7" t="s">
        <v>12</v>
      </c>
      <c r="V6" s="7" t="s">
        <v>15</v>
      </c>
      <c r="W6" s="7" t="s">
        <v>11</v>
      </c>
      <c r="X6" s="7" t="s">
        <v>15</v>
      </c>
      <c r="Y6" s="7" t="s">
        <v>9</v>
      </c>
      <c r="Z6" s="7" t="s">
        <v>10</v>
      </c>
      <c r="AB6" s="45"/>
      <c r="AC6" s="45"/>
      <c r="AD6" s="45"/>
      <c r="AE6" s="45"/>
      <c r="AF6" s="45"/>
      <c r="AG6" s="45"/>
      <c r="AH6" s="45"/>
      <c r="AI6" s="45"/>
      <c r="AR6" s="54"/>
      <c r="AS6" s="54"/>
      <c r="AT6" s="54"/>
      <c r="AU6" s="54"/>
      <c r="AV6" s="54"/>
      <c r="AW6" s="54"/>
      <c r="AX6" s="54"/>
      <c r="AY6" s="54"/>
    </row>
    <row r="7" spans="1:78" s="8" customFormat="1" ht="11.25">
      <c r="A7" s="7" t="s">
        <v>0</v>
      </c>
      <c r="B7" s="7" t="s">
        <v>7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11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11">
        <v>19</v>
      </c>
      <c r="V7" s="7">
        <v>20</v>
      </c>
      <c r="W7" s="11">
        <v>21</v>
      </c>
      <c r="X7" s="7">
        <v>22</v>
      </c>
      <c r="Y7" s="7">
        <v>23</v>
      </c>
      <c r="Z7" s="7">
        <v>24</v>
      </c>
      <c r="AB7" s="45"/>
      <c r="AC7" s="45"/>
      <c r="AD7" s="45"/>
      <c r="AE7" s="45"/>
      <c r="AF7" s="45"/>
      <c r="AG7" s="45"/>
      <c r="AH7" s="45"/>
      <c r="AI7" s="45"/>
      <c r="AR7" s="54"/>
      <c r="AS7" s="54"/>
      <c r="AT7" s="54"/>
      <c r="AU7" s="54"/>
      <c r="AV7" s="54"/>
      <c r="AW7" s="54"/>
      <c r="AX7" s="54"/>
      <c r="AY7" s="54"/>
    </row>
    <row r="8" spans="1:78" s="19" customFormat="1" ht="13.5" thickBot="1">
      <c r="A8" s="15" t="s">
        <v>116</v>
      </c>
      <c r="B8" s="16"/>
      <c r="C8" s="17"/>
      <c r="D8" s="18"/>
      <c r="E8" s="17"/>
      <c r="F8" s="18"/>
      <c r="G8" s="17"/>
      <c r="H8" s="18"/>
      <c r="I8" s="17"/>
      <c r="J8" s="18"/>
      <c r="K8" s="17"/>
      <c r="L8" s="18"/>
      <c r="M8" s="17"/>
      <c r="N8" s="18"/>
      <c r="O8" s="17"/>
      <c r="P8" s="18"/>
      <c r="Q8" s="17"/>
      <c r="R8" s="18"/>
      <c r="S8" s="17"/>
      <c r="T8" s="18"/>
      <c r="U8" s="17"/>
      <c r="V8" s="18"/>
      <c r="W8" s="17"/>
      <c r="X8" s="18"/>
      <c r="Y8" s="17"/>
      <c r="Z8" s="18"/>
      <c r="AB8" s="46"/>
      <c r="AC8" s="46"/>
      <c r="AD8" s="46"/>
      <c r="AE8" s="46"/>
      <c r="AF8" s="46"/>
      <c r="AG8" s="46"/>
      <c r="AH8" s="46"/>
      <c r="AI8" s="46"/>
      <c r="AR8" s="55"/>
      <c r="AS8" s="55"/>
      <c r="AT8" s="55"/>
      <c r="AU8" s="55"/>
      <c r="AV8" s="55"/>
      <c r="AW8" s="55"/>
      <c r="AX8" s="55"/>
      <c r="AY8" s="55"/>
    </row>
    <row r="9" spans="1:78" s="19" customFormat="1" ht="26.25">
      <c r="A9" s="15" t="s">
        <v>117</v>
      </c>
      <c r="B9" s="16" t="s">
        <v>19</v>
      </c>
      <c r="C9" s="17">
        <v>76</v>
      </c>
      <c r="D9" s="18">
        <v>32.9</v>
      </c>
      <c r="E9" s="17">
        <v>27004313</v>
      </c>
      <c r="F9" s="18">
        <v>20.7</v>
      </c>
      <c r="G9" s="17">
        <v>62184294</v>
      </c>
      <c r="H9" s="18">
        <v>38.700000000000003</v>
      </c>
      <c r="I9" s="17">
        <v>8322101</v>
      </c>
      <c r="J9" s="18">
        <v>4.7</v>
      </c>
      <c r="K9" s="17">
        <v>49</v>
      </c>
      <c r="L9" s="18">
        <v>21.2</v>
      </c>
      <c r="M9" s="17">
        <v>41489407</v>
      </c>
      <c r="N9" s="18">
        <v>31.9</v>
      </c>
      <c r="O9" s="17">
        <v>64653921</v>
      </c>
      <c r="P9" s="18">
        <v>40.200000000000003</v>
      </c>
      <c r="Q9" s="17">
        <v>23642075</v>
      </c>
      <c r="R9" s="18">
        <v>13.4</v>
      </c>
      <c r="S9" s="17">
        <v>106</v>
      </c>
      <c r="T9" s="18">
        <v>45.9</v>
      </c>
      <c r="U9" s="17">
        <v>61763685</v>
      </c>
      <c r="V9" s="18">
        <v>47.4</v>
      </c>
      <c r="W9" s="17">
        <v>33840010</v>
      </c>
      <c r="X9" s="18">
        <v>21.1</v>
      </c>
      <c r="Y9" s="17">
        <v>144189586</v>
      </c>
      <c r="Z9" s="18">
        <v>81.900000000000006</v>
      </c>
      <c r="AB9" s="47">
        <v>76</v>
      </c>
      <c r="AC9" s="48">
        <v>32.9</v>
      </c>
      <c r="AD9" s="48">
        <v>27004313</v>
      </c>
      <c r="AE9" s="48">
        <v>20.7</v>
      </c>
      <c r="AF9" s="48">
        <v>62184294</v>
      </c>
      <c r="AG9" s="48">
        <v>38.700000000000003</v>
      </c>
      <c r="AH9" s="48">
        <v>8322101</v>
      </c>
      <c r="AI9" s="48">
        <v>4.7</v>
      </c>
      <c r="AJ9" s="38">
        <v>49</v>
      </c>
      <c r="AK9" s="39">
        <v>21.2</v>
      </c>
      <c r="AL9" s="39">
        <v>41489407</v>
      </c>
      <c r="AM9" s="39">
        <v>31.9</v>
      </c>
      <c r="AN9" s="39">
        <v>64653921</v>
      </c>
      <c r="AO9" s="39">
        <v>40.200000000000003</v>
      </c>
      <c r="AP9" s="39">
        <v>23642075</v>
      </c>
      <c r="AQ9" s="39">
        <v>13.4</v>
      </c>
      <c r="AR9" s="56">
        <v>106</v>
      </c>
      <c r="AS9" s="57">
        <v>45.9</v>
      </c>
      <c r="AT9" s="57">
        <v>61763685</v>
      </c>
      <c r="AU9" s="57">
        <v>47.4</v>
      </c>
      <c r="AV9" s="57">
        <v>33840010</v>
      </c>
      <c r="AW9" s="57">
        <v>21.1</v>
      </c>
      <c r="AX9" s="57">
        <v>144189586</v>
      </c>
      <c r="AY9" s="57">
        <v>81.900000000000006</v>
      </c>
      <c r="AZ9" s="62">
        <f>C9-AB9</f>
        <v>0</v>
      </c>
      <c r="BA9" s="62">
        <f t="shared" ref="BA9:BW9" si="0">D9-AC9</f>
        <v>0</v>
      </c>
      <c r="BB9" s="62">
        <f t="shared" si="0"/>
        <v>0</v>
      </c>
      <c r="BC9" s="62">
        <f t="shared" si="0"/>
        <v>0</v>
      </c>
      <c r="BD9" s="62">
        <f t="shared" si="0"/>
        <v>0</v>
      </c>
      <c r="BE9" s="62">
        <f t="shared" si="0"/>
        <v>0</v>
      </c>
      <c r="BF9" s="62">
        <f t="shared" si="0"/>
        <v>0</v>
      </c>
      <c r="BG9" s="62">
        <f t="shared" si="0"/>
        <v>0</v>
      </c>
      <c r="BH9" s="61">
        <f t="shared" si="0"/>
        <v>0</v>
      </c>
      <c r="BI9" s="61">
        <f t="shared" si="0"/>
        <v>0</v>
      </c>
      <c r="BJ9" s="61">
        <f t="shared" si="0"/>
        <v>0</v>
      </c>
      <c r="BK9" s="61">
        <f t="shared" si="0"/>
        <v>0</v>
      </c>
      <c r="BL9" s="61">
        <f t="shared" si="0"/>
        <v>0</v>
      </c>
      <c r="BM9" s="61">
        <f t="shared" si="0"/>
        <v>0</v>
      </c>
      <c r="BN9" s="61">
        <f t="shared" si="0"/>
        <v>0</v>
      </c>
      <c r="BO9" s="61">
        <f t="shared" si="0"/>
        <v>0</v>
      </c>
      <c r="BP9" s="61">
        <f t="shared" si="0"/>
        <v>0</v>
      </c>
      <c r="BQ9" s="61">
        <f t="shared" si="0"/>
        <v>0</v>
      </c>
      <c r="BR9" s="61">
        <f t="shared" si="0"/>
        <v>0</v>
      </c>
      <c r="BS9" s="61">
        <f t="shared" si="0"/>
        <v>0</v>
      </c>
      <c r="BT9" s="61">
        <f t="shared" si="0"/>
        <v>0</v>
      </c>
      <c r="BU9" s="61">
        <f t="shared" si="0"/>
        <v>0</v>
      </c>
      <c r="BV9" s="61">
        <f t="shared" si="0"/>
        <v>0</v>
      </c>
      <c r="BW9" s="61">
        <f t="shared" si="0"/>
        <v>0</v>
      </c>
      <c r="BX9" s="61"/>
      <c r="BY9" s="61"/>
      <c r="BZ9" s="61"/>
    </row>
    <row r="10" spans="1:78" s="19" customFormat="1" ht="26.25">
      <c r="A10" s="15" t="s">
        <v>118</v>
      </c>
      <c r="B10" s="16" t="s">
        <v>20</v>
      </c>
      <c r="C10" s="17">
        <v>22</v>
      </c>
      <c r="D10" s="18">
        <v>31.4</v>
      </c>
      <c r="E10" s="17">
        <v>7790862</v>
      </c>
      <c r="F10" s="18">
        <v>16.8</v>
      </c>
      <c r="G10" s="17">
        <v>14112871</v>
      </c>
      <c r="H10" s="18">
        <v>34.299999999999997</v>
      </c>
      <c r="I10" s="17">
        <v>604107</v>
      </c>
      <c r="J10" s="18">
        <v>1</v>
      </c>
      <c r="K10" s="17">
        <v>9</v>
      </c>
      <c r="L10" s="18">
        <v>12.9</v>
      </c>
      <c r="M10" s="17">
        <v>9316001</v>
      </c>
      <c r="N10" s="18">
        <v>20</v>
      </c>
      <c r="O10" s="17">
        <v>10876893</v>
      </c>
      <c r="P10" s="18">
        <v>26.5</v>
      </c>
      <c r="Q10" s="17">
        <v>12094886</v>
      </c>
      <c r="R10" s="18">
        <v>20.3</v>
      </c>
      <c r="S10" s="17">
        <v>39</v>
      </c>
      <c r="T10" s="18">
        <v>55.7</v>
      </c>
      <c r="U10" s="17">
        <v>29343686</v>
      </c>
      <c r="V10" s="18">
        <v>63.2</v>
      </c>
      <c r="W10" s="17">
        <v>16094534</v>
      </c>
      <c r="X10" s="18">
        <v>39.200000000000003</v>
      </c>
      <c r="Y10" s="17">
        <v>47023276</v>
      </c>
      <c r="Z10" s="18">
        <v>78.7</v>
      </c>
      <c r="AB10" s="49">
        <v>22</v>
      </c>
      <c r="AC10" s="50">
        <v>31.4</v>
      </c>
      <c r="AD10" s="50">
        <v>7790862</v>
      </c>
      <c r="AE10" s="50">
        <v>16.8</v>
      </c>
      <c r="AF10" s="50">
        <v>14112871</v>
      </c>
      <c r="AG10" s="50">
        <v>34.299999999999997</v>
      </c>
      <c r="AH10" s="50">
        <v>604107</v>
      </c>
      <c r="AI10" s="50">
        <v>1</v>
      </c>
      <c r="AJ10" s="40">
        <v>9</v>
      </c>
      <c r="AK10" s="41">
        <v>12.9</v>
      </c>
      <c r="AL10" s="41">
        <v>9316001</v>
      </c>
      <c r="AM10" s="41">
        <v>20</v>
      </c>
      <c r="AN10" s="41">
        <v>10876893</v>
      </c>
      <c r="AO10" s="41">
        <v>26.5</v>
      </c>
      <c r="AP10" s="41">
        <v>12094886</v>
      </c>
      <c r="AQ10" s="41">
        <v>20.3</v>
      </c>
      <c r="AR10" s="58">
        <v>39</v>
      </c>
      <c r="AS10" s="59">
        <v>55.7</v>
      </c>
      <c r="AT10" s="59">
        <v>29343686</v>
      </c>
      <c r="AU10" s="59">
        <v>63.2</v>
      </c>
      <c r="AV10" s="59">
        <v>16094534</v>
      </c>
      <c r="AW10" s="59">
        <v>39.200000000000003</v>
      </c>
      <c r="AX10" s="59">
        <v>47023276</v>
      </c>
      <c r="AY10" s="59">
        <v>78.7</v>
      </c>
      <c r="AZ10" s="62">
        <f t="shared" ref="AZ10:AZ66" si="1">C10-AB10</f>
        <v>0</v>
      </c>
      <c r="BA10" s="62">
        <f t="shared" ref="BA10:BA66" si="2">D10-AC10</f>
        <v>0</v>
      </c>
      <c r="BB10" s="62">
        <f t="shared" ref="BB10:BB66" si="3">E10-AD10</f>
        <v>0</v>
      </c>
      <c r="BC10" s="62">
        <f t="shared" ref="BC10:BC66" si="4">F10-AE10</f>
        <v>0</v>
      </c>
      <c r="BD10" s="62">
        <f t="shared" ref="BD10:BD66" si="5">G10-AF10</f>
        <v>0</v>
      </c>
      <c r="BE10" s="62">
        <f t="shared" ref="BE10:BE66" si="6">H10-AG10</f>
        <v>0</v>
      </c>
      <c r="BF10" s="62">
        <f t="shared" ref="BF10:BF66" si="7">I10-AH10</f>
        <v>0</v>
      </c>
      <c r="BG10" s="62">
        <f t="shared" ref="BG10:BG66" si="8">J10-AI10</f>
        <v>0</v>
      </c>
      <c r="BH10" s="61">
        <f t="shared" ref="BH10:BH66" si="9">K10-AJ10</f>
        <v>0</v>
      </c>
      <c r="BI10" s="61">
        <f t="shared" ref="BI10:BI66" si="10">L10-AK10</f>
        <v>0</v>
      </c>
      <c r="BJ10" s="61">
        <f t="shared" ref="BJ10:BJ66" si="11">M10-AL10</f>
        <v>0</v>
      </c>
      <c r="BK10" s="61">
        <f t="shared" ref="BK10:BK66" si="12">N10-AM10</f>
        <v>0</v>
      </c>
      <c r="BL10" s="61">
        <f t="shared" ref="BL10:BL66" si="13">O10-AN10</f>
        <v>0</v>
      </c>
      <c r="BM10" s="61">
        <f t="shared" ref="BM10:BM66" si="14">P10-AO10</f>
        <v>0</v>
      </c>
      <c r="BN10" s="61">
        <f t="shared" ref="BN10:BN66" si="15">Q10-AP10</f>
        <v>0</v>
      </c>
      <c r="BO10" s="61">
        <f t="shared" ref="BO10:BO66" si="16">R10-AQ10</f>
        <v>0</v>
      </c>
      <c r="BP10" s="61">
        <f t="shared" ref="BP10:BP66" si="17">S10-AR10</f>
        <v>0</v>
      </c>
      <c r="BQ10" s="61">
        <f t="shared" ref="BQ10:BQ66" si="18">T10-AS10</f>
        <v>0</v>
      </c>
      <c r="BR10" s="61">
        <f t="shared" ref="BR10:BR66" si="19">U10-AT10</f>
        <v>0</v>
      </c>
      <c r="BS10" s="61">
        <f t="shared" ref="BS10:BS66" si="20">V10-AU10</f>
        <v>0</v>
      </c>
      <c r="BT10" s="61">
        <f t="shared" ref="BT10:BT66" si="21">W10-AV10</f>
        <v>0</v>
      </c>
      <c r="BU10" s="61">
        <f t="shared" ref="BU10:BU66" si="22">X10-AW10</f>
        <v>0</v>
      </c>
      <c r="BV10" s="61">
        <f t="shared" ref="BV10:BV66" si="23">Y10-AX10</f>
        <v>0</v>
      </c>
      <c r="BW10" s="61">
        <f t="shared" ref="BW10:BW66" si="24">Z10-AY10</f>
        <v>0</v>
      </c>
    </row>
    <row r="11" spans="1:78" ht="26.25">
      <c r="A11" s="2" t="s">
        <v>21</v>
      </c>
      <c r="B11" s="5" t="s">
        <v>22</v>
      </c>
      <c r="C11" s="3">
        <v>2</v>
      </c>
      <c r="D11" s="4">
        <v>18.2</v>
      </c>
      <c r="E11" s="3">
        <v>78481</v>
      </c>
      <c r="F11" s="4">
        <v>8.5</v>
      </c>
      <c r="G11" s="3">
        <v>18275</v>
      </c>
      <c r="H11" s="4">
        <v>1.8</v>
      </c>
      <c r="I11" s="3">
        <v>10477</v>
      </c>
      <c r="J11" s="4">
        <v>5.7</v>
      </c>
      <c r="K11" s="3">
        <v>2</v>
      </c>
      <c r="L11" s="4">
        <v>18.2</v>
      </c>
      <c r="M11" s="3">
        <v>552063</v>
      </c>
      <c r="N11" s="4">
        <v>59.6</v>
      </c>
      <c r="O11" s="3">
        <v>648536</v>
      </c>
      <c r="P11" s="4">
        <v>64.5</v>
      </c>
      <c r="Q11" s="3">
        <v>71468</v>
      </c>
      <c r="R11" s="4">
        <v>38.6</v>
      </c>
      <c r="S11" s="3">
        <v>7</v>
      </c>
      <c r="T11" s="4">
        <v>63.6</v>
      </c>
      <c r="U11" s="3">
        <v>295613</v>
      </c>
      <c r="V11" s="4">
        <v>31.9</v>
      </c>
      <c r="W11" s="3">
        <v>339130</v>
      </c>
      <c r="X11" s="4">
        <v>33.700000000000003</v>
      </c>
      <c r="Y11" s="3">
        <v>103174</v>
      </c>
      <c r="Z11" s="4">
        <v>55.7</v>
      </c>
      <c r="AB11" s="49">
        <v>2</v>
      </c>
      <c r="AC11" s="50">
        <v>18.2</v>
      </c>
      <c r="AD11" s="50">
        <v>78481</v>
      </c>
      <c r="AE11" s="50">
        <v>8.5</v>
      </c>
      <c r="AF11" s="50">
        <v>18275</v>
      </c>
      <c r="AG11" s="50">
        <v>1.8</v>
      </c>
      <c r="AH11" s="50">
        <v>10477</v>
      </c>
      <c r="AI11" s="50">
        <v>5.7</v>
      </c>
      <c r="AJ11" s="40">
        <v>2</v>
      </c>
      <c r="AK11" s="41">
        <v>18.2</v>
      </c>
      <c r="AL11" s="41">
        <v>552063</v>
      </c>
      <c r="AM11" s="41">
        <v>59.6</v>
      </c>
      <c r="AN11" s="41">
        <v>648536</v>
      </c>
      <c r="AO11" s="41">
        <v>64.5</v>
      </c>
      <c r="AP11" s="41">
        <v>71468</v>
      </c>
      <c r="AQ11" s="41">
        <v>38.6</v>
      </c>
      <c r="AR11" s="58">
        <v>7</v>
      </c>
      <c r="AS11" s="59">
        <v>63.6</v>
      </c>
      <c r="AT11" s="59">
        <v>295613</v>
      </c>
      <c r="AU11" s="59">
        <v>31.9</v>
      </c>
      <c r="AV11" s="59">
        <v>339130</v>
      </c>
      <c r="AW11" s="59">
        <v>33.700000000000003</v>
      </c>
      <c r="AX11" s="59">
        <v>103174</v>
      </c>
      <c r="AY11" s="59">
        <v>55.7</v>
      </c>
      <c r="AZ11" s="62">
        <f t="shared" si="1"/>
        <v>0</v>
      </c>
      <c r="BA11" s="62">
        <f t="shared" si="2"/>
        <v>0</v>
      </c>
      <c r="BB11" s="62">
        <f t="shared" si="3"/>
        <v>0</v>
      </c>
      <c r="BC11" s="62">
        <f t="shared" si="4"/>
        <v>0</v>
      </c>
      <c r="BD11" s="62">
        <f t="shared" si="5"/>
        <v>0</v>
      </c>
      <c r="BE11" s="62">
        <f t="shared" si="6"/>
        <v>0</v>
      </c>
      <c r="BF11" s="62">
        <f t="shared" si="7"/>
        <v>0</v>
      </c>
      <c r="BG11" s="62">
        <f t="shared" si="8"/>
        <v>0</v>
      </c>
      <c r="BH11" s="61">
        <f t="shared" si="9"/>
        <v>0</v>
      </c>
      <c r="BI11" s="61">
        <f t="shared" si="10"/>
        <v>0</v>
      </c>
      <c r="BJ11" s="61">
        <f t="shared" si="11"/>
        <v>0</v>
      </c>
      <c r="BK11" s="61">
        <f t="shared" si="12"/>
        <v>0</v>
      </c>
      <c r="BL11" s="61">
        <f t="shared" si="13"/>
        <v>0</v>
      </c>
      <c r="BM11" s="61">
        <f t="shared" si="14"/>
        <v>0</v>
      </c>
      <c r="BN11" s="61">
        <f t="shared" si="15"/>
        <v>0</v>
      </c>
      <c r="BO11" s="61">
        <f t="shared" si="16"/>
        <v>0</v>
      </c>
      <c r="BP11" s="61">
        <f t="shared" si="17"/>
        <v>0</v>
      </c>
      <c r="BQ11" s="61">
        <f t="shared" si="18"/>
        <v>0</v>
      </c>
      <c r="BR11" s="61">
        <f t="shared" si="19"/>
        <v>0</v>
      </c>
      <c r="BS11" s="61">
        <f t="shared" si="20"/>
        <v>0</v>
      </c>
      <c r="BT11" s="61">
        <f t="shared" si="21"/>
        <v>0</v>
      </c>
      <c r="BU11" s="61">
        <f t="shared" si="22"/>
        <v>0</v>
      </c>
      <c r="BV11" s="61">
        <f t="shared" si="23"/>
        <v>0</v>
      </c>
      <c r="BW11" s="61">
        <f t="shared" si="24"/>
        <v>0</v>
      </c>
    </row>
    <row r="12" spans="1:78" ht="15.75">
      <c r="A12" s="2" t="s">
        <v>23</v>
      </c>
      <c r="B12" s="5" t="s">
        <v>24</v>
      </c>
      <c r="C12" s="3">
        <v>20</v>
      </c>
      <c r="D12" s="4">
        <v>33.9</v>
      </c>
      <c r="E12" s="3">
        <v>7712381</v>
      </c>
      <c r="F12" s="4">
        <v>16.899999999999999</v>
      </c>
      <c r="G12" s="3">
        <v>14094596</v>
      </c>
      <c r="H12" s="4">
        <v>35.200000000000003</v>
      </c>
      <c r="I12" s="3">
        <v>593630</v>
      </c>
      <c r="J12" s="4">
        <v>1</v>
      </c>
      <c r="K12" s="3">
        <v>7</v>
      </c>
      <c r="L12" s="4">
        <v>11.9</v>
      </c>
      <c r="M12" s="3">
        <v>8763938</v>
      </c>
      <c r="N12" s="4">
        <v>19.3</v>
      </c>
      <c r="O12" s="3">
        <v>10228357</v>
      </c>
      <c r="P12" s="4">
        <v>25.5</v>
      </c>
      <c r="Q12" s="3">
        <v>12023418</v>
      </c>
      <c r="R12" s="4">
        <v>20.2</v>
      </c>
      <c r="S12" s="3">
        <v>32</v>
      </c>
      <c r="T12" s="4">
        <v>54.2</v>
      </c>
      <c r="U12" s="3">
        <v>29048073</v>
      </c>
      <c r="V12" s="4">
        <v>63.8</v>
      </c>
      <c r="W12" s="3">
        <v>15755404</v>
      </c>
      <c r="X12" s="4">
        <v>39.299999999999997</v>
      </c>
      <c r="Y12" s="3">
        <v>46920102</v>
      </c>
      <c r="Z12" s="4">
        <v>78.8</v>
      </c>
      <c r="AB12" s="49">
        <v>20</v>
      </c>
      <c r="AC12" s="50">
        <v>33.9</v>
      </c>
      <c r="AD12" s="50">
        <v>7712381</v>
      </c>
      <c r="AE12" s="50">
        <v>16.899999999999999</v>
      </c>
      <c r="AF12" s="50">
        <v>14094596</v>
      </c>
      <c r="AG12" s="50">
        <v>35.200000000000003</v>
      </c>
      <c r="AH12" s="50">
        <v>593630</v>
      </c>
      <c r="AI12" s="50">
        <v>1</v>
      </c>
      <c r="AJ12" s="40">
        <v>7</v>
      </c>
      <c r="AK12" s="41">
        <v>11.9</v>
      </c>
      <c r="AL12" s="41">
        <v>8763938</v>
      </c>
      <c r="AM12" s="41">
        <v>19.3</v>
      </c>
      <c r="AN12" s="41">
        <v>10228357</v>
      </c>
      <c r="AO12" s="41">
        <v>25.5</v>
      </c>
      <c r="AP12" s="41">
        <v>12023418</v>
      </c>
      <c r="AQ12" s="41">
        <v>20.2</v>
      </c>
      <c r="AR12" s="58">
        <v>32</v>
      </c>
      <c r="AS12" s="59">
        <v>54.2</v>
      </c>
      <c r="AT12" s="59">
        <v>29048073</v>
      </c>
      <c r="AU12" s="59">
        <v>63.8</v>
      </c>
      <c r="AV12" s="59">
        <v>15755404</v>
      </c>
      <c r="AW12" s="59">
        <v>39.299999999999997</v>
      </c>
      <c r="AX12" s="59">
        <v>46920102</v>
      </c>
      <c r="AY12" s="59">
        <v>78.8</v>
      </c>
      <c r="AZ12" s="62">
        <f t="shared" si="1"/>
        <v>0</v>
      </c>
      <c r="BA12" s="62">
        <f t="shared" si="2"/>
        <v>0</v>
      </c>
      <c r="BB12" s="62">
        <f t="shared" si="3"/>
        <v>0</v>
      </c>
      <c r="BC12" s="62">
        <f t="shared" si="4"/>
        <v>0</v>
      </c>
      <c r="BD12" s="62">
        <f t="shared" si="5"/>
        <v>0</v>
      </c>
      <c r="BE12" s="62">
        <f t="shared" si="6"/>
        <v>0</v>
      </c>
      <c r="BF12" s="62">
        <f t="shared" si="7"/>
        <v>0</v>
      </c>
      <c r="BG12" s="62">
        <f t="shared" si="8"/>
        <v>0</v>
      </c>
      <c r="BH12" s="61">
        <f t="shared" si="9"/>
        <v>0</v>
      </c>
      <c r="BI12" s="61">
        <f t="shared" si="10"/>
        <v>0</v>
      </c>
      <c r="BJ12" s="61">
        <f t="shared" si="11"/>
        <v>0</v>
      </c>
      <c r="BK12" s="61">
        <f t="shared" si="12"/>
        <v>0</v>
      </c>
      <c r="BL12" s="61">
        <f t="shared" si="13"/>
        <v>0</v>
      </c>
      <c r="BM12" s="61">
        <f t="shared" si="14"/>
        <v>0</v>
      </c>
      <c r="BN12" s="61">
        <f t="shared" si="15"/>
        <v>0</v>
      </c>
      <c r="BO12" s="61">
        <f t="shared" si="16"/>
        <v>0</v>
      </c>
      <c r="BP12" s="61">
        <f t="shared" si="17"/>
        <v>0</v>
      </c>
      <c r="BQ12" s="61">
        <f t="shared" si="18"/>
        <v>0</v>
      </c>
      <c r="BR12" s="61">
        <f t="shared" si="19"/>
        <v>0</v>
      </c>
      <c r="BS12" s="61">
        <f t="shared" si="20"/>
        <v>0</v>
      </c>
      <c r="BT12" s="61">
        <f t="shared" si="21"/>
        <v>0</v>
      </c>
      <c r="BU12" s="61">
        <f t="shared" si="22"/>
        <v>0</v>
      </c>
      <c r="BV12" s="61">
        <f t="shared" si="23"/>
        <v>0</v>
      </c>
      <c r="BW12" s="61">
        <f t="shared" si="24"/>
        <v>0</v>
      </c>
    </row>
    <row r="13" spans="1:78" s="19" customFormat="1" ht="15.75">
      <c r="A13" s="15" t="s">
        <v>119</v>
      </c>
      <c r="B13" s="16" t="s">
        <v>25</v>
      </c>
      <c r="C13" s="17">
        <v>3</v>
      </c>
      <c r="D13" s="18">
        <v>37.5</v>
      </c>
      <c r="E13" s="17">
        <v>4601561</v>
      </c>
      <c r="F13" s="18">
        <v>35.4</v>
      </c>
      <c r="G13" s="17">
        <v>9493131</v>
      </c>
      <c r="H13" s="18">
        <v>67.5</v>
      </c>
      <c r="I13" s="17">
        <v>42974</v>
      </c>
      <c r="J13" s="18">
        <v>17</v>
      </c>
      <c r="K13" s="17">
        <v>1</v>
      </c>
      <c r="L13" s="18">
        <v>12.5</v>
      </c>
      <c r="M13" s="17">
        <v>80245</v>
      </c>
      <c r="N13" s="18">
        <v>0.6</v>
      </c>
      <c r="O13" s="17">
        <v>353725</v>
      </c>
      <c r="P13" s="18">
        <v>2.5</v>
      </c>
      <c r="Q13" s="17">
        <v>795</v>
      </c>
      <c r="R13" s="18">
        <v>0.3</v>
      </c>
      <c r="S13" s="17">
        <v>4</v>
      </c>
      <c r="T13" s="18">
        <v>50</v>
      </c>
      <c r="U13" s="17">
        <v>8334082</v>
      </c>
      <c r="V13" s="18">
        <v>64</v>
      </c>
      <c r="W13" s="17">
        <v>4222938</v>
      </c>
      <c r="X13" s="18">
        <v>30</v>
      </c>
      <c r="Y13" s="17">
        <v>209322</v>
      </c>
      <c r="Z13" s="18">
        <v>82.7</v>
      </c>
      <c r="AB13" s="49">
        <v>3</v>
      </c>
      <c r="AC13" s="50">
        <v>37.5</v>
      </c>
      <c r="AD13" s="50">
        <v>4601561</v>
      </c>
      <c r="AE13" s="50">
        <v>35.4</v>
      </c>
      <c r="AF13" s="50">
        <v>9493131</v>
      </c>
      <c r="AG13" s="50">
        <v>67.5</v>
      </c>
      <c r="AH13" s="50">
        <v>42974</v>
      </c>
      <c r="AI13" s="50">
        <v>17</v>
      </c>
      <c r="AJ13" s="40">
        <v>1</v>
      </c>
      <c r="AK13" s="41">
        <v>12.5</v>
      </c>
      <c r="AL13" s="41">
        <v>80245</v>
      </c>
      <c r="AM13" s="41">
        <v>0.6</v>
      </c>
      <c r="AN13" s="41">
        <v>353725</v>
      </c>
      <c r="AO13" s="41">
        <v>2.5</v>
      </c>
      <c r="AP13" s="41">
        <v>795</v>
      </c>
      <c r="AQ13" s="41">
        <v>0.3</v>
      </c>
      <c r="AR13" s="58">
        <v>4</v>
      </c>
      <c r="AS13" s="59">
        <v>50</v>
      </c>
      <c r="AT13" s="59">
        <v>8334082</v>
      </c>
      <c r="AU13" s="59">
        <v>64</v>
      </c>
      <c r="AV13" s="59">
        <v>4222938</v>
      </c>
      <c r="AW13" s="59">
        <v>30</v>
      </c>
      <c r="AX13" s="59">
        <v>209322</v>
      </c>
      <c r="AY13" s="59">
        <v>82.7</v>
      </c>
      <c r="AZ13" s="62">
        <f t="shared" si="1"/>
        <v>0</v>
      </c>
      <c r="BA13" s="62">
        <f t="shared" si="2"/>
        <v>0</v>
      </c>
      <c r="BB13" s="62">
        <f t="shared" si="3"/>
        <v>0</v>
      </c>
      <c r="BC13" s="62">
        <f t="shared" si="4"/>
        <v>0</v>
      </c>
      <c r="BD13" s="62">
        <f t="shared" si="5"/>
        <v>0</v>
      </c>
      <c r="BE13" s="62">
        <f t="shared" si="6"/>
        <v>0</v>
      </c>
      <c r="BF13" s="62">
        <f t="shared" si="7"/>
        <v>0</v>
      </c>
      <c r="BG13" s="62">
        <f t="shared" si="8"/>
        <v>0</v>
      </c>
      <c r="BH13" s="61">
        <f t="shared" si="9"/>
        <v>0</v>
      </c>
      <c r="BI13" s="61">
        <f t="shared" si="10"/>
        <v>0</v>
      </c>
      <c r="BJ13" s="61">
        <f t="shared" si="11"/>
        <v>0</v>
      </c>
      <c r="BK13" s="61">
        <f t="shared" si="12"/>
        <v>0</v>
      </c>
      <c r="BL13" s="61">
        <f t="shared" si="13"/>
        <v>0</v>
      </c>
      <c r="BM13" s="61">
        <f t="shared" si="14"/>
        <v>0</v>
      </c>
      <c r="BN13" s="61">
        <f t="shared" si="15"/>
        <v>0</v>
      </c>
      <c r="BO13" s="61">
        <f t="shared" si="16"/>
        <v>0</v>
      </c>
      <c r="BP13" s="61">
        <f t="shared" si="17"/>
        <v>0</v>
      </c>
      <c r="BQ13" s="61">
        <f t="shared" si="18"/>
        <v>0</v>
      </c>
      <c r="BR13" s="61">
        <f t="shared" si="19"/>
        <v>0</v>
      </c>
      <c r="BS13" s="61">
        <f t="shared" si="20"/>
        <v>0</v>
      </c>
      <c r="BT13" s="61">
        <f t="shared" si="21"/>
        <v>0</v>
      </c>
      <c r="BU13" s="61">
        <f t="shared" si="22"/>
        <v>0</v>
      </c>
      <c r="BV13" s="61">
        <f t="shared" si="23"/>
        <v>0</v>
      </c>
      <c r="BW13" s="61">
        <f t="shared" si="24"/>
        <v>0</v>
      </c>
    </row>
    <row r="14" spans="1:78" ht="15.75">
      <c r="A14" s="2" t="s">
        <v>26</v>
      </c>
      <c r="B14" s="5" t="s">
        <v>27</v>
      </c>
      <c r="C14" s="3">
        <v>3</v>
      </c>
      <c r="D14" s="4">
        <v>37.5</v>
      </c>
      <c r="E14" s="3">
        <v>4601561</v>
      </c>
      <c r="F14" s="4">
        <v>35.4</v>
      </c>
      <c r="G14" s="3">
        <v>9493131</v>
      </c>
      <c r="H14" s="4">
        <v>67.5</v>
      </c>
      <c r="I14" s="3">
        <v>42974</v>
      </c>
      <c r="J14" s="4">
        <v>17</v>
      </c>
      <c r="K14" s="3">
        <v>1</v>
      </c>
      <c r="L14" s="4">
        <v>12.5</v>
      </c>
      <c r="M14" s="3">
        <v>80245</v>
      </c>
      <c r="N14" s="4">
        <v>0.6</v>
      </c>
      <c r="O14" s="3">
        <v>353725</v>
      </c>
      <c r="P14" s="4">
        <v>2.5</v>
      </c>
      <c r="Q14" s="3">
        <v>795</v>
      </c>
      <c r="R14" s="4">
        <v>0.3</v>
      </c>
      <c r="S14" s="3">
        <v>4</v>
      </c>
      <c r="T14" s="4">
        <v>50</v>
      </c>
      <c r="U14" s="3">
        <v>8334082</v>
      </c>
      <c r="V14" s="4">
        <v>64</v>
      </c>
      <c r="W14" s="3">
        <v>4222938</v>
      </c>
      <c r="X14" s="4">
        <v>30</v>
      </c>
      <c r="Y14" s="3">
        <v>209322</v>
      </c>
      <c r="Z14" s="4">
        <v>82.7</v>
      </c>
      <c r="AB14" s="49">
        <v>3</v>
      </c>
      <c r="AC14" s="50">
        <v>37.5</v>
      </c>
      <c r="AD14" s="50">
        <v>4601561</v>
      </c>
      <c r="AE14" s="50">
        <v>35.4</v>
      </c>
      <c r="AF14" s="50">
        <v>9493131</v>
      </c>
      <c r="AG14" s="50">
        <v>67.5</v>
      </c>
      <c r="AH14" s="50">
        <v>42974</v>
      </c>
      <c r="AI14" s="50">
        <v>17</v>
      </c>
      <c r="AJ14" s="40">
        <v>1</v>
      </c>
      <c r="AK14" s="41">
        <v>12.5</v>
      </c>
      <c r="AL14" s="41">
        <v>80245</v>
      </c>
      <c r="AM14" s="41">
        <v>0.6</v>
      </c>
      <c r="AN14" s="41">
        <v>353725</v>
      </c>
      <c r="AO14" s="41">
        <v>2.5</v>
      </c>
      <c r="AP14" s="41">
        <v>795</v>
      </c>
      <c r="AQ14" s="41">
        <v>0.3</v>
      </c>
      <c r="AR14" s="58">
        <v>4</v>
      </c>
      <c r="AS14" s="59">
        <v>50</v>
      </c>
      <c r="AT14" s="59">
        <v>8334082</v>
      </c>
      <c r="AU14" s="59">
        <v>64</v>
      </c>
      <c r="AV14" s="59">
        <v>4222938</v>
      </c>
      <c r="AW14" s="59">
        <v>30</v>
      </c>
      <c r="AX14" s="59">
        <v>209322</v>
      </c>
      <c r="AY14" s="59">
        <v>82.7</v>
      </c>
      <c r="AZ14" s="62">
        <f t="shared" si="1"/>
        <v>0</v>
      </c>
      <c r="BA14" s="62">
        <f t="shared" si="2"/>
        <v>0</v>
      </c>
      <c r="BB14" s="62">
        <f t="shared" si="3"/>
        <v>0</v>
      </c>
      <c r="BC14" s="62">
        <f t="shared" si="4"/>
        <v>0</v>
      </c>
      <c r="BD14" s="62">
        <f t="shared" si="5"/>
        <v>0</v>
      </c>
      <c r="BE14" s="62">
        <f t="shared" si="6"/>
        <v>0</v>
      </c>
      <c r="BF14" s="62">
        <f t="shared" si="7"/>
        <v>0</v>
      </c>
      <c r="BG14" s="62">
        <f t="shared" si="8"/>
        <v>0</v>
      </c>
      <c r="BH14" s="61">
        <f t="shared" si="9"/>
        <v>0</v>
      </c>
      <c r="BI14" s="61">
        <f t="shared" si="10"/>
        <v>0</v>
      </c>
      <c r="BJ14" s="61">
        <f t="shared" si="11"/>
        <v>0</v>
      </c>
      <c r="BK14" s="61">
        <f t="shared" si="12"/>
        <v>0</v>
      </c>
      <c r="BL14" s="61">
        <f t="shared" si="13"/>
        <v>0</v>
      </c>
      <c r="BM14" s="61">
        <f t="shared" si="14"/>
        <v>0</v>
      </c>
      <c r="BN14" s="61">
        <f t="shared" si="15"/>
        <v>0</v>
      </c>
      <c r="BO14" s="61">
        <f t="shared" si="16"/>
        <v>0</v>
      </c>
      <c r="BP14" s="61">
        <f t="shared" si="17"/>
        <v>0</v>
      </c>
      <c r="BQ14" s="61">
        <f t="shared" si="18"/>
        <v>0</v>
      </c>
      <c r="BR14" s="61">
        <f t="shared" si="19"/>
        <v>0</v>
      </c>
      <c r="BS14" s="61">
        <f t="shared" si="20"/>
        <v>0</v>
      </c>
      <c r="BT14" s="61">
        <f t="shared" si="21"/>
        <v>0</v>
      </c>
      <c r="BU14" s="61">
        <f t="shared" si="22"/>
        <v>0</v>
      </c>
      <c r="BV14" s="61">
        <f t="shared" si="23"/>
        <v>0</v>
      </c>
      <c r="BW14" s="61">
        <f t="shared" si="24"/>
        <v>0</v>
      </c>
    </row>
    <row r="15" spans="1:78" s="19" customFormat="1" ht="15.75">
      <c r="A15" s="15" t="s">
        <v>120</v>
      </c>
      <c r="B15" s="16" t="s">
        <v>28</v>
      </c>
      <c r="C15" s="17">
        <v>2</v>
      </c>
      <c r="D15" s="18">
        <v>8.3000000000000007</v>
      </c>
      <c r="E15" s="17">
        <v>187773</v>
      </c>
      <c r="F15" s="18">
        <v>1.8</v>
      </c>
      <c r="G15" s="17">
        <v>1355609</v>
      </c>
      <c r="H15" s="18">
        <v>17</v>
      </c>
      <c r="I15" s="17">
        <v>47</v>
      </c>
      <c r="J15" s="18">
        <v>0</v>
      </c>
      <c r="K15" s="17">
        <v>6</v>
      </c>
      <c r="L15" s="18">
        <v>25</v>
      </c>
      <c r="M15" s="17">
        <v>1715494</v>
      </c>
      <c r="N15" s="18">
        <v>16.899999999999999</v>
      </c>
      <c r="O15" s="17">
        <v>1562642</v>
      </c>
      <c r="P15" s="18">
        <v>19.600000000000001</v>
      </c>
      <c r="Q15" s="17">
        <v>186939</v>
      </c>
      <c r="R15" s="18">
        <v>4.8</v>
      </c>
      <c r="S15" s="17">
        <v>16</v>
      </c>
      <c r="T15" s="18">
        <v>66.7</v>
      </c>
      <c r="U15" s="17">
        <v>8250107</v>
      </c>
      <c r="V15" s="18">
        <v>81.3</v>
      </c>
      <c r="W15" s="17">
        <v>5055020</v>
      </c>
      <c r="X15" s="18">
        <v>63.4</v>
      </c>
      <c r="Y15" s="17">
        <v>3720222</v>
      </c>
      <c r="Z15" s="18">
        <v>95.2</v>
      </c>
      <c r="AB15" s="49">
        <v>2</v>
      </c>
      <c r="AC15" s="50">
        <v>8.3000000000000007</v>
      </c>
      <c r="AD15" s="50">
        <v>187773</v>
      </c>
      <c r="AE15" s="50">
        <v>1.8</v>
      </c>
      <c r="AF15" s="50">
        <v>1355609</v>
      </c>
      <c r="AG15" s="50">
        <v>17</v>
      </c>
      <c r="AH15" s="50">
        <v>47</v>
      </c>
      <c r="AI15" s="50">
        <v>0</v>
      </c>
      <c r="AJ15" s="40">
        <v>6</v>
      </c>
      <c r="AK15" s="41">
        <v>25</v>
      </c>
      <c r="AL15" s="41">
        <v>1715494</v>
      </c>
      <c r="AM15" s="41">
        <v>16.899999999999999</v>
      </c>
      <c r="AN15" s="41">
        <v>1562642</v>
      </c>
      <c r="AO15" s="41">
        <v>19.600000000000001</v>
      </c>
      <c r="AP15" s="41">
        <v>186939</v>
      </c>
      <c r="AQ15" s="41">
        <v>4.8</v>
      </c>
      <c r="AR15" s="58">
        <v>16</v>
      </c>
      <c r="AS15" s="59">
        <v>66.7</v>
      </c>
      <c r="AT15" s="59">
        <v>8250107</v>
      </c>
      <c r="AU15" s="59">
        <v>81.3</v>
      </c>
      <c r="AV15" s="59">
        <v>5055020</v>
      </c>
      <c r="AW15" s="59">
        <v>63.4</v>
      </c>
      <c r="AX15" s="59">
        <v>3720222</v>
      </c>
      <c r="AY15" s="59">
        <v>95.2</v>
      </c>
      <c r="AZ15" s="62">
        <f t="shared" si="1"/>
        <v>0</v>
      </c>
      <c r="BA15" s="62">
        <f t="shared" si="2"/>
        <v>0</v>
      </c>
      <c r="BB15" s="62">
        <f t="shared" si="3"/>
        <v>0</v>
      </c>
      <c r="BC15" s="62">
        <f t="shared" si="4"/>
        <v>0</v>
      </c>
      <c r="BD15" s="62">
        <f t="shared" si="5"/>
        <v>0</v>
      </c>
      <c r="BE15" s="62">
        <f t="shared" si="6"/>
        <v>0</v>
      </c>
      <c r="BF15" s="62">
        <f t="shared" si="7"/>
        <v>0</v>
      </c>
      <c r="BG15" s="62">
        <f t="shared" si="8"/>
        <v>0</v>
      </c>
      <c r="BH15" s="61">
        <f t="shared" si="9"/>
        <v>0</v>
      </c>
      <c r="BI15" s="61">
        <f t="shared" si="10"/>
        <v>0</v>
      </c>
      <c r="BJ15" s="61">
        <f t="shared" si="11"/>
        <v>0</v>
      </c>
      <c r="BK15" s="61">
        <f t="shared" si="12"/>
        <v>0</v>
      </c>
      <c r="BL15" s="61">
        <f t="shared" si="13"/>
        <v>0</v>
      </c>
      <c r="BM15" s="61">
        <f t="shared" si="14"/>
        <v>0</v>
      </c>
      <c r="BN15" s="61">
        <f t="shared" si="15"/>
        <v>0</v>
      </c>
      <c r="BO15" s="61">
        <f t="shared" si="16"/>
        <v>0</v>
      </c>
      <c r="BP15" s="61">
        <f t="shared" si="17"/>
        <v>0</v>
      </c>
      <c r="BQ15" s="61">
        <f t="shared" si="18"/>
        <v>0</v>
      </c>
      <c r="BR15" s="61">
        <f t="shared" si="19"/>
        <v>0</v>
      </c>
      <c r="BS15" s="61">
        <f t="shared" si="20"/>
        <v>0</v>
      </c>
      <c r="BT15" s="61">
        <f t="shared" si="21"/>
        <v>0</v>
      </c>
      <c r="BU15" s="61">
        <f t="shared" si="22"/>
        <v>0</v>
      </c>
      <c r="BV15" s="61">
        <f t="shared" si="23"/>
        <v>0</v>
      </c>
      <c r="BW15" s="61">
        <f t="shared" si="24"/>
        <v>0</v>
      </c>
    </row>
    <row r="16" spans="1:78" ht="15.75">
      <c r="A16" s="2" t="s">
        <v>29</v>
      </c>
      <c r="B16" s="5" t="s">
        <v>30</v>
      </c>
      <c r="C16" s="3">
        <v>1</v>
      </c>
      <c r="D16" s="4">
        <v>5.3</v>
      </c>
      <c r="E16" s="3">
        <v>10</v>
      </c>
      <c r="F16" s="4">
        <v>0</v>
      </c>
      <c r="G16" s="3" t="s">
        <v>31</v>
      </c>
      <c r="H16" s="4" t="s">
        <v>31</v>
      </c>
      <c r="I16" s="3" t="s">
        <v>31</v>
      </c>
      <c r="J16" s="4" t="s">
        <v>31</v>
      </c>
      <c r="K16" s="3">
        <v>5</v>
      </c>
      <c r="L16" s="4">
        <v>26.3</v>
      </c>
      <c r="M16" s="3">
        <v>1708987</v>
      </c>
      <c r="N16" s="4">
        <v>17.600000000000001</v>
      </c>
      <c r="O16" s="3">
        <v>1550206</v>
      </c>
      <c r="P16" s="4">
        <v>45.2</v>
      </c>
      <c r="Q16" s="3">
        <v>185925</v>
      </c>
      <c r="R16" s="4">
        <v>5.6</v>
      </c>
      <c r="S16" s="3">
        <v>13</v>
      </c>
      <c r="T16" s="4">
        <v>68.400000000000006</v>
      </c>
      <c r="U16" s="3">
        <v>7981573</v>
      </c>
      <c r="V16" s="4">
        <v>82.4</v>
      </c>
      <c r="W16" s="3">
        <v>1882690</v>
      </c>
      <c r="X16" s="4">
        <v>54.8</v>
      </c>
      <c r="Y16" s="3">
        <v>3137437</v>
      </c>
      <c r="Z16" s="4">
        <v>94.4</v>
      </c>
      <c r="AB16" s="49">
        <v>1</v>
      </c>
      <c r="AC16" s="50">
        <v>5.3</v>
      </c>
      <c r="AD16" s="50">
        <v>10</v>
      </c>
      <c r="AE16" s="50">
        <v>0</v>
      </c>
      <c r="AF16" s="50" t="s">
        <v>31</v>
      </c>
      <c r="AG16" s="50" t="s">
        <v>31</v>
      </c>
      <c r="AH16" s="50" t="s">
        <v>31</v>
      </c>
      <c r="AI16" s="50" t="s">
        <v>31</v>
      </c>
      <c r="AJ16" s="40">
        <v>5</v>
      </c>
      <c r="AK16" s="41">
        <v>26.3</v>
      </c>
      <c r="AL16" s="41">
        <v>1708987</v>
      </c>
      <c r="AM16" s="41">
        <v>17.600000000000001</v>
      </c>
      <c r="AN16" s="41">
        <v>1550206</v>
      </c>
      <c r="AO16" s="41">
        <v>45.2</v>
      </c>
      <c r="AP16" s="41">
        <v>185925</v>
      </c>
      <c r="AQ16" s="41">
        <v>5.6</v>
      </c>
      <c r="AR16" s="58">
        <v>13</v>
      </c>
      <c r="AS16" s="59">
        <v>68.400000000000006</v>
      </c>
      <c r="AT16" s="59">
        <v>7981573</v>
      </c>
      <c r="AU16" s="59">
        <v>82.4</v>
      </c>
      <c r="AV16" s="59">
        <v>1882690</v>
      </c>
      <c r="AW16" s="59">
        <v>54.8</v>
      </c>
      <c r="AX16" s="59">
        <v>3137437</v>
      </c>
      <c r="AY16" s="59">
        <v>94.4</v>
      </c>
      <c r="AZ16" s="62">
        <f t="shared" si="1"/>
        <v>0</v>
      </c>
      <c r="BA16" s="62">
        <f t="shared" si="2"/>
        <v>0</v>
      </c>
      <c r="BB16" s="62">
        <f t="shared" si="3"/>
        <v>0</v>
      </c>
      <c r="BC16" s="62">
        <f t="shared" si="4"/>
        <v>0</v>
      </c>
      <c r="BD16" s="62" t="e">
        <f t="shared" si="5"/>
        <v>#VALUE!</v>
      </c>
      <c r="BE16" s="62" t="e">
        <f t="shared" si="6"/>
        <v>#VALUE!</v>
      </c>
      <c r="BF16" s="62" t="e">
        <f t="shared" si="7"/>
        <v>#VALUE!</v>
      </c>
      <c r="BG16" s="62" t="e">
        <f t="shared" si="8"/>
        <v>#VALUE!</v>
      </c>
      <c r="BH16" s="61">
        <f t="shared" si="9"/>
        <v>0</v>
      </c>
      <c r="BI16" s="61">
        <f t="shared" si="10"/>
        <v>0</v>
      </c>
      <c r="BJ16" s="61">
        <f t="shared" si="11"/>
        <v>0</v>
      </c>
      <c r="BK16" s="61">
        <f t="shared" si="12"/>
        <v>0</v>
      </c>
      <c r="BL16" s="61">
        <f t="shared" si="13"/>
        <v>0</v>
      </c>
      <c r="BM16" s="61">
        <f t="shared" si="14"/>
        <v>0</v>
      </c>
      <c r="BN16" s="61">
        <f t="shared" si="15"/>
        <v>0</v>
      </c>
      <c r="BO16" s="61">
        <f t="shared" si="16"/>
        <v>0</v>
      </c>
      <c r="BP16" s="61">
        <f t="shared" si="17"/>
        <v>0</v>
      </c>
      <c r="BQ16" s="61">
        <f t="shared" si="18"/>
        <v>0</v>
      </c>
      <c r="BR16" s="61">
        <f t="shared" si="19"/>
        <v>0</v>
      </c>
      <c r="BS16" s="61">
        <f t="shared" si="20"/>
        <v>0</v>
      </c>
      <c r="BT16" s="61">
        <f t="shared" si="21"/>
        <v>0</v>
      </c>
      <c r="BU16" s="61">
        <f t="shared" si="22"/>
        <v>0</v>
      </c>
      <c r="BV16" s="61">
        <f t="shared" si="23"/>
        <v>0</v>
      </c>
      <c r="BW16" s="61">
        <f t="shared" si="24"/>
        <v>0</v>
      </c>
    </row>
    <row r="17" spans="1:75" ht="15.75">
      <c r="A17" s="2" t="s">
        <v>32</v>
      </c>
      <c r="B17" s="5" t="s">
        <v>33</v>
      </c>
      <c r="C17" s="3" t="s">
        <v>31</v>
      </c>
      <c r="D17" s="4" t="s">
        <v>31</v>
      </c>
      <c r="E17" s="3" t="s">
        <v>31</v>
      </c>
      <c r="F17" s="4" t="s">
        <v>31</v>
      </c>
      <c r="G17" s="3" t="s">
        <v>31</v>
      </c>
      <c r="H17" s="4" t="s">
        <v>31</v>
      </c>
      <c r="I17" s="3" t="s">
        <v>31</v>
      </c>
      <c r="J17" s="4" t="s">
        <v>31</v>
      </c>
      <c r="K17" s="3" t="s">
        <v>31</v>
      </c>
      <c r="L17" s="4" t="s">
        <v>31</v>
      </c>
      <c r="M17" s="3" t="s">
        <v>31</v>
      </c>
      <c r="N17" s="4" t="s">
        <v>31</v>
      </c>
      <c r="O17" s="3" t="s">
        <v>31</v>
      </c>
      <c r="P17" s="4" t="s">
        <v>31</v>
      </c>
      <c r="Q17" s="3" t="s">
        <v>31</v>
      </c>
      <c r="R17" s="4" t="s">
        <v>31</v>
      </c>
      <c r="S17" s="3">
        <v>1</v>
      </c>
      <c r="T17" s="4">
        <v>100</v>
      </c>
      <c r="U17" s="3">
        <v>193526</v>
      </c>
      <c r="V17" s="4">
        <v>100</v>
      </c>
      <c r="W17" s="3">
        <v>60830</v>
      </c>
      <c r="X17" s="4">
        <v>100</v>
      </c>
      <c r="Y17" s="3">
        <v>253413</v>
      </c>
      <c r="Z17" s="4">
        <v>100</v>
      </c>
      <c r="AB17" s="49"/>
      <c r="AC17" s="50"/>
      <c r="AD17" s="50"/>
      <c r="AE17" s="50"/>
      <c r="AF17" s="50"/>
      <c r="AG17" s="50"/>
      <c r="AH17" s="50"/>
      <c r="AI17" s="50"/>
      <c r="AJ17" s="40">
        <v>1</v>
      </c>
      <c r="AK17" s="41">
        <v>100</v>
      </c>
      <c r="AL17" s="41">
        <v>6507</v>
      </c>
      <c r="AM17" s="41">
        <v>100</v>
      </c>
      <c r="AN17" s="41">
        <v>12436</v>
      </c>
      <c r="AO17" s="41">
        <v>100</v>
      </c>
      <c r="AP17" s="41">
        <v>1014</v>
      </c>
      <c r="AQ17" s="41">
        <v>100</v>
      </c>
      <c r="AR17" s="58">
        <v>1</v>
      </c>
      <c r="AS17" s="59">
        <v>100</v>
      </c>
      <c r="AT17" s="59">
        <v>193526</v>
      </c>
      <c r="AU17" s="59">
        <v>100</v>
      </c>
      <c r="AV17" s="59">
        <v>60830</v>
      </c>
      <c r="AW17" s="59">
        <v>100</v>
      </c>
      <c r="AX17" s="59">
        <v>253413</v>
      </c>
      <c r="AY17" s="59">
        <v>100</v>
      </c>
      <c r="AZ17" s="62" t="e">
        <f t="shared" si="1"/>
        <v>#VALUE!</v>
      </c>
      <c r="BA17" s="62" t="e">
        <f t="shared" si="2"/>
        <v>#VALUE!</v>
      </c>
      <c r="BB17" s="62" t="e">
        <f t="shared" si="3"/>
        <v>#VALUE!</v>
      </c>
      <c r="BC17" s="62" t="e">
        <f t="shared" si="4"/>
        <v>#VALUE!</v>
      </c>
      <c r="BD17" s="62" t="e">
        <f t="shared" si="5"/>
        <v>#VALUE!</v>
      </c>
      <c r="BE17" s="62" t="e">
        <f t="shared" si="6"/>
        <v>#VALUE!</v>
      </c>
      <c r="BF17" s="62" t="e">
        <f t="shared" si="7"/>
        <v>#VALUE!</v>
      </c>
      <c r="BG17" s="62" t="e">
        <f t="shared" si="8"/>
        <v>#VALUE!</v>
      </c>
      <c r="BH17" s="61" t="e">
        <f t="shared" si="9"/>
        <v>#VALUE!</v>
      </c>
      <c r="BI17" s="61" t="e">
        <f t="shared" si="10"/>
        <v>#VALUE!</v>
      </c>
      <c r="BJ17" s="61" t="e">
        <f t="shared" si="11"/>
        <v>#VALUE!</v>
      </c>
      <c r="BK17" s="61" t="e">
        <f t="shared" si="12"/>
        <v>#VALUE!</v>
      </c>
      <c r="BL17" s="61" t="e">
        <f t="shared" si="13"/>
        <v>#VALUE!</v>
      </c>
      <c r="BM17" s="61" t="e">
        <f t="shared" si="14"/>
        <v>#VALUE!</v>
      </c>
      <c r="BN17" s="61" t="e">
        <f t="shared" si="15"/>
        <v>#VALUE!</v>
      </c>
      <c r="BO17" s="61" t="e">
        <f t="shared" si="16"/>
        <v>#VALUE!</v>
      </c>
      <c r="BP17" s="61">
        <f t="shared" si="17"/>
        <v>0</v>
      </c>
      <c r="BQ17" s="61">
        <f t="shared" si="18"/>
        <v>0</v>
      </c>
      <c r="BR17" s="61">
        <f t="shared" si="19"/>
        <v>0</v>
      </c>
      <c r="BS17" s="61">
        <f t="shared" si="20"/>
        <v>0</v>
      </c>
      <c r="BT17" s="61">
        <f t="shared" si="21"/>
        <v>0</v>
      </c>
      <c r="BU17" s="61">
        <f t="shared" si="22"/>
        <v>0</v>
      </c>
      <c r="BV17" s="61">
        <f t="shared" si="23"/>
        <v>0</v>
      </c>
      <c r="BW17" s="61">
        <f t="shared" si="24"/>
        <v>0</v>
      </c>
    </row>
    <row r="18" spans="1:75" ht="16.5" thickBot="1">
      <c r="A18" s="2" t="s">
        <v>34</v>
      </c>
      <c r="B18" s="5" t="s">
        <v>35</v>
      </c>
      <c r="C18" s="3" t="s">
        <v>31</v>
      </c>
      <c r="D18" s="4" t="s">
        <v>31</v>
      </c>
      <c r="E18" s="3" t="s">
        <v>31</v>
      </c>
      <c r="F18" s="4" t="s">
        <v>31</v>
      </c>
      <c r="G18" s="3" t="s">
        <v>31</v>
      </c>
      <c r="H18" s="4" t="s">
        <v>31</v>
      </c>
      <c r="I18" s="3" t="s">
        <v>31</v>
      </c>
      <c r="J18" s="4" t="s">
        <v>31</v>
      </c>
      <c r="K18" s="3">
        <v>1</v>
      </c>
      <c r="L18" s="4">
        <v>100</v>
      </c>
      <c r="M18" s="3">
        <v>6507</v>
      </c>
      <c r="N18" s="4">
        <v>100</v>
      </c>
      <c r="O18" s="3">
        <v>12436</v>
      </c>
      <c r="P18" s="4">
        <v>100</v>
      </c>
      <c r="Q18" s="3">
        <v>1014</v>
      </c>
      <c r="R18" s="4">
        <v>100</v>
      </c>
      <c r="S18" s="3" t="s">
        <v>31</v>
      </c>
      <c r="T18" s="4" t="s">
        <v>31</v>
      </c>
      <c r="U18" s="3" t="s">
        <v>31</v>
      </c>
      <c r="V18" s="4" t="s">
        <v>31</v>
      </c>
      <c r="W18" s="3" t="s">
        <v>31</v>
      </c>
      <c r="X18" s="4" t="s">
        <v>31</v>
      </c>
      <c r="Y18" s="3" t="s">
        <v>31</v>
      </c>
      <c r="Z18" s="4" t="s">
        <v>31</v>
      </c>
      <c r="AB18" s="49"/>
      <c r="AC18" s="50"/>
      <c r="AD18" s="50"/>
      <c r="AE18" s="50"/>
      <c r="AF18" s="50"/>
      <c r="AG18" s="50"/>
      <c r="AH18" s="50"/>
      <c r="AI18" s="50"/>
      <c r="AJ18" s="40">
        <v>6</v>
      </c>
      <c r="AK18" s="41">
        <v>40</v>
      </c>
      <c r="AL18" s="41">
        <v>5940993</v>
      </c>
      <c r="AM18" s="41">
        <v>33.200000000000003</v>
      </c>
      <c r="AN18" s="41">
        <v>6053227</v>
      </c>
      <c r="AO18" s="41">
        <v>21.1</v>
      </c>
      <c r="AP18" s="41">
        <v>801863</v>
      </c>
      <c r="AQ18" s="41">
        <v>12.9</v>
      </c>
      <c r="AR18" s="58">
        <v>2</v>
      </c>
      <c r="AS18" s="59">
        <v>66.7</v>
      </c>
      <c r="AT18" s="59">
        <v>75008</v>
      </c>
      <c r="AU18" s="59">
        <v>28.5</v>
      </c>
      <c r="AV18" s="59">
        <v>3111500</v>
      </c>
      <c r="AW18" s="59">
        <v>69.7</v>
      </c>
      <c r="AX18" s="59">
        <v>329372</v>
      </c>
      <c r="AY18" s="59">
        <v>100</v>
      </c>
      <c r="AZ18" s="62" t="e">
        <f t="shared" si="1"/>
        <v>#VALUE!</v>
      </c>
      <c r="BA18" s="62" t="e">
        <f t="shared" si="2"/>
        <v>#VALUE!</v>
      </c>
      <c r="BB18" s="62" t="e">
        <f t="shared" si="3"/>
        <v>#VALUE!</v>
      </c>
      <c r="BC18" s="62" t="e">
        <f t="shared" si="4"/>
        <v>#VALUE!</v>
      </c>
      <c r="BD18" s="62" t="e">
        <f t="shared" si="5"/>
        <v>#VALUE!</v>
      </c>
      <c r="BE18" s="62" t="e">
        <f t="shared" si="6"/>
        <v>#VALUE!</v>
      </c>
      <c r="BF18" s="62" t="e">
        <f t="shared" si="7"/>
        <v>#VALUE!</v>
      </c>
      <c r="BG18" s="62" t="e">
        <f t="shared" si="8"/>
        <v>#VALUE!</v>
      </c>
      <c r="BH18" s="61">
        <f t="shared" si="9"/>
        <v>-5</v>
      </c>
      <c r="BI18" s="61">
        <f t="shared" si="10"/>
        <v>60</v>
      </c>
      <c r="BJ18" s="61">
        <f t="shared" si="11"/>
        <v>-5934486</v>
      </c>
      <c r="BK18" s="61">
        <f t="shared" si="12"/>
        <v>66.8</v>
      </c>
      <c r="BL18" s="61">
        <f t="shared" si="13"/>
        <v>-6040791</v>
      </c>
      <c r="BM18" s="61">
        <f t="shared" si="14"/>
        <v>78.900000000000006</v>
      </c>
      <c r="BN18" s="61">
        <f t="shared" si="15"/>
        <v>-800849</v>
      </c>
      <c r="BO18" s="61">
        <f t="shared" si="16"/>
        <v>87.1</v>
      </c>
      <c r="BP18" s="61" t="e">
        <f t="shared" si="17"/>
        <v>#VALUE!</v>
      </c>
      <c r="BQ18" s="61" t="e">
        <f t="shared" si="18"/>
        <v>#VALUE!</v>
      </c>
      <c r="BR18" s="61" t="e">
        <f t="shared" si="19"/>
        <v>#VALUE!</v>
      </c>
      <c r="BS18" s="61" t="e">
        <f t="shared" si="20"/>
        <v>#VALUE!</v>
      </c>
      <c r="BT18" s="61" t="e">
        <f t="shared" si="21"/>
        <v>#VALUE!</v>
      </c>
      <c r="BU18" s="61" t="e">
        <f t="shared" si="22"/>
        <v>#VALUE!</v>
      </c>
      <c r="BV18" s="61" t="e">
        <f t="shared" si="23"/>
        <v>#VALUE!</v>
      </c>
      <c r="BW18" s="61" t="e">
        <f t="shared" si="24"/>
        <v>#VALUE!</v>
      </c>
    </row>
    <row r="19" spans="1:75" ht="16.5" thickBot="1">
      <c r="A19" s="2" t="s">
        <v>36</v>
      </c>
      <c r="B19" s="5" t="s">
        <v>37</v>
      </c>
      <c r="C19" s="3">
        <v>1</v>
      </c>
      <c r="D19" s="4">
        <v>33.299999999999997</v>
      </c>
      <c r="E19" s="3">
        <v>187763</v>
      </c>
      <c r="F19" s="4">
        <v>71.5</v>
      </c>
      <c r="G19" s="3">
        <v>1355609</v>
      </c>
      <c r="H19" s="4">
        <v>30.3</v>
      </c>
      <c r="I19" s="3">
        <v>47</v>
      </c>
      <c r="J19" s="4">
        <v>0</v>
      </c>
      <c r="K19" s="3" t="s">
        <v>31</v>
      </c>
      <c r="L19" s="4" t="s">
        <v>31</v>
      </c>
      <c r="M19" s="3" t="s">
        <v>31</v>
      </c>
      <c r="N19" s="4" t="s">
        <v>31</v>
      </c>
      <c r="O19" s="3" t="s">
        <v>31</v>
      </c>
      <c r="P19" s="4" t="s">
        <v>31</v>
      </c>
      <c r="Q19" s="3" t="s">
        <v>31</v>
      </c>
      <c r="R19" s="4" t="s">
        <v>31</v>
      </c>
      <c r="S19" s="3">
        <v>0.2</v>
      </c>
      <c r="T19" s="4">
        <v>66.7</v>
      </c>
      <c r="U19" s="3">
        <v>75008</v>
      </c>
      <c r="V19" s="4">
        <v>28.5</v>
      </c>
      <c r="W19" s="3">
        <v>3111500</v>
      </c>
      <c r="X19" s="4">
        <v>69.7</v>
      </c>
      <c r="Y19" s="3">
        <v>329372</v>
      </c>
      <c r="Z19" s="4">
        <v>100</v>
      </c>
      <c r="AB19" s="49">
        <v>1</v>
      </c>
      <c r="AC19" s="50">
        <v>33.299999999999997</v>
      </c>
      <c r="AD19" s="50">
        <v>187763</v>
      </c>
      <c r="AE19" s="50">
        <v>71.5</v>
      </c>
      <c r="AF19" s="50">
        <v>1355609</v>
      </c>
      <c r="AG19" s="50">
        <v>30.3</v>
      </c>
      <c r="AH19" s="50">
        <v>47</v>
      </c>
      <c r="AI19" s="50">
        <v>0</v>
      </c>
      <c r="AJ19" s="38">
        <v>6</v>
      </c>
      <c r="AK19" s="39">
        <v>40</v>
      </c>
      <c r="AL19" s="39">
        <v>5940993</v>
      </c>
      <c r="AM19" s="39">
        <v>33.200000000000003</v>
      </c>
      <c r="AN19" s="39">
        <v>6053227</v>
      </c>
      <c r="AO19" s="39">
        <v>21.1</v>
      </c>
      <c r="AP19" s="39">
        <v>801863</v>
      </c>
      <c r="AQ19" s="39">
        <v>12.9</v>
      </c>
      <c r="AR19" s="56">
        <v>2</v>
      </c>
      <c r="AS19" s="57">
        <v>13.3</v>
      </c>
      <c r="AT19" s="57">
        <v>257290</v>
      </c>
      <c r="AU19" s="57">
        <v>1.4</v>
      </c>
      <c r="AV19" s="57">
        <v>305800</v>
      </c>
      <c r="AW19" s="57">
        <v>1.1000000000000001</v>
      </c>
      <c r="AX19" s="57">
        <v>167350</v>
      </c>
      <c r="AY19" s="57">
        <v>2.7</v>
      </c>
      <c r="AZ19" s="62">
        <f t="shared" si="1"/>
        <v>0</v>
      </c>
      <c r="BA19" s="62">
        <f t="shared" si="2"/>
        <v>0</v>
      </c>
      <c r="BB19" s="62">
        <f t="shared" si="3"/>
        <v>0</v>
      </c>
      <c r="BC19" s="62">
        <f t="shared" si="4"/>
        <v>0</v>
      </c>
      <c r="BD19" s="62">
        <f t="shared" si="5"/>
        <v>0</v>
      </c>
      <c r="BE19" s="62">
        <f t="shared" si="6"/>
        <v>0</v>
      </c>
      <c r="BF19" s="62">
        <f t="shared" si="7"/>
        <v>0</v>
      </c>
      <c r="BG19" s="62">
        <f t="shared" si="8"/>
        <v>0</v>
      </c>
      <c r="BH19" s="61" t="e">
        <f t="shared" si="9"/>
        <v>#VALUE!</v>
      </c>
      <c r="BI19" s="61" t="e">
        <f t="shared" si="10"/>
        <v>#VALUE!</v>
      </c>
      <c r="BJ19" s="61" t="e">
        <f t="shared" si="11"/>
        <v>#VALUE!</v>
      </c>
      <c r="BK19" s="61" t="e">
        <f t="shared" si="12"/>
        <v>#VALUE!</v>
      </c>
      <c r="BL19" s="61" t="e">
        <f t="shared" si="13"/>
        <v>#VALUE!</v>
      </c>
      <c r="BM19" s="61" t="e">
        <f t="shared" si="14"/>
        <v>#VALUE!</v>
      </c>
      <c r="BN19" s="61" t="e">
        <f t="shared" si="15"/>
        <v>#VALUE!</v>
      </c>
      <c r="BO19" s="61" t="e">
        <f t="shared" si="16"/>
        <v>#VALUE!</v>
      </c>
      <c r="BP19" s="61">
        <f t="shared" si="17"/>
        <v>-1.8</v>
      </c>
      <c r="BQ19" s="61">
        <f t="shared" si="18"/>
        <v>53.400000000000006</v>
      </c>
      <c r="BR19" s="61">
        <f t="shared" si="19"/>
        <v>-182282</v>
      </c>
      <c r="BS19" s="61">
        <f t="shared" si="20"/>
        <v>27.1</v>
      </c>
      <c r="BT19" s="61">
        <f t="shared" si="21"/>
        <v>2805700</v>
      </c>
      <c r="BU19" s="61">
        <f t="shared" si="22"/>
        <v>68.600000000000009</v>
      </c>
      <c r="BV19" s="61">
        <f t="shared" si="23"/>
        <v>162022</v>
      </c>
      <c r="BW19" s="61">
        <f t="shared" si="24"/>
        <v>97.3</v>
      </c>
    </row>
    <row r="20" spans="1:75" s="19" customFormat="1" ht="39">
      <c r="A20" s="15" t="s">
        <v>121</v>
      </c>
      <c r="B20" s="16" t="s">
        <v>38</v>
      </c>
      <c r="C20" s="17">
        <v>0.7</v>
      </c>
      <c r="D20" s="18">
        <v>46.7</v>
      </c>
      <c r="E20" s="17">
        <v>11691415</v>
      </c>
      <c r="F20" s="18">
        <v>65.400000000000006</v>
      </c>
      <c r="G20" s="17">
        <v>22336793</v>
      </c>
      <c r="H20" s="18">
        <v>77.8</v>
      </c>
      <c r="I20" s="17">
        <v>5248438</v>
      </c>
      <c r="J20" s="18">
        <v>84.4</v>
      </c>
      <c r="K20" s="17">
        <v>6</v>
      </c>
      <c r="L20" s="18">
        <v>40</v>
      </c>
      <c r="M20" s="17">
        <v>5940993</v>
      </c>
      <c r="N20" s="18">
        <v>33.200000000000003</v>
      </c>
      <c r="O20" s="17">
        <v>6053227</v>
      </c>
      <c r="P20" s="18">
        <v>21.1</v>
      </c>
      <c r="Q20" s="17">
        <v>801863</v>
      </c>
      <c r="R20" s="18">
        <v>12.9</v>
      </c>
      <c r="S20" s="17">
        <v>0.2</v>
      </c>
      <c r="T20" s="18">
        <v>13.3</v>
      </c>
      <c r="U20" s="17">
        <v>257290</v>
      </c>
      <c r="V20" s="18">
        <v>1.4</v>
      </c>
      <c r="W20" s="17">
        <v>305800</v>
      </c>
      <c r="X20" s="18">
        <v>1.1000000000000001</v>
      </c>
      <c r="Y20" s="17">
        <v>167350</v>
      </c>
      <c r="Z20" s="18">
        <v>2.7</v>
      </c>
      <c r="AB20" s="47">
        <v>1</v>
      </c>
      <c r="AC20" s="48">
        <v>46.7</v>
      </c>
      <c r="AD20" s="48">
        <v>11691415</v>
      </c>
      <c r="AE20" s="48">
        <v>65.400000000000006</v>
      </c>
      <c r="AF20" s="48">
        <v>22336793</v>
      </c>
      <c r="AG20" s="48">
        <v>77.8</v>
      </c>
      <c r="AH20" s="48">
        <v>5248438</v>
      </c>
      <c r="AI20" s="48">
        <v>84.4</v>
      </c>
      <c r="AJ20" s="40">
        <v>2</v>
      </c>
      <c r="AK20" s="41">
        <v>40</v>
      </c>
      <c r="AL20" s="41">
        <v>2030366</v>
      </c>
      <c r="AM20" s="41">
        <v>85.6</v>
      </c>
      <c r="AN20" s="41">
        <v>4524244</v>
      </c>
      <c r="AO20" s="41">
        <v>96.3</v>
      </c>
      <c r="AP20" s="41">
        <v>427994</v>
      </c>
      <c r="AQ20" s="41">
        <v>98.3</v>
      </c>
      <c r="AR20" s="58">
        <v>2</v>
      </c>
      <c r="AS20" s="59">
        <v>13.3</v>
      </c>
      <c r="AT20" s="59">
        <v>257290</v>
      </c>
      <c r="AU20" s="59">
        <v>1.4</v>
      </c>
      <c r="AV20" s="59">
        <v>305800</v>
      </c>
      <c r="AW20" s="59">
        <v>1.1000000000000001</v>
      </c>
      <c r="AX20" s="59">
        <v>167350</v>
      </c>
      <c r="AY20" s="59">
        <v>2.7</v>
      </c>
      <c r="AZ20" s="62">
        <f t="shared" si="1"/>
        <v>-0.30000000000000004</v>
      </c>
      <c r="BA20" s="62">
        <f t="shared" si="2"/>
        <v>0</v>
      </c>
      <c r="BB20" s="62">
        <f t="shared" si="3"/>
        <v>0</v>
      </c>
      <c r="BC20" s="62">
        <f t="shared" si="4"/>
        <v>0</v>
      </c>
      <c r="BD20" s="62">
        <f t="shared" si="5"/>
        <v>0</v>
      </c>
      <c r="BE20" s="62">
        <f t="shared" si="6"/>
        <v>0</v>
      </c>
      <c r="BF20" s="62">
        <f t="shared" si="7"/>
        <v>0</v>
      </c>
      <c r="BG20" s="62">
        <f t="shared" si="8"/>
        <v>0</v>
      </c>
      <c r="BH20" s="61">
        <f t="shared" si="9"/>
        <v>4</v>
      </c>
      <c r="BI20" s="61">
        <f t="shared" si="10"/>
        <v>0</v>
      </c>
      <c r="BJ20" s="61">
        <f t="shared" si="11"/>
        <v>3910627</v>
      </c>
      <c r="BK20" s="61">
        <f t="shared" si="12"/>
        <v>-52.399999999999991</v>
      </c>
      <c r="BL20" s="61">
        <f t="shared" si="13"/>
        <v>1528983</v>
      </c>
      <c r="BM20" s="61">
        <f t="shared" si="14"/>
        <v>-75.199999999999989</v>
      </c>
      <c r="BN20" s="61">
        <f t="shared" si="15"/>
        <v>373869</v>
      </c>
      <c r="BO20" s="61">
        <f t="shared" si="16"/>
        <v>-85.399999999999991</v>
      </c>
      <c r="BP20" s="61">
        <f t="shared" si="17"/>
        <v>-1.8</v>
      </c>
      <c r="BQ20" s="61">
        <f t="shared" si="18"/>
        <v>0</v>
      </c>
      <c r="BR20" s="61">
        <f t="shared" si="19"/>
        <v>0</v>
      </c>
      <c r="BS20" s="61">
        <f t="shared" si="20"/>
        <v>0</v>
      </c>
      <c r="BT20" s="61">
        <f t="shared" si="21"/>
        <v>0</v>
      </c>
      <c r="BU20" s="61">
        <f t="shared" si="22"/>
        <v>0</v>
      </c>
      <c r="BV20" s="61">
        <f t="shared" si="23"/>
        <v>0</v>
      </c>
      <c r="BW20" s="61">
        <f t="shared" si="24"/>
        <v>0</v>
      </c>
    </row>
    <row r="21" spans="1:75" ht="26.25">
      <c r="A21" s="2" t="s">
        <v>39</v>
      </c>
      <c r="B21" s="5" t="s">
        <v>40</v>
      </c>
      <c r="C21" s="3">
        <v>7</v>
      </c>
      <c r="D21" s="4">
        <v>46.7</v>
      </c>
      <c r="E21" s="3">
        <v>11691415</v>
      </c>
      <c r="F21" s="4">
        <v>65.400000000000006</v>
      </c>
      <c r="G21" s="3">
        <v>22336793</v>
      </c>
      <c r="H21" s="4">
        <v>77.8</v>
      </c>
      <c r="I21" s="3">
        <v>5248438</v>
      </c>
      <c r="J21" s="4">
        <v>84.4</v>
      </c>
      <c r="K21" s="3">
        <v>6</v>
      </c>
      <c r="L21" s="4">
        <v>40</v>
      </c>
      <c r="M21" s="3">
        <v>5940993</v>
      </c>
      <c r="N21" s="4">
        <v>33.200000000000003</v>
      </c>
      <c r="O21" s="3">
        <v>6053227</v>
      </c>
      <c r="P21" s="4">
        <v>21.1</v>
      </c>
      <c r="Q21" s="3">
        <v>801863</v>
      </c>
      <c r="R21" s="4">
        <v>12.9</v>
      </c>
      <c r="S21" s="3">
        <v>2</v>
      </c>
      <c r="T21" s="4">
        <v>13.3</v>
      </c>
      <c r="U21" s="3">
        <v>257290</v>
      </c>
      <c r="V21" s="4">
        <v>1.4</v>
      </c>
      <c r="W21" s="3">
        <v>305800</v>
      </c>
      <c r="X21" s="4">
        <v>1.1000000000000001</v>
      </c>
      <c r="Y21" s="3">
        <v>167350</v>
      </c>
      <c r="Z21" s="4">
        <v>2.7</v>
      </c>
      <c r="AB21" s="49">
        <v>7</v>
      </c>
      <c r="AC21" s="50">
        <v>46.7</v>
      </c>
      <c r="AD21" s="50">
        <v>11691415</v>
      </c>
      <c r="AE21" s="50">
        <v>65.400000000000006</v>
      </c>
      <c r="AF21" s="50">
        <v>22336793</v>
      </c>
      <c r="AG21" s="50">
        <v>77.8</v>
      </c>
      <c r="AH21" s="50">
        <v>5248438</v>
      </c>
      <c r="AI21" s="50">
        <v>84.4</v>
      </c>
      <c r="AJ21" s="40">
        <v>1</v>
      </c>
      <c r="AK21" s="41">
        <v>33.299999999999997</v>
      </c>
      <c r="AL21" s="41">
        <v>1772343</v>
      </c>
      <c r="AM21" s="41">
        <v>83.9</v>
      </c>
      <c r="AN21" s="41">
        <v>4268259</v>
      </c>
      <c r="AO21" s="41">
        <v>96</v>
      </c>
      <c r="AP21" s="41">
        <v>298633</v>
      </c>
      <c r="AQ21" s="41">
        <v>97.5</v>
      </c>
      <c r="AR21" s="58">
        <v>1</v>
      </c>
      <c r="AS21" s="59">
        <v>20</v>
      </c>
      <c r="AT21" s="59">
        <v>336784</v>
      </c>
      <c r="AU21" s="59">
        <v>14.2</v>
      </c>
      <c r="AV21" s="59">
        <v>119357</v>
      </c>
      <c r="AW21" s="59">
        <v>2.5</v>
      </c>
      <c r="AX21" s="59">
        <v>5779</v>
      </c>
      <c r="AY21" s="59">
        <v>1.3</v>
      </c>
      <c r="AZ21" s="62">
        <f t="shared" si="1"/>
        <v>0</v>
      </c>
      <c r="BA21" s="62">
        <f t="shared" si="2"/>
        <v>0</v>
      </c>
      <c r="BB21" s="62">
        <f t="shared" si="3"/>
        <v>0</v>
      </c>
      <c r="BC21" s="62">
        <f t="shared" si="4"/>
        <v>0</v>
      </c>
      <c r="BD21" s="62">
        <f t="shared" si="5"/>
        <v>0</v>
      </c>
      <c r="BE21" s="62">
        <f t="shared" si="6"/>
        <v>0</v>
      </c>
      <c r="BF21" s="62">
        <f t="shared" si="7"/>
        <v>0</v>
      </c>
      <c r="BG21" s="62">
        <f t="shared" si="8"/>
        <v>0</v>
      </c>
      <c r="BH21" s="61">
        <f t="shared" si="9"/>
        <v>5</v>
      </c>
      <c r="BI21" s="61">
        <f t="shared" si="10"/>
        <v>6.7000000000000028</v>
      </c>
      <c r="BJ21" s="61">
        <f t="shared" si="11"/>
        <v>4168650</v>
      </c>
      <c r="BK21" s="61">
        <f t="shared" si="12"/>
        <v>-50.7</v>
      </c>
      <c r="BL21" s="61">
        <f t="shared" si="13"/>
        <v>1784968</v>
      </c>
      <c r="BM21" s="61">
        <f t="shared" si="14"/>
        <v>-74.900000000000006</v>
      </c>
      <c r="BN21" s="61">
        <f t="shared" si="15"/>
        <v>503230</v>
      </c>
      <c r="BO21" s="61">
        <f t="shared" si="16"/>
        <v>-84.6</v>
      </c>
      <c r="BP21" s="61">
        <f t="shared" si="17"/>
        <v>1</v>
      </c>
      <c r="BQ21" s="61">
        <f t="shared" si="18"/>
        <v>-6.6999999999999993</v>
      </c>
      <c r="BR21" s="61">
        <f t="shared" si="19"/>
        <v>-79494</v>
      </c>
      <c r="BS21" s="61">
        <f t="shared" si="20"/>
        <v>-12.799999999999999</v>
      </c>
      <c r="BT21" s="61">
        <f t="shared" si="21"/>
        <v>186443</v>
      </c>
      <c r="BU21" s="61">
        <f t="shared" si="22"/>
        <v>-1.4</v>
      </c>
      <c r="BV21" s="61">
        <f t="shared" si="23"/>
        <v>161571</v>
      </c>
      <c r="BW21" s="61">
        <f t="shared" si="24"/>
        <v>1.4000000000000001</v>
      </c>
    </row>
    <row r="22" spans="1:75" s="19" customFormat="1" ht="51.75">
      <c r="A22" s="15" t="s">
        <v>122</v>
      </c>
      <c r="B22" s="16" t="s">
        <v>41</v>
      </c>
      <c r="C22" s="17">
        <v>2</v>
      </c>
      <c r="D22" s="18">
        <v>40</v>
      </c>
      <c r="E22" s="17">
        <v>4672</v>
      </c>
      <c r="F22" s="18">
        <v>0.2</v>
      </c>
      <c r="G22" s="17">
        <v>57294</v>
      </c>
      <c r="H22" s="18">
        <v>1.2</v>
      </c>
      <c r="I22" s="17">
        <v>1799</v>
      </c>
      <c r="J22" s="18">
        <v>0.4</v>
      </c>
      <c r="K22" s="17">
        <v>2</v>
      </c>
      <c r="L22" s="18">
        <v>40</v>
      </c>
      <c r="M22" s="17">
        <v>2030366</v>
      </c>
      <c r="N22" s="18">
        <v>85.6</v>
      </c>
      <c r="O22" s="17">
        <v>4524244</v>
      </c>
      <c r="P22" s="18">
        <v>96.3</v>
      </c>
      <c r="Q22" s="17">
        <v>427994</v>
      </c>
      <c r="R22" s="18">
        <v>98.3</v>
      </c>
      <c r="S22" s="17">
        <v>1</v>
      </c>
      <c r="T22" s="18">
        <v>20</v>
      </c>
      <c r="U22" s="17">
        <v>336784</v>
      </c>
      <c r="V22" s="18">
        <v>14.2</v>
      </c>
      <c r="W22" s="17">
        <v>119357</v>
      </c>
      <c r="X22" s="18">
        <v>2.5</v>
      </c>
      <c r="Y22" s="17">
        <v>5779</v>
      </c>
      <c r="Z22" s="18">
        <v>1.3</v>
      </c>
      <c r="AB22" s="49">
        <v>2</v>
      </c>
      <c r="AC22" s="50">
        <v>40</v>
      </c>
      <c r="AD22" s="50">
        <v>4672</v>
      </c>
      <c r="AE22" s="50">
        <v>0.2</v>
      </c>
      <c r="AF22" s="50">
        <v>57294</v>
      </c>
      <c r="AG22" s="50">
        <v>1.2</v>
      </c>
      <c r="AH22" s="50">
        <v>1799</v>
      </c>
      <c r="AI22" s="50">
        <v>0.4</v>
      </c>
      <c r="AJ22" s="40">
        <v>1</v>
      </c>
      <c r="AK22" s="41">
        <v>50</v>
      </c>
      <c r="AL22" s="41">
        <v>258023</v>
      </c>
      <c r="AM22" s="41">
        <v>100</v>
      </c>
      <c r="AN22" s="41">
        <v>255985</v>
      </c>
      <c r="AO22" s="41">
        <v>100</v>
      </c>
      <c r="AP22" s="41">
        <v>129361</v>
      </c>
      <c r="AQ22" s="41">
        <v>100</v>
      </c>
      <c r="AR22" s="58">
        <v>1</v>
      </c>
      <c r="AS22" s="59">
        <v>33.4</v>
      </c>
      <c r="AT22" s="59">
        <v>336784</v>
      </c>
      <c r="AU22" s="59">
        <v>15.9</v>
      </c>
      <c r="AV22" s="59">
        <v>119357</v>
      </c>
      <c r="AW22" s="59">
        <v>2.7</v>
      </c>
      <c r="AX22" s="59">
        <v>5779</v>
      </c>
      <c r="AY22" s="59">
        <v>1.9</v>
      </c>
      <c r="AZ22" s="62">
        <f t="shared" si="1"/>
        <v>0</v>
      </c>
      <c r="BA22" s="62">
        <f t="shared" si="2"/>
        <v>0</v>
      </c>
      <c r="BB22" s="62">
        <f t="shared" si="3"/>
        <v>0</v>
      </c>
      <c r="BC22" s="62">
        <f t="shared" si="4"/>
        <v>0</v>
      </c>
      <c r="BD22" s="62">
        <f t="shared" si="5"/>
        <v>0</v>
      </c>
      <c r="BE22" s="62">
        <f t="shared" si="6"/>
        <v>0</v>
      </c>
      <c r="BF22" s="62">
        <f t="shared" si="7"/>
        <v>0</v>
      </c>
      <c r="BG22" s="62">
        <f t="shared" si="8"/>
        <v>0</v>
      </c>
      <c r="BH22" s="61">
        <f t="shared" si="9"/>
        <v>1</v>
      </c>
      <c r="BI22" s="61">
        <f t="shared" si="10"/>
        <v>-10</v>
      </c>
      <c r="BJ22" s="61">
        <f t="shared" si="11"/>
        <v>1772343</v>
      </c>
      <c r="BK22" s="61">
        <f t="shared" si="12"/>
        <v>-14.400000000000006</v>
      </c>
      <c r="BL22" s="61">
        <f t="shared" si="13"/>
        <v>4268259</v>
      </c>
      <c r="BM22" s="61">
        <f t="shared" si="14"/>
        <v>-3.7000000000000028</v>
      </c>
      <c r="BN22" s="61">
        <f t="shared" si="15"/>
        <v>298633</v>
      </c>
      <c r="BO22" s="61">
        <f t="shared" si="16"/>
        <v>-1.7000000000000028</v>
      </c>
      <c r="BP22" s="61">
        <f t="shared" si="17"/>
        <v>0</v>
      </c>
      <c r="BQ22" s="61">
        <f t="shared" si="18"/>
        <v>-13.399999999999999</v>
      </c>
      <c r="BR22" s="61">
        <f t="shared" si="19"/>
        <v>0</v>
      </c>
      <c r="BS22" s="61">
        <f t="shared" si="20"/>
        <v>-1.7000000000000011</v>
      </c>
      <c r="BT22" s="61">
        <f t="shared" si="21"/>
        <v>0</v>
      </c>
      <c r="BU22" s="61">
        <f t="shared" si="22"/>
        <v>-0.20000000000000018</v>
      </c>
      <c r="BV22" s="61">
        <f t="shared" si="23"/>
        <v>0</v>
      </c>
      <c r="BW22" s="61">
        <f t="shared" si="24"/>
        <v>-0.59999999999999987</v>
      </c>
    </row>
    <row r="23" spans="1:75" ht="15.75">
      <c r="A23" s="2" t="s">
        <v>42</v>
      </c>
      <c r="B23" s="5" t="s">
        <v>43</v>
      </c>
      <c r="C23" s="3">
        <v>1</v>
      </c>
      <c r="D23" s="4">
        <v>33.299999999999997</v>
      </c>
      <c r="E23" s="3">
        <v>4672</v>
      </c>
      <c r="F23" s="4">
        <v>0.2</v>
      </c>
      <c r="G23" s="3">
        <v>57294</v>
      </c>
      <c r="H23" s="4">
        <v>1.3</v>
      </c>
      <c r="I23" s="3">
        <v>1793</v>
      </c>
      <c r="J23" s="4">
        <v>0.6</v>
      </c>
      <c r="K23" s="3">
        <v>1</v>
      </c>
      <c r="L23" s="4">
        <v>33.299999999999997</v>
      </c>
      <c r="M23" s="3">
        <v>1772343</v>
      </c>
      <c r="N23" s="4">
        <v>83.9</v>
      </c>
      <c r="O23" s="3">
        <v>4268259</v>
      </c>
      <c r="P23" s="4">
        <v>96</v>
      </c>
      <c r="Q23" s="3">
        <v>298633</v>
      </c>
      <c r="R23" s="4">
        <v>97.5</v>
      </c>
      <c r="S23" s="3">
        <v>1</v>
      </c>
      <c r="T23" s="4">
        <v>33.4</v>
      </c>
      <c r="U23" s="3">
        <v>336784</v>
      </c>
      <c r="V23" s="4">
        <v>15.9</v>
      </c>
      <c r="W23" s="3">
        <v>119357</v>
      </c>
      <c r="X23" s="4">
        <v>2.7</v>
      </c>
      <c r="Y23" s="3">
        <v>5779</v>
      </c>
      <c r="Z23" s="4">
        <v>1.9</v>
      </c>
      <c r="AB23" s="49">
        <v>1</v>
      </c>
      <c r="AC23" s="50">
        <v>33.299999999999997</v>
      </c>
      <c r="AD23" s="50">
        <v>4672</v>
      </c>
      <c r="AE23" s="50">
        <v>0.2</v>
      </c>
      <c r="AF23" s="50">
        <v>57294</v>
      </c>
      <c r="AG23" s="50">
        <v>1.3</v>
      </c>
      <c r="AH23" s="50">
        <v>1793</v>
      </c>
      <c r="AI23" s="50">
        <v>0.6</v>
      </c>
      <c r="AJ23" s="40">
        <v>3</v>
      </c>
      <c r="AK23" s="41">
        <v>42.8</v>
      </c>
      <c r="AL23" s="41">
        <v>10120396</v>
      </c>
      <c r="AM23" s="41">
        <v>86.9</v>
      </c>
      <c r="AN23" s="41">
        <v>24934396</v>
      </c>
      <c r="AO23" s="41">
        <v>77.099999999999994</v>
      </c>
      <c r="AP23" s="41">
        <v>4879332</v>
      </c>
      <c r="AQ23" s="41">
        <v>74</v>
      </c>
      <c r="AR23" s="58">
        <v>1</v>
      </c>
      <c r="AS23" s="59">
        <v>14.3</v>
      </c>
      <c r="AT23" s="59">
        <v>73193</v>
      </c>
      <c r="AU23" s="59">
        <v>0.6</v>
      </c>
      <c r="AV23" s="59">
        <v>26510</v>
      </c>
      <c r="AW23" s="59">
        <v>0.1</v>
      </c>
      <c r="AX23" s="59">
        <v>12636</v>
      </c>
      <c r="AY23" s="59">
        <v>0.2</v>
      </c>
      <c r="AZ23" s="62">
        <f t="shared" si="1"/>
        <v>0</v>
      </c>
      <c r="BA23" s="62">
        <f t="shared" si="2"/>
        <v>0</v>
      </c>
      <c r="BB23" s="62">
        <f t="shared" si="3"/>
        <v>0</v>
      </c>
      <c r="BC23" s="62">
        <f t="shared" si="4"/>
        <v>0</v>
      </c>
      <c r="BD23" s="62">
        <f t="shared" si="5"/>
        <v>0</v>
      </c>
      <c r="BE23" s="62">
        <f t="shared" si="6"/>
        <v>0</v>
      </c>
      <c r="BF23" s="62">
        <f t="shared" si="7"/>
        <v>0</v>
      </c>
      <c r="BG23" s="62">
        <f t="shared" si="8"/>
        <v>0</v>
      </c>
      <c r="BH23" s="61">
        <f t="shared" si="9"/>
        <v>-2</v>
      </c>
      <c r="BI23" s="61">
        <f t="shared" si="10"/>
        <v>-9.5</v>
      </c>
      <c r="BJ23" s="61">
        <f t="shared" si="11"/>
        <v>-8348053</v>
      </c>
      <c r="BK23" s="61">
        <f t="shared" si="12"/>
        <v>-3</v>
      </c>
      <c r="BL23" s="61">
        <f t="shared" si="13"/>
        <v>-20666137</v>
      </c>
      <c r="BM23" s="61">
        <f t="shared" si="14"/>
        <v>18.900000000000006</v>
      </c>
      <c r="BN23" s="61">
        <f t="shared" si="15"/>
        <v>-4580699</v>
      </c>
      <c r="BO23" s="61">
        <f t="shared" si="16"/>
        <v>23.5</v>
      </c>
      <c r="BP23" s="61">
        <f t="shared" si="17"/>
        <v>0</v>
      </c>
      <c r="BQ23" s="61">
        <f t="shared" si="18"/>
        <v>19.099999999999998</v>
      </c>
      <c r="BR23" s="61">
        <f t="shared" si="19"/>
        <v>263591</v>
      </c>
      <c r="BS23" s="61">
        <f t="shared" si="20"/>
        <v>15.3</v>
      </c>
      <c r="BT23" s="61">
        <f t="shared" si="21"/>
        <v>92847</v>
      </c>
      <c r="BU23" s="61">
        <f t="shared" si="22"/>
        <v>2.6</v>
      </c>
      <c r="BV23" s="61">
        <f t="shared" si="23"/>
        <v>-6857</v>
      </c>
      <c r="BW23" s="61">
        <f t="shared" si="24"/>
        <v>1.7</v>
      </c>
    </row>
    <row r="24" spans="1:75" ht="26.25">
      <c r="A24" s="2" t="s">
        <v>44</v>
      </c>
      <c r="B24" s="5" t="s">
        <v>45</v>
      </c>
      <c r="C24" s="3">
        <v>1</v>
      </c>
      <c r="D24" s="4">
        <v>50</v>
      </c>
      <c r="E24" s="3" t="s">
        <v>31</v>
      </c>
      <c r="F24" s="4" t="s">
        <v>31</v>
      </c>
      <c r="G24" s="3" t="s">
        <v>31</v>
      </c>
      <c r="H24" s="4" t="s">
        <v>31</v>
      </c>
      <c r="I24" s="3">
        <v>6</v>
      </c>
      <c r="J24" s="4">
        <v>0</v>
      </c>
      <c r="K24" s="3">
        <v>1</v>
      </c>
      <c r="L24" s="4">
        <v>50</v>
      </c>
      <c r="M24" s="3">
        <v>258023</v>
      </c>
      <c r="N24" s="4">
        <v>100</v>
      </c>
      <c r="O24" s="3">
        <v>255985</v>
      </c>
      <c r="P24" s="4">
        <v>100</v>
      </c>
      <c r="Q24" s="3">
        <v>129361</v>
      </c>
      <c r="R24" s="4">
        <v>100</v>
      </c>
      <c r="S24" s="3" t="s">
        <v>31</v>
      </c>
      <c r="T24" s="4" t="s">
        <v>31</v>
      </c>
      <c r="U24" s="3" t="s">
        <v>31</v>
      </c>
      <c r="V24" s="4" t="s">
        <v>31</v>
      </c>
      <c r="W24" s="3" t="s">
        <v>31</v>
      </c>
      <c r="X24" s="4" t="s">
        <v>31</v>
      </c>
      <c r="Y24" s="3" t="s">
        <v>31</v>
      </c>
      <c r="Z24" s="4" t="s">
        <v>31</v>
      </c>
      <c r="AB24" s="49">
        <v>1</v>
      </c>
      <c r="AC24" s="50">
        <v>50</v>
      </c>
      <c r="AD24" s="50" t="s">
        <v>31</v>
      </c>
      <c r="AE24" s="50" t="s">
        <v>31</v>
      </c>
      <c r="AF24" s="50" t="s">
        <v>31</v>
      </c>
      <c r="AG24" s="50" t="s">
        <v>31</v>
      </c>
      <c r="AH24" s="50">
        <v>6</v>
      </c>
      <c r="AI24" s="50">
        <v>0</v>
      </c>
      <c r="AJ24" s="40">
        <v>2</v>
      </c>
      <c r="AK24" s="41">
        <v>50</v>
      </c>
      <c r="AL24" s="41">
        <v>9590951</v>
      </c>
      <c r="AM24" s="41">
        <v>90.6</v>
      </c>
      <c r="AN24" s="41">
        <v>24133229</v>
      </c>
      <c r="AO24" s="41">
        <v>89.8</v>
      </c>
      <c r="AP24" s="41">
        <v>4735298</v>
      </c>
      <c r="AQ24" s="41">
        <v>95.7</v>
      </c>
      <c r="AR24" s="58">
        <v>1</v>
      </c>
      <c r="AS24" s="59">
        <v>25</v>
      </c>
      <c r="AT24" s="59">
        <v>73193</v>
      </c>
      <c r="AU24" s="59">
        <v>0.7</v>
      </c>
      <c r="AV24" s="59">
        <v>26510</v>
      </c>
      <c r="AW24" s="59">
        <v>0.1</v>
      </c>
      <c r="AX24" s="59">
        <v>12636</v>
      </c>
      <c r="AY24" s="59">
        <v>0.2</v>
      </c>
      <c r="AZ24" s="62">
        <f t="shared" si="1"/>
        <v>0</v>
      </c>
      <c r="BA24" s="62">
        <f t="shared" si="2"/>
        <v>0</v>
      </c>
      <c r="BB24" s="62" t="e">
        <f t="shared" si="3"/>
        <v>#VALUE!</v>
      </c>
      <c r="BC24" s="62" t="e">
        <f t="shared" si="4"/>
        <v>#VALUE!</v>
      </c>
      <c r="BD24" s="62" t="e">
        <f t="shared" si="5"/>
        <v>#VALUE!</v>
      </c>
      <c r="BE24" s="62" t="e">
        <f t="shared" si="6"/>
        <v>#VALUE!</v>
      </c>
      <c r="BF24" s="62">
        <f t="shared" si="7"/>
        <v>0</v>
      </c>
      <c r="BG24" s="62">
        <f t="shared" si="8"/>
        <v>0</v>
      </c>
      <c r="BH24" s="61">
        <f t="shared" si="9"/>
        <v>-1</v>
      </c>
      <c r="BI24" s="61">
        <f t="shared" si="10"/>
        <v>0</v>
      </c>
      <c r="BJ24" s="61">
        <f t="shared" si="11"/>
        <v>-9332928</v>
      </c>
      <c r="BK24" s="61">
        <f t="shared" si="12"/>
        <v>9.4000000000000057</v>
      </c>
      <c r="BL24" s="61">
        <f t="shared" si="13"/>
        <v>-23877244</v>
      </c>
      <c r="BM24" s="61">
        <f t="shared" si="14"/>
        <v>10.200000000000003</v>
      </c>
      <c r="BN24" s="61">
        <f t="shared" si="15"/>
        <v>-4605937</v>
      </c>
      <c r="BO24" s="61">
        <f t="shared" si="16"/>
        <v>4.2999999999999972</v>
      </c>
      <c r="BP24" s="61" t="e">
        <f t="shared" si="17"/>
        <v>#VALUE!</v>
      </c>
      <c r="BQ24" s="61" t="e">
        <f t="shared" si="18"/>
        <v>#VALUE!</v>
      </c>
      <c r="BR24" s="61" t="e">
        <f t="shared" si="19"/>
        <v>#VALUE!</v>
      </c>
      <c r="BS24" s="61" t="e">
        <f t="shared" si="20"/>
        <v>#VALUE!</v>
      </c>
      <c r="BT24" s="61" t="e">
        <f t="shared" si="21"/>
        <v>#VALUE!</v>
      </c>
      <c r="BU24" s="61" t="e">
        <f t="shared" si="22"/>
        <v>#VALUE!</v>
      </c>
      <c r="BV24" s="61" t="e">
        <f t="shared" si="23"/>
        <v>#VALUE!</v>
      </c>
      <c r="BW24" s="61" t="e">
        <f t="shared" si="24"/>
        <v>#VALUE!</v>
      </c>
    </row>
    <row r="25" spans="1:75" s="19" customFormat="1" ht="16.5" thickBot="1">
      <c r="A25" s="15" t="s">
        <v>123</v>
      </c>
      <c r="B25" s="16" t="s">
        <v>46</v>
      </c>
      <c r="C25" s="17">
        <v>3</v>
      </c>
      <c r="D25" s="18">
        <v>42.9</v>
      </c>
      <c r="E25" s="17">
        <v>1449986</v>
      </c>
      <c r="F25" s="18">
        <v>12.5</v>
      </c>
      <c r="G25" s="17">
        <v>7390981</v>
      </c>
      <c r="H25" s="18">
        <v>22.8</v>
      </c>
      <c r="I25" s="17">
        <v>1703308</v>
      </c>
      <c r="J25" s="18">
        <v>25.8</v>
      </c>
      <c r="K25" s="17">
        <v>3</v>
      </c>
      <c r="L25" s="18">
        <v>42.8</v>
      </c>
      <c r="M25" s="17">
        <v>10120396</v>
      </c>
      <c r="N25" s="18">
        <v>86.9</v>
      </c>
      <c r="O25" s="17">
        <v>24934396</v>
      </c>
      <c r="P25" s="18">
        <v>77.099999999999994</v>
      </c>
      <c r="Q25" s="17">
        <v>4879332</v>
      </c>
      <c r="R25" s="18">
        <v>74</v>
      </c>
      <c r="S25" s="17">
        <v>1</v>
      </c>
      <c r="T25" s="18">
        <v>14.3</v>
      </c>
      <c r="U25" s="17">
        <v>73193</v>
      </c>
      <c r="V25" s="18">
        <v>0.6</v>
      </c>
      <c r="W25" s="17">
        <v>26510</v>
      </c>
      <c r="X25" s="18">
        <v>0.1</v>
      </c>
      <c r="Y25" s="17">
        <v>12636</v>
      </c>
      <c r="Z25" s="18">
        <v>0.2</v>
      </c>
      <c r="AB25" s="49">
        <v>3</v>
      </c>
      <c r="AC25" s="50">
        <v>42.9</v>
      </c>
      <c r="AD25" s="50">
        <v>1449986</v>
      </c>
      <c r="AE25" s="50">
        <v>12.5</v>
      </c>
      <c r="AF25" s="50">
        <v>7390981</v>
      </c>
      <c r="AG25" s="50">
        <v>22.8</v>
      </c>
      <c r="AH25" s="50">
        <v>1703308</v>
      </c>
      <c r="AI25" s="50">
        <v>25.8</v>
      </c>
      <c r="AJ25" s="40">
        <v>1</v>
      </c>
      <c r="AK25" s="41">
        <v>50</v>
      </c>
      <c r="AL25" s="41">
        <v>529445</v>
      </c>
      <c r="AM25" s="41">
        <v>51</v>
      </c>
      <c r="AN25" s="41">
        <v>801167</v>
      </c>
      <c r="AO25" s="41">
        <v>14.9</v>
      </c>
      <c r="AP25" s="41">
        <v>144034</v>
      </c>
      <c r="AQ25" s="41">
        <v>8.6999999999999993</v>
      </c>
      <c r="AR25" s="58">
        <v>13</v>
      </c>
      <c r="AS25" s="59">
        <v>52</v>
      </c>
      <c r="AT25" s="59">
        <v>10609187</v>
      </c>
      <c r="AU25" s="59">
        <v>68.900000000000006</v>
      </c>
      <c r="AV25" s="59">
        <v>5950210</v>
      </c>
      <c r="AW25" s="59">
        <v>44</v>
      </c>
      <c r="AX25" s="59">
        <v>2151601</v>
      </c>
      <c r="AY25" s="59">
        <v>80.400000000000006</v>
      </c>
      <c r="AZ25" s="62">
        <f t="shared" si="1"/>
        <v>0</v>
      </c>
      <c r="BA25" s="62">
        <f t="shared" si="2"/>
        <v>0</v>
      </c>
      <c r="BB25" s="62">
        <f t="shared" si="3"/>
        <v>0</v>
      </c>
      <c r="BC25" s="62">
        <f t="shared" si="4"/>
        <v>0</v>
      </c>
      <c r="BD25" s="62">
        <f t="shared" si="5"/>
        <v>0</v>
      </c>
      <c r="BE25" s="62">
        <f t="shared" si="6"/>
        <v>0</v>
      </c>
      <c r="BF25" s="62">
        <f t="shared" si="7"/>
        <v>0</v>
      </c>
      <c r="BG25" s="62">
        <f t="shared" si="8"/>
        <v>0</v>
      </c>
      <c r="BH25" s="61">
        <f t="shared" si="9"/>
        <v>2</v>
      </c>
      <c r="BI25" s="61">
        <f t="shared" si="10"/>
        <v>-7.2000000000000028</v>
      </c>
      <c r="BJ25" s="61">
        <f t="shared" si="11"/>
        <v>9590951</v>
      </c>
      <c r="BK25" s="61">
        <f t="shared" si="12"/>
        <v>35.900000000000006</v>
      </c>
      <c r="BL25" s="61">
        <f t="shared" si="13"/>
        <v>24133229</v>
      </c>
      <c r="BM25" s="61">
        <f t="shared" si="14"/>
        <v>62.199999999999996</v>
      </c>
      <c r="BN25" s="61">
        <f t="shared" si="15"/>
        <v>4735298</v>
      </c>
      <c r="BO25" s="61">
        <f t="shared" si="16"/>
        <v>65.3</v>
      </c>
      <c r="BP25" s="61">
        <f t="shared" si="17"/>
        <v>-12</v>
      </c>
      <c r="BQ25" s="61">
        <f t="shared" si="18"/>
        <v>-37.700000000000003</v>
      </c>
      <c r="BR25" s="61">
        <f t="shared" si="19"/>
        <v>-10535994</v>
      </c>
      <c r="BS25" s="61">
        <f t="shared" si="20"/>
        <v>-68.300000000000011</v>
      </c>
      <c r="BT25" s="61">
        <f t="shared" si="21"/>
        <v>-5923700</v>
      </c>
      <c r="BU25" s="61">
        <f t="shared" si="22"/>
        <v>-43.9</v>
      </c>
      <c r="BV25" s="61">
        <f t="shared" si="23"/>
        <v>-2138965</v>
      </c>
      <c r="BW25" s="61">
        <f t="shared" si="24"/>
        <v>-80.2</v>
      </c>
    </row>
    <row r="26" spans="1:75" ht="15.75">
      <c r="A26" s="2" t="s">
        <v>47</v>
      </c>
      <c r="B26" s="5" t="s">
        <v>48</v>
      </c>
      <c r="C26" s="3">
        <v>1</v>
      </c>
      <c r="D26" s="4">
        <v>25</v>
      </c>
      <c r="E26" s="3">
        <v>921167</v>
      </c>
      <c r="F26" s="4">
        <v>8.6999999999999993</v>
      </c>
      <c r="G26" s="3">
        <v>2717228</v>
      </c>
      <c r="H26" s="4">
        <v>10.1</v>
      </c>
      <c r="I26" s="3">
        <v>200756</v>
      </c>
      <c r="J26" s="4">
        <v>4.0999999999999996</v>
      </c>
      <c r="K26" s="3">
        <v>2</v>
      </c>
      <c r="L26" s="4">
        <v>50</v>
      </c>
      <c r="M26" s="3">
        <v>9590951</v>
      </c>
      <c r="N26" s="4">
        <v>90.6</v>
      </c>
      <c r="O26" s="3">
        <v>24133229</v>
      </c>
      <c r="P26" s="4">
        <v>89.8</v>
      </c>
      <c r="Q26" s="3">
        <v>4735298</v>
      </c>
      <c r="R26" s="4">
        <v>95.7</v>
      </c>
      <c r="S26" s="3">
        <v>1</v>
      </c>
      <c r="T26" s="4">
        <v>25</v>
      </c>
      <c r="U26" s="3">
        <v>73193</v>
      </c>
      <c r="V26" s="4">
        <v>0.7</v>
      </c>
      <c r="W26" s="3">
        <v>26510</v>
      </c>
      <c r="X26" s="4">
        <v>0.1</v>
      </c>
      <c r="Y26" s="3">
        <v>12636</v>
      </c>
      <c r="Z26" s="4">
        <v>0.2</v>
      </c>
      <c r="AB26" s="49">
        <v>1</v>
      </c>
      <c r="AC26" s="50">
        <v>25</v>
      </c>
      <c r="AD26" s="50">
        <v>921167</v>
      </c>
      <c r="AE26" s="50">
        <v>8.6999999999999993</v>
      </c>
      <c r="AF26" s="50">
        <v>2717228</v>
      </c>
      <c r="AG26" s="50">
        <v>10.1</v>
      </c>
      <c r="AH26" s="50">
        <v>200756</v>
      </c>
      <c r="AI26" s="50">
        <v>4.0999999999999996</v>
      </c>
      <c r="AJ26" s="40">
        <v>5</v>
      </c>
      <c r="AK26" s="41">
        <v>20</v>
      </c>
      <c r="AL26" s="41">
        <v>4368943</v>
      </c>
      <c r="AM26" s="41">
        <v>28.4</v>
      </c>
      <c r="AN26" s="41">
        <v>4154638</v>
      </c>
      <c r="AO26" s="41">
        <v>30.7</v>
      </c>
      <c r="AP26" s="41">
        <v>77085</v>
      </c>
      <c r="AQ26" s="41">
        <v>2.9</v>
      </c>
      <c r="AR26" s="56">
        <v>7</v>
      </c>
      <c r="AS26" s="57">
        <v>58.4</v>
      </c>
      <c r="AT26" s="57">
        <v>10568506</v>
      </c>
      <c r="AU26" s="57">
        <v>69.599999999999994</v>
      </c>
      <c r="AV26" s="57">
        <v>5864841</v>
      </c>
      <c r="AW26" s="57">
        <v>56.7</v>
      </c>
      <c r="AX26" s="57">
        <v>2089205</v>
      </c>
      <c r="AY26" s="57">
        <v>95.7</v>
      </c>
      <c r="AZ26" s="62">
        <f t="shared" si="1"/>
        <v>0</v>
      </c>
      <c r="BA26" s="62">
        <f t="shared" si="2"/>
        <v>0</v>
      </c>
      <c r="BB26" s="62">
        <f t="shared" si="3"/>
        <v>0</v>
      </c>
      <c r="BC26" s="62">
        <f t="shared" si="4"/>
        <v>0</v>
      </c>
      <c r="BD26" s="62">
        <f t="shared" si="5"/>
        <v>0</v>
      </c>
      <c r="BE26" s="62">
        <f t="shared" si="6"/>
        <v>0</v>
      </c>
      <c r="BF26" s="62">
        <f t="shared" si="7"/>
        <v>0</v>
      </c>
      <c r="BG26" s="62">
        <f t="shared" si="8"/>
        <v>0</v>
      </c>
      <c r="BH26" s="61">
        <f t="shared" si="9"/>
        <v>-3</v>
      </c>
      <c r="BI26" s="61">
        <f t="shared" si="10"/>
        <v>30</v>
      </c>
      <c r="BJ26" s="61">
        <f t="shared" si="11"/>
        <v>5222008</v>
      </c>
      <c r="BK26" s="61">
        <f t="shared" si="12"/>
        <v>62.199999999999996</v>
      </c>
      <c r="BL26" s="61">
        <f t="shared" si="13"/>
        <v>19978591</v>
      </c>
      <c r="BM26" s="61">
        <f t="shared" si="14"/>
        <v>59.099999999999994</v>
      </c>
      <c r="BN26" s="61">
        <f t="shared" si="15"/>
        <v>4658213</v>
      </c>
      <c r="BO26" s="61">
        <f t="shared" si="16"/>
        <v>92.8</v>
      </c>
      <c r="BP26" s="61">
        <f t="shared" si="17"/>
        <v>-6</v>
      </c>
      <c r="BQ26" s="61">
        <f t="shared" si="18"/>
        <v>-33.4</v>
      </c>
      <c r="BR26" s="61">
        <f t="shared" si="19"/>
        <v>-10495313</v>
      </c>
      <c r="BS26" s="61">
        <f t="shared" si="20"/>
        <v>-68.899999999999991</v>
      </c>
      <c r="BT26" s="61">
        <f t="shared" si="21"/>
        <v>-5838331</v>
      </c>
      <c r="BU26" s="61">
        <f t="shared" si="22"/>
        <v>-56.6</v>
      </c>
      <c r="BV26" s="61">
        <f t="shared" si="23"/>
        <v>-2076569</v>
      </c>
      <c r="BW26" s="61">
        <f t="shared" si="24"/>
        <v>-95.5</v>
      </c>
    </row>
    <row r="27" spans="1:75" ht="16.5" thickBot="1">
      <c r="A27" s="2" t="s">
        <v>49</v>
      </c>
      <c r="B27" s="5" t="s">
        <v>50</v>
      </c>
      <c r="C27" s="3">
        <v>1</v>
      </c>
      <c r="D27" s="4">
        <v>50</v>
      </c>
      <c r="E27" s="3">
        <v>508614</v>
      </c>
      <c r="F27" s="4">
        <v>49</v>
      </c>
      <c r="G27" s="3">
        <v>4564430</v>
      </c>
      <c r="H27" s="4">
        <v>85.1</v>
      </c>
      <c r="I27" s="3">
        <v>1502303</v>
      </c>
      <c r="J27" s="4">
        <v>91.3</v>
      </c>
      <c r="K27" s="3">
        <v>1</v>
      </c>
      <c r="L27" s="4">
        <v>50</v>
      </c>
      <c r="M27" s="3">
        <v>529445</v>
      </c>
      <c r="N27" s="4">
        <v>51</v>
      </c>
      <c r="O27" s="3">
        <v>801167</v>
      </c>
      <c r="P27" s="4">
        <v>14.9</v>
      </c>
      <c r="Q27" s="3">
        <v>144034</v>
      </c>
      <c r="R27" s="4">
        <v>8.6999999999999993</v>
      </c>
      <c r="S27" s="3" t="s">
        <v>31</v>
      </c>
      <c r="T27" s="4" t="s">
        <v>31</v>
      </c>
      <c r="U27" s="3" t="s">
        <v>31</v>
      </c>
      <c r="V27" s="4" t="s">
        <v>31</v>
      </c>
      <c r="W27" s="3" t="s">
        <v>31</v>
      </c>
      <c r="X27" s="4" t="s">
        <v>31</v>
      </c>
      <c r="Y27" s="3" t="s">
        <v>31</v>
      </c>
      <c r="Z27" s="4" t="s">
        <v>31</v>
      </c>
      <c r="AB27" s="49">
        <v>1</v>
      </c>
      <c r="AC27" s="50">
        <v>50</v>
      </c>
      <c r="AD27" s="50">
        <v>508614</v>
      </c>
      <c r="AE27" s="50">
        <v>49</v>
      </c>
      <c r="AF27" s="50">
        <v>4564430</v>
      </c>
      <c r="AG27" s="50">
        <v>85.1</v>
      </c>
      <c r="AH27" s="50">
        <v>1502303</v>
      </c>
      <c r="AI27" s="50">
        <v>91.3</v>
      </c>
      <c r="AJ27" s="40">
        <v>4</v>
      </c>
      <c r="AK27" s="41">
        <v>33.299999999999997</v>
      </c>
      <c r="AL27" s="41">
        <v>4368811</v>
      </c>
      <c r="AM27" s="41">
        <v>28.7</v>
      </c>
      <c r="AN27" s="41">
        <v>4152152</v>
      </c>
      <c r="AO27" s="41">
        <v>40.200000000000003</v>
      </c>
      <c r="AP27" s="41">
        <v>75847</v>
      </c>
      <c r="AQ27" s="41">
        <v>3.5</v>
      </c>
      <c r="AR27" s="58">
        <v>6</v>
      </c>
      <c r="AS27" s="59">
        <v>46.1</v>
      </c>
      <c r="AT27" s="59">
        <v>40681</v>
      </c>
      <c r="AU27" s="59">
        <v>19.100000000000001</v>
      </c>
      <c r="AV27" s="59">
        <v>85369</v>
      </c>
      <c r="AW27" s="59">
        <v>2.7</v>
      </c>
      <c r="AX27" s="59">
        <v>62396</v>
      </c>
      <c r="AY27" s="59">
        <v>12.6</v>
      </c>
      <c r="AZ27" s="62">
        <f t="shared" si="1"/>
        <v>0</v>
      </c>
      <c r="BA27" s="62">
        <f t="shared" si="2"/>
        <v>0</v>
      </c>
      <c r="BB27" s="62">
        <f t="shared" si="3"/>
        <v>0</v>
      </c>
      <c r="BC27" s="62">
        <f t="shared" si="4"/>
        <v>0</v>
      </c>
      <c r="BD27" s="62">
        <f t="shared" si="5"/>
        <v>0</v>
      </c>
      <c r="BE27" s="62">
        <f t="shared" si="6"/>
        <v>0</v>
      </c>
      <c r="BF27" s="62">
        <f t="shared" si="7"/>
        <v>0</v>
      </c>
      <c r="BG27" s="62">
        <f t="shared" si="8"/>
        <v>0</v>
      </c>
      <c r="BH27" s="61">
        <f t="shared" si="9"/>
        <v>-3</v>
      </c>
      <c r="BI27" s="61">
        <f t="shared" si="10"/>
        <v>16.700000000000003</v>
      </c>
      <c r="BJ27" s="61">
        <f t="shared" si="11"/>
        <v>-3839366</v>
      </c>
      <c r="BK27" s="61">
        <f t="shared" si="12"/>
        <v>22.3</v>
      </c>
      <c r="BL27" s="61">
        <f t="shared" si="13"/>
        <v>-3350985</v>
      </c>
      <c r="BM27" s="61">
        <f t="shared" si="14"/>
        <v>-25.300000000000004</v>
      </c>
      <c r="BN27" s="61">
        <f t="shared" si="15"/>
        <v>68187</v>
      </c>
      <c r="BO27" s="61">
        <f t="shared" si="16"/>
        <v>5.1999999999999993</v>
      </c>
      <c r="BP27" s="61" t="e">
        <f t="shared" si="17"/>
        <v>#VALUE!</v>
      </c>
      <c r="BQ27" s="61" t="e">
        <f t="shared" si="18"/>
        <v>#VALUE!</v>
      </c>
      <c r="BR27" s="61" t="e">
        <f t="shared" si="19"/>
        <v>#VALUE!</v>
      </c>
      <c r="BS27" s="61" t="e">
        <f t="shared" si="20"/>
        <v>#VALUE!</v>
      </c>
      <c r="BT27" s="61" t="e">
        <f t="shared" si="21"/>
        <v>#VALUE!</v>
      </c>
      <c r="BU27" s="61" t="e">
        <f t="shared" si="22"/>
        <v>#VALUE!</v>
      </c>
      <c r="BV27" s="61" t="e">
        <f t="shared" si="23"/>
        <v>#VALUE!</v>
      </c>
      <c r="BW27" s="61" t="e">
        <f t="shared" si="24"/>
        <v>#VALUE!</v>
      </c>
    </row>
    <row r="28" spans="1:75" ht="16.5" thickBot="1">
      <c r="A28" s="2" t="s">
        <v>51</v>
      </c>
      <c r="B28" s="5" t="s">
        <v>52</v>
      </c>
      <c r="C28" s="3">
        <v>1</v>
      </c>
      <c r="D28" s="4">
        <v>100</v>
      </c>
      <c r="E28" s="3">
        <v>20205</v>
      </c>
      <c r="F28" s="4">
        <v>100</v>
      </c>
      <c r="G28" s="3">
        <v>109323</v>
      </c>
      <c r="H28" s="4">
        <v>100</v>
      </c>
      <c r="I28" s="3">
        <v>249</v>
      </c>
      <c r="J28" s="4">
        <v>100</v>
      </c>
      <c r="K28" s="3" t="s">
        <v>31</v>
      </c>
      <c r="L28" s="4" t="s">
        <v>31</v>
      </c>
      <c r="M28" s="3" t="s">
        <v>31</v>
      </c>
      <c r="N28" s="4" t="s">
        <v>31</v>
      </c>
      <c r="O28" s="3" t="s">
        <v>31</v>
      </c>
      <c r="P28" s="4" t="s">
        <v>31</v>
      </c>
      <c r="Q28" s="3" t="s">
        <v>31</v>
      </c>
      <c r="R28" s="4" t="s">
        <v>31</v>
      </c>
      <c r="S28" s="3" t="s">
        <v>31</v>
      </c>
      <c r="T28" s="4" t="s">
        <v>31</v>
      </c>
      <c r="U28" s="3" t="s">
        <v>31</v>
      </c>
      <c r="V28" s="4" t="s">
        <v>31</v>
      </c>
      <c r="W28" s="3" t="s">
        <v>31</v>
      </c>
      <c r="X28" s="4" t="s">
        <v>31</v>
      </c>
      <c r="Y28" s="3" t="s">
        <v>31</v>
      </c>
      <c r="Z28" s="4" t="s">
        <v>31</v>
      </c>
      <c r="AB28" s="49">
        <v>1</v>
      </c>
      <c r="AC28" s="50">
        <v>100</v>
      </c>
      <c r="AD28" s="50">
        <v>20205</v>
      </c>
      <c r="AE28" s="50">
        <v>100</v>
      </c>
      <c r="AF28" s="50">
        <v>109323</v>
      </c>
      <c r="AG28" s="50">
        <v>100</v>
      </c>
      <c r="AH28" s="50">
        <v>249</v>
      </c>
      <c r="AI28" s="50">
        <v>100</v>
      </c>
      <c r="AJ28" s="38">
        <v>1</v>
      </c>
      <c r="AK28" s="39">
        <v>7.7</v>
      </c>
      <c r="AL28" s="39">
        <v>132</v>
      </c>
      <c r="AM28" s="39">
        <v>0.1</v>
      </c>
      <c r="AN28" s="39">
        <v>2486</v>
      </c>
      <c r="AO28" s="39">
        <v>0.1</v>
      </c>
      <c r="AP28" s="39">
        <v>1238</v>
      </c>
      <c r="AQ28" s="39">
        <v>0.3</v>
      </c>
      <c r="AR28" s="58">
        <v>4</v>
      </c>
      <c r="AS28" s="59">
        <v>26.7</v>
      </c>
      <c r="AT28" s="59">
        <v>421081</v>
      </c>
      <c r="AU28" s="59">
        <v>17.899999999999999</v>
      </c>
      <c r="AV28" s="59">
        <v>1369082</v>
      </c>
      <c r="AW28" s="59">
        <v>17.899999999999999</v>
      </c>
      <c r="AX28" s="59">
        <v>1141320</v>
      </c>
      <c r="AY28" s="59">
        <v>35.9</v>
      </c>
      <c r="AZ28" s="62">
        <f t="shared" si="1"/>
        <v>0</v>
      </c>
      <c r="BA28" s="62">
        <f t="shared" si="2"/>
        <v>0</v>
      </c>
      <c r="BB28" s="62">
        <f t="shared" si="3"/>
        <v>0</v>
      </c>
      <c r="BC28" s="62">
        <f t="shared" si="4"/>
        <v>0</v>
      </c>
      <c r="BD28" s="62">
        <f t="shared" si="5"/>
        <v>0</v>
      </c>
      <c r="BE28" s="62">
        <f t="shared" si="6"/>
        <v>0</v>
      </c>
      <c r="BF28" s="62">
        <f t="shared" si="7"/>
        <v>0</v>
      </c>
      <c r="BG28" s="62">
        <f t="shared" si="8"/>
        <v>0</v>
      </c>
      <c r="BH28" s="61" t="e">
        <f t="shared" si="9"/>
        <v>#VALUE!</v>
      </c>
      <c r="BI28" s="61" t="e">
        <f t="shared" si="10"/>
        <v>#VALUE!</v>
      </c>
      <c r="BJ28" s="61" t="e">
        <f t="shared" si="11"/>
        <v>#VALUE!</v>
      </c>
      <c r="BK28" s="61" t="e">
        <f t="shared" si="12"/>
        <v>#VALUE!</v>
      </c>
      <c r="BL28" s="61" t="e">
        <f t="shared" si="13"/>
        <v>#VALUE!</v>
      </c>
      <c r="BM28" s="61" t="e">
        <f t="shared" si="14"/>
        <v>#VALUE!</v>
      </c>
      <c r="BN28" s="61" t="e">
        <f t="shared" si="15"/>
        <v>#VALUE!</v>
      </c>
      <c r="BO28" s="61" t="e">
        <f t="shared" si="16"/>
        <v>#VALUE!</v>
      </c>
      <c r="BP28" s="61" t="e">
        <f t="shared" si="17"/>
        <v>#VALUE!</v>
      </c>
      <c r="BQ28" s="61" t="e">
        <f t="shared" si="18"/>
        <v>#VALUE!</v>
      </c>
      <c r="BR28" s="61" t="e">
        <f t="shared" si="19"/>
        <v>#VALUE!</v>
      </c>
      <c r="BS28" s="61" t="e">
        <f t="shared" si="20"/>
        <v>#VALUE!</v>
      </c>
      <c r="BT28" s="61" t="e">
        <f t="shared" si="21"/>
        <v>#VALUE!</v>
      </c>
      <c r="BU28" s="61" t="e">
        <f t="shared" si="22"/>
        <v>#VALUE!</v>
      </c>
      <c r="BV28" s="61" t="e">
        <f t="shared" si="23"/>
        <v>#VALUE!</v>
      </c>
      <c r="BW28" s="61" t="e">
        <f t="shared" si="24"/>
        <v>#VALUE!</v>
      </c>
    </row>
    <row r="29" spans="1:75" s="19" customFormat="1" ht="26.25">
      <c r="A29" s="15" t="s">
        <v>124</v>
      </c>
      <c r="B29" s="16" t="s">
        <v>53</v>
      </c>
      <c r="C29" s="17">
        <v>7</v>
      </c>
      <c r="D29" s="18">
        <v>28</v>
      </c>
      <c r="E29" s="17">
        <v>425243</v>
      </c>
      <c r="F29" s="18">
        <v>2.7</v>
      </c>
      <c r="G29" s="17">
        <v>3430031</v>
      </c>
      <c r="H29" s="18">
        <v>25.3</v>
      </c>
      <c r="I29" s="17">
        <v>448496</v>
      </c>
      <c r="J29" s="18">
        <v>16.7</v>
      </c>
      <c r="K29" s="17">
        <v>5</v>
      </c>
      <c r="L29" s="18">
        <v>20</v>
      </c>
      <c r="M29" s="17">
        <v>4368943</v>
      </c>
      <c r="N29" s="18">
        <v>28.4</v>
      </c>
      <c r="O29" s="17">
        <v>4154638</v>
      </c>
      <c r="P29" s="18">
        <v>30.7</v>
      </c>
      <c r="Q29" s="17">
        <v>77085</v>
      </c>
      <c r="R29" s="18">
        <v>2.9</v>
      </c>
      <c r="S29" s="17">
        <v>1.3</v>
      </c>
      <c r="T29" s="18">
        <v>52</v>
      </c>
      <c r="U29" s="17">
        <v>10609187</v>
      </c>
      <c r="V29" s="18">
        <v>68.900000000000006</v>
      </c>
      <c r="W29" s="17">
        <v>5950210</v>
      </c>
      <c r="X29" s="18">
        <v>44</v>
      </c>
      <c r="Y29" s="17">
        <v>2151601</v>
      </c>
      <c r="Z29" s="18">
        <v>80.400000000000006</v>
      </c>
      <c r="AB29" s="47">
        <v>7</v>
      </c>
      <c r="AC29" s="48">
        <v>28</v>
      </c>
      <c r="AD29" s="48">
        <v>425243</v>
      </c>
      <c r="AE29" s="48">
        <v>2.7</v>
      </c>
      <c r="AF29" s="48">
        <v>3430031</v>
      </c>
      <c r="AG29" s="48">
        <v>25.3</v>
      </c>
      <c r="AH29" s="48">
        <v>448496</v>
      </c>
      <c r="AI29" s="48">
        <v>16.7</v>
      </c>
      <c r="AJ29" s="40">
        <v>7</v>
      </c>
      <c r="AK29" s="41">
        <v>46.6</v>
      </c>
      <c r="AL29" s="41">
        <v>1690289</v>
      </c>
      <c r="AM29" s="41">
        <v>71.8</v>
      </c>
      <c r="AN29" s="41">
        <v>4717420</v>
      </c>
      <c r="AO29" s="41">
        <v>61.7</v>
      </c>
      <c r="AP29" s="41">
        <v>2038468</v>
      </c>
      <c r="AQ29" s="41">
        <v>64.099999999999994</v>
      </c>
      <c r="AR29" s="58">
        <v>1</v>
      </c>
      <c r="AS29" s="59">
        <v>33.299999999999997</v>
      </c>
      <c r="AT29" s="59">
        <v>13837</v>
      </c>
      <c r="AU29" s="59">
        <v>10</v>
      </c>
      <c r="AV29" s="59">
        <v>4110</v>
      </c>
      <c r="AW29" s="59">
        <v>1.4</v>
      </c>
      <c r="AX29" s="59">
        <v>42</v>
      </c>
      <c r="AY29" s="59">
        <v>0</v>
      </c>
      <c r="AZ29" s="62">
        <f t="shared" si="1"/>
        <v>0</v>
      </c>
      <c r="BA29" s="62">
        <f t="shared" si="2"/>
        <v>0</v>
      </c>
      <c r="BB29" s="62">
        <f t="shared" si="3"/>
        <v>0</v>
      </c>
      <c r="BC29" s="62">
        <f t="shared" si="4"/>
        <v>0</v>
      </c>
      <c r="BD29" s="62">
        <f t="shared" si="5"/>
        <v>0</v>
      </c>
      <c r="BE29" s="62">
        <f t="shared" si="6"/>
        <v>0</v>
      </c>
      <c r="BF29" s="62">
        <f t="shared" si="7"/>
        <v>0</v>
      </c>
      <c r="BG29" s="62">
        <f t="shared" si="8"/>
        <v>0</v>
      </c>
      <c r="BH29" s="61">
        <f t="shared" si="9"/>
        <v>-2</v>
      </c>
      <c r="BI29" s="61">
        <f t="shared" si="10"/>
        <v>-26.6</v>
      </c>
      <c r="BJ29" s="61">
        <f t="shared" si="11"/>
        <v>2678654</v>
      </c>
      <c r="BK29" s="61">
        <f t="shared" si="12"/>
        <v>-43.4</v>
      </c>
      <c r="BL29" s="61">
        <f t="shared" si="13"/>
        <v>-562782</v>
      </c>
      <c r="BM29" s="61">
        <f t="shared" si="14"/>
        <v>-31.000000000000004</v>
      </c>
      <c r="BN29" s="61">
        <f t="shared" si="15"/>
        <v>-1961383</v>
      </c>
      <c r="BO29" s="61">
        <f t="shared" si="16"/>
        <v>-61.199999999999996</v>
      </c>
      <c r="BP29" s="61">
        <f t="shared" si="17"/>
        <v>0.30000000000000004</v>
      </c>
      <c r="BQ29" s="61">
        <f t="shared" si="18"/>
        <v>18.700000000000003</v>
      </c>
      <c r="BR29" s="61">
        <f t="shared" si="19"/>
        <v>10595350</v>
      </c>
      <c r="BS29" s="61">
        <f t="shared" si="20"/>
        <v>58.900000000000006</v>
      </c>
      <c r="BT29" s="61">
        <f t="shared" si="21"/>
        <v>5946100</v>
      </c>
      <c r="BU29" s="61">
        <f t="shared" si="22"/>
        <v>42.6</v>
      </c>
      <c r="BV29" s="61">
        <f t="shared" si="23"/>
        <v>2151559</v>
      </c>
      <c r="BW29" s="61">
        <f t="shared" si="24"/>
        <v>80.400000000000006</v>
      </c>
    </row>
    <row r="30" spans="1:75" ht="26.25">
      <c r="A30" s="2" t="s">
        <v>54</v>
      </c>
      <c r="B30" s="5" t="s">
        <v>55</v>
      </c>
      <c r="C30" s="3">
        <v>1</v>
      </c>
      <c r="D30" s="4">
        <v>8.3000000000000007</v>
      </c>
      <c r="E30" s="3">
        <v>253675</v>
      </c>
      <c r="F30" s="4">
        <v>1.7</v>
      </c>
      <c r="G30" s="3">
        <v>325159</v>
      </c>
      <c r="H30" s="4">
        <v>3.1</v>
      </c>
      <c r="I30" s="3">
        <v>18596</v>
      </c>
      <c r="J30" s="4">
        <v>0.8</v>
      </c>
      <c r="K30" s="3">
        <v>4</v>
      </c>
      <c r="L30" s="4">
        <v>33.299999999999997</v>
      </c>
      <c r="M30" s="3">
        <v>4368811</v>
      </c>
      <c r="N30" s="4">
        <v>28.7</v>
      </c>
      <c r="O30" s="3">
        <v>4152152</v>
      </c>
      <c r="P30" s="4">
        <v>40.200000000000003</v>
      </c>
      <c r="Q30" s="3">
        <v>75847</v>
      </c>
      <c r="R30" s="4">
        <v>3.5</v>
      </c>
      <c r="S30" s="3">
        <v>7</v>
      </c>
      <c r="T30" s="4">
        <v>58.4</v>
      </c>
      <c r="U30" s="3">
        <v>10568506</v>
      </c>
      <c r="V30" s="4">
        <v>69.599999999999994</v>
      </c>
      <c r="W30" s="3">
        <v>5864841</v>
      </c>
      <c r="X30" s="4">
        <v>56.7</v>
      </c>
      <c r="Y30" s="3">
        <v>2089205</v>
      </c>
      <c r="Z30" s="4">
        <v>95.7</v>
      </c>
      <c r="AB30" s="49">
        <v>1</v>
      </c>
      <c r="AC30" s="50">
        <v>8.3000000000000007</v>
      </c>
      <c r="AD30" s="50">
        <v>253675</v>
      </c>
      <c r="AE30" s="50">
        <v>1.7</v>
      </c>
      <c r="AF30" s="50">
        <v>325159</v>
      </c>
      <c r="AG30" s="50">
        <v>3.1</v>
      </c>
      <c r="AH30" s="50">
        <v>18596</v>
      </c>
      <c r="AI30" s="50">
        <v>0.8</v>
      </c>
      <c r="AJ30" s="40">
        <v>2</v>
      </c>
      <c r="AK30" s="41">
        <v>66.7</v>
      </c>
      <c r="AL30" s="41">
        <v>124644</v>
      </c>
      <c r="AM30" s="41">
        <v>90</v>
      </c>
      <c r="AN30" s="41">
        <v>279668</v>
      </c>
      <c r="AO30" s="41">
        <v>98.6</v>
      </c>
      <c r="AP30" s="41">
        <v>290134</v>
      </c>
      <c r="AQ30" s="41">
        <v>100</v>
      </c>
      <c r="AR30" s="58">
        <v>1</v>
      </c>
      <c r="AS30" s="59">
        <v>50</v>
      </c>
      <c r="AT30" s="59">
        <v>324310</v>
      </c>
      <c r="AU30" s="59">
        <v>35.4</v>
      </c>
      <c r="AV30" s="59">
        <v>1039031</v>
      </c>
      <c r="AW30" s="59">
        <v>31.7</v>
      </c>
      <c r="AX30" s="59">
        <v>140673</v>
      </c>
      <c r="AY30" s="59">
        <v>79.099999999999994</v>
      </c>
      <c r="AZ30" s="62">
        <f t="shared" si="1"/>
        <v>0</v>
      </c>
      <c r="BA30" s="62">
        <f t="shared" si="2"/>
        <v>0</v>
      </c>
      <c r="BB30" s="62">
        <f t="shared" si="3"/>
        <v>0</v>
      </c>
      <c r="BC30" s="62">
        <f t="shared" si="4"/>
        <v>0</v>
      </c>
      <c r="BD30" s="62">
        <f t="shared" si="5"/>
        <v>0</v>
      </c>
      <c r="BE30" s="62">
        <f t="shared" si="6"/>
        <v>0</v>
      </c>
      <c r="BF30" s="62">
        <f t="shared" si="7"/>
        <v>0</v>
      </c>
      <c r="BG30" s="62">
        <f t="shared" si="8"/>
        <v>0</v>
      </c>
      <c r="BH30" s="61">
        <f t="shared" si="9"/>
        <v>2</v>
      </c>
      <c r="BI30" s="61">
        <f t="shared" si="10"/>
        <v>-33.400000000000006</v>
      </c>
      <c r="BJ30" s="61">
        <f t="shared" si="11"/>
        <v>4244167</v>
      </c>
      <c r="BK30" s="61">
        <f t="shared" si="12"/>
        <v>-61.3</v>
      </c>
      <c r="BL30" s="61">
        <f t="shared" si="13"/>
        <v>3872484</v>
      </c>
      <c r="BM30" s="61">
        <f t="shared" si="14"/>
        <v>-58.399999999999991</v>
      </c>
      <c r="BN30" s="61">
        <f t="shared" si="15"/>
        <v>-214287</v>
      </c>
      <c r="BO30" s="61">
        <f t="shared" si="16"/>
        <v>-96.5</v>
      </c>
      <c r="BP30" s="61">
        <f t="shared" si="17"/>
        <v>6</v>
      </c>
      <c r="BQ30" s="61">
        <f t="shared" si="18"/>
        <v>8.3999999999999986</v>
      </c>
      <c r="BR30" s="61">
        <f t="shared" si="19"/>
        <v>10244196</v>
      </c>
      <c r="BS30" s="61">
        <f t="shared" si="20"/>
        <v>34.199999999999996</v>
      </c>
      <c r="BT30" s="61">
        <f t="shared" si="21"/>
        <v>4825810</v>
      </c>
      <c r="BU30" s="61">
        <f t="shared" si="22"/>
        <v>25.000000000000004</v>
      </c>
      <c r="BV30" s="61">
        <f t="shared" si="23"/>
        <v>1948532</v>
      </c>
      <c r="BW30" s="61">
        <f t="shared" si="24"/>
        <v>16.600000000000009</v>
      </c>
    </row>
    <row r="31" spans="1:75" ht="26.25">
      <c r="A31" s="2" t="s">
        <v>56</v>
      </c>
      <c r="B31" s="5" t="s">
        <v>57</v>
      </c>
      <c r="C31" s="3">
        <v>6</v>
      </c>
      <c r="D31" s="4">
        <v>46.2</v>
      </c>
      <c r="E31" s="3">
        <v>171568</v>
      </c>
      <c r="F31" s="4">
        <v>80.8</v>
      </c>
      <c r="G31" s="3">
        <v>3104872</v>
      </c>
      <c r="H31" s="4">
        <v>97.2</v>
      </c>
      <c r="I31" s="3">
        <v>429900</v>
      </c>
      <c r="J31" s="4">
        <v>87.1</v>
      </c>
      <c r="K31" s="3">
        <v>1</v>
      </c>
      <c r="L31" s="4">
        <v>7.7</v>
      </c>
      <c r="M31" s="3">
        <v>132</v>
      </c>
      <c r="N31" s="4">
        <v>0.1</v>
      </c>
      <c r="O31" s="3">
        <v>2486</v>
      </c>
      <c r="P31" s="4">
        <v>0.1</v>
      </c>
      <c r="Q31" s="3">
        <v>1238</v>
      </c>
      <c r="R31" s="4">
        <v>0.3</v>
      </c>
      <c r="S31" s="3">
        <v>6</v>
      </c>
      <c r="T31" s="4">
        <v>46.1</v>
      </c>
      <c r="U31" s="3">
        <v>40681</v>
      </c>
      <c r="V31" s="4">
        <v>19.100000000000001</v>
      </c>
      <c r="W31" s="3">
        <v>85369</v>
      </c>
      <c r="X31" s="4">
        <v>2.7</v>
      </c>
      <c r="Y31" s="3">
        <v>62396</v>
      </c>
      <c r="Z31" s="4">
        <v>12.6</v>
      </c>
      <c r="AB31" s="49">
        <v>6</v>
      </c>
      <c r="AC31" s="50">
        <v>46.2</v>
      </c>
      <c r="AD31" s="50">
        <v>171568</v>
      </c>
      <c r="AE31" s="50">
        <v>80.8</v>
      </c>
      <c r="AF31" s="50">
        <v>3104872</v>
      </c>
      <c r="AG31" s="50">
        <v>97.2</v>
      </c>
      <c r="AH31" s="50">
        <v>429900</v>
      </c>
      <c r="AI31" s="50">
        <v>87.1</v>
      </c>
      <c r="AJ31" s="40">
        <v>1</v>
      </c>
      <c r="AK31" s="41">
        <v>50</v>
      </c>
      <c r="AL31" s="41">
        <v>36746</v>
      </c>
      <c r="AM31" s="41">
        <v>17.8</v>
      </c>
      <c r="AN31" s="41">
        <v>85082</v>
      </c>
      <c r="AO31" s="41">
        <v>5.5</v>
      </c>
      <c r="AP31" s="41">
        <v>21584</v>
      </c>
      <c r="AQ31" s="41">
        <v>97.5</v>
      </c>
      <c r="AR31" s="58">
        <v>2</v>
      </c>
      <c r="AS31" s="59">
        <v>25</v>
      </c>
      <c r="AT31" s="59">
        <v>82934</v>
      </c>
      <c r="AU31" s="59">
        <v>7.6</v>
      </c>
      <c r="AV31" s="59">
        <v>325941</v>
      </c>
      <c r="AW31" s="59">
        <v>12.9</v>
      </c>
      <c r="AX31" s="59">
        <v>1000605</v>
      </c>
      <c r="AY31" s="59">
        <v>37.200000000000003</v>
      </c>
      <c r="AZ31" s="62">
        <f t="shared" si="1"/>
        <v>0</v>
      </c>
      <c r="BA31" s="62">
        <f t="shared" si="2"/>
        <v>0</v>
      </c>
      <c r="BB31" s="62">
        <f t="shared" si="3"/>
        <v>0</v>
      </c>
      <c r="BC31" s="62">
        <f t="shared" si="4"/>
        <v>0</v>
      </c>
      <c r="BD31" s="62">
        <f t="shared" si="5"/>
        <v>0</v>
      </c>
      <c r="BE31" s="62">
        <f t="shared" si="6"/>
        <v>0</v>
      </c>
      <c r="BF31" s="62">
        <f t="shared" si="7"/>
        <v>0</v>
      </c>
      <c r="BG31" s="62">
        <f t="shared" si="8"/>
        <v>0</v>
      </c>
      <c r="BH31" s="61">
        <f t="shared" si="9"/>
        <v>0</v>
      </c>
      <c r="BI31" s="61">
        <f t="shared" si="10"/>
        <v>-42.3</v>
      </c>
      <c r="BJ31" s="61">
        <f t="shared" si="11"/>
        <v>-36614</v>
      </c>
      <c r="BK31" s="61">
        <f t="shared" si="12"/>
        <v>-17.7</v>
      </c>
      <c r="BL31" s="61">
        <f t="shared" si="13"/>
        <v>-82596</v>
      </c>
      <c r="BM31" s="61">
        <f t="shared" si="14"/>
        <v>-5.4</v>
      </c>
      <c r="BN31" s="61">
        <f t="shared" si="15"/>
        <v>-20346</v>
      </c>
      <c r="BO31" s="61">
        <f t="shared" si="16"/>
        <v>-97.2</v>
      </c>
      <c r="BP31" s="61">
        <f t="shared" si="17"/>
        <v>4</v>
      </c>
      <c r="BQ31" s="61">
        <f t="shared" si="18"/>
        <v>21.1</v>
      </c>
      <c r="BR31" s="61">
        <f t="shared" si="19"/>
        <v>-42253</v>
      </c>
      <c r="BS31" s="61">
        <f t="shared" si="20"/>
        <v>11.500000000000002</v>
      </c>
      <c r="BT31" s="61">
        <f t="shared" si="21"/>
        <v>-240572</v>
      </c>
      <c r="BU31" s="61">
        <f t="shared" si="22"/>
        <v>-10.199999999999999</v>
      </c>
      <c r="BV31" s="61">
        <f t="shared" si="23"/>
        <v>-938209</v>
      </c>
      <c r="BW31" s="61">
        <f t="shared" si="24"/>
        <v>-24.6</v>
      </c>
    </row>
    <row r="32" spans="1:75" s="19" customFormat="1" ht="15.75">
      <c r="A32" s="15" t="s">
        <v>125</v>
      </c>
      <c r="B32" s="16" t="s">
        <v>58</v>
      </c>
      <c r="C32" s="17">
        <v>4</v>
      </c>
      <c r="D32" s="18">
        <v>26.7</v>
      </c>
      <c r="E32" s="17">
        <v>243754</v>
      </c>
      <c r="F32" s="18">
        <v>10.3</v>
      </c>
      <c r="G32" s="17">
        <v>1559227</v>
      </c>
      <c r="H32" s="18">
        <v>20.399999999999999</v>
      </c>
      <c r="I32" s="17">
        <v>898</v>
      </c>
      <c r="J32" s="18">
        <v>0</v>
      </c>
      <c r="K32" s="17">
        <v>7</v>
      </c>
      <c r="L32" s="18">
        <v>46.6</v>
      </c>
      <c r="M32" s="17">
        <v>1690289</v>
      </c>
      <c r="N32" s="18">
        <v>71.8</v>
      </c>
      <c r="O32" s="17">
        <v>4717420</v>
      </c>
      <c r="P32" s="18">
        <v>61.7</v>
      </c>
      <c r="Q32" s="17">
        <v>2038468</v>
      </c>
      <c r="R32" s="18">
        <v>64.099999999999994</v>
      </c>
      <c r="S32" s="17">
        <v>4</v>
      </c>
      <c r="T32" s="18">
        <v>26.7</v>
      </c>
      <c r="U32" s="17">
        <v>421081</v>
      </c>
      <c r="V32" s="18">
        <v>17.899999999999999</v>
      </c>
      <c r="W32" s="17">
        <v>1369082</v>
      </c>
      <c r="X32" s="18">
        <v>17.899999999999999</v>
      </c>
      <c r="Y32" s="17">
        <v>1141320</v>
      </c>
      <c r="Z32" s="18">
        <v>35.9</v>
      </c>
      <c r="AB32" s="49">
        <v>4</v>
      </c>
      <c r="AC32" s="50">
        <v>26.7</v>
      </c>
      <c r="AD32" s="50">
        <v>243754</v>
      </c>
      <c r="AE32" s="50">
        <v>10.3</v>
      </c>
      <c r="AF32" s="50">
        <v>1559227</v>
      </c>
      <c r="AG32" s="50">
        <v>20.399999999999999</v>
      </c>
      <c r="AH32" s="50">
        <v>898</v>
      </c>
      <c r="AI32" s="50">
        <v>0</v>
      </c>
      <c r="AJ32" s="40">
        <v>1</v>
      </c>
      <c r="AK32" s="41">
        <v>50</v>
      </c>
      <c r="AL32" s="41">
        <v>590584</v>
      </c>
      <c r="AM32" s="41">
        <v>64.599999999999994</v>
      </c>
      <c r="AN32" s="41">
        <v>2238430</v>
      </c>
      <c r="AO32" s="41">
        <v>68.3</v>
      </c>
      <c r="AP32" s="41">
        <v>37146</v>
      </c>
      <c r="AQ32" s="41">
        <v>20.9</v>
      </c>
      <c r="AR32" s="58">
        <v>3</v>
      </c>
      <c r="AS32" s="59">
        <v>50</v>
      </c>
      <c r="AT32" s="59">
        <v>559843</v>
      </c>
      <c r="AU32" s="59">
        <v>89.3</v>
      </c>
      <c r="AV32" s="59">
        <v>222210</v>
      </c>
      <c r="AW32" s="59">
        <v>66.7</v>
      </c>
      <c r="AX32" s="59">
        <v>27170</v>
      </c>
      <c r="AY32" s="59">
        <v>88.3</v>
      </c>
      <c r="AZ32" s="62">
        <f t="shared" si="1"/>
        <v>0</v>
      </c>
      <c r="BA32" s="62">
        <f t="shared" si="2"/>
        <v>0</v>
      </c>
      <c r="BB32" s="62">
        <f t="shared" si="3"/>
        <v>0</v>
      </c>
      <c r="BC32" s="62">
        <f t="shared" si="4"/>
        <v>0</v>
      </c>
      <c r="BD32" s="62">
        <f t="shared" si="5"/>
        <v>0</v>
      </c>
      <c r="BE32" s="62">
        <f t="shared" si="6"/>
        <v>0</v>
      </c>
      <c r="BF32" s="62">
        <f t="shared" si="7"/>
        <v>0</v>
      </c>
      <c r="BG32" s="62">
        <f t="shared" si="8"/>
        <v>0</v>
      </c>
      <c r="BH32" s="61">
        <f t="shared" si="9"/>
        <v>6</v>
      </c>
      <c r="BI32" s="61">
        <f t="shared" si="10"/>
        <v>-3.3999999999999986</v>
      </c>
      <c r="BJ32" s="61">
        <f t="shared" si="11"/>
        <v>1099705</v>
      </c>
      <c r="BK32" s="61">
        <f t="shared" si="12"/>
        <v>7.2000000000000028</v>
      </c>
      <c r="BL32" s="61">
        <f t="shared" si="13"/>
        <v>2478990</v>
      </c>
      <c r="BM32" s="61">
        <f t="shared" si="14"/>
        <v>-6.5999999999999943</v>
      </c>
      <c r="BN32" s="61">
        <f t="shared" si="15"/>
        <v>2001322</v>
      </c>
      <c r="BO32" s="61">
        <f t="shared" si="16"/>
        <v>43.199999999999996</v>
      </c>
      <c r="BP32" s="61">
        <f t="shared" si="17"/>
        <v>1</v>
      </c>
      <c r="BQ32" s="61">
        <f t="shared" si="18"/>
        <v>-23.3</v>
      </c>
      <c r="BR32" s="61">
        <f t="shared" si="19"/>
        <v>-138762</v>
      </c>
      <c r="BS32" s="61">
        <f t="shared" si="20"/>
        <v>-71.400000000000006</v>
      </c>
      <c r="BT32" s="61">
        <f t="shared" si="21"/>
        <v>1146872</v>
      </c>
      <c r="BU32" s="61">
        <f t="shared" si="22"/>
        <v>-48.800000000000004</v>
      </c>
      <c r="BV32" s="61">
        <f t="shared" si="23"/>
        <v>1114150</v>
      </c>
      <c r="BW32" s="61">
        <f t="shared" si="24"/>
        <v>-52.4</v>
      </c>
    </row>
    <row r="33" spans="1:75" ht="26.25">
      <c r="A33" s="2" t="s">
        <v>59</v>
      </c>
      <c r="B33" s="5" t="s">
        <v>60</v>
      </c>
      <c r="C33" s="3" t="s">
        <v>31</v>
      </c>
      <c r="D33" s="4" t="s">
        <v>31</v>
      </c>
      <c r="E33" s="3" t="s">
        <v>31</v>
      </c>
      <c r="F33" s="4" t="s">
        <v>31</v>
      </c>
      <c r="G33" s="3" t="s">
        <v>31</v>
      </c>
      <c r="H33" s="4" t="s">
        <v>31</v>
      </c>
      <c r="I33" s="3" t="s">
        <v>31</v>
      </c>
      <c r="J33" s="4" t="s">
        <v>31</v>
      </c>
      <c r="K33" s="3">
        <v>2</v>
      </c>
      <c r="L33" s="4">
        <v>66.7</v>
      </c>
      <c r="M33" s="3">
        <v>124644</v>
      </c>
      <c r="N33" s="4">
        <v>90</v>
      </c>
      <c r="O33" s="3">
        <v>279668</v>
      </c>
      <c r="P33" s="4">
        <v>98.6</v>
      </c>
      <c r="Q33" s="3">
        <v>290134</v>
      </c>
      <c r="R33" s="4">
        <v>100</v>
      </c>
      <c r="S33" s="3">
        <v>1</v>
      </c>
      <c r="T33" s="4">
        <v>33.299999999999997</v>
      </c>
      <c r="U33" s="3">
        <v>13837</v>
      </c>
      <c r="V33" s="4">
        <v>10</v>
      </c>
      <c r="W33" s="3">
        <v>4110</v>
      </c>
      <c r="X33" s="4">
        <v>1.4</v>
      </c>
      <c r="Y33" s="3">
        <v>42</v>
      </c>
      <c r="Z33" s="4">
        <v>0</v>
      </c>
      <c r="AB33" s="49"/>
      <c r="AC33" s="50"/>
      <c r="AD33" s="50"/>
      <c r="AE33" s="50"/>
      <c r="AF33" s="50"/>
      <c r="AG33" s="50"/>
      <c r="AH33" s="50"/>
      <c r="AI33" s="50"/>
      <c r="AJ33" s="40">
        <v>3</v>
      </c>
      <c r="AK33" s="41">
        <v>37.5</v>
      </c>
      <c r="AL33" s="41">
        <v>938315</v>
      </c>
      <c r="AM33" s="41">
        <v>85.6</v>
      </c>
      <c r="AN33" s="41">
        <v>2114240</v>
      </c>
      <c r="AO33" s="41">
        <v>83.4</v>
      </c>
      <c r="AP33" s="41">
        <v>1689604</v>
      </c>
      <c r="AQ33" s="41">
        <v>62.8</v>
      </c>
      <c r="AR33" s="58">
        <v>3</v>
      </c>
      <c r="AS33" s="59">
        <v>60</v>
      </c>
      <c r="AT33" s="59">
        <v>559843</v>
      </c>
      <c r="AU33" s="59">
        <v>90.1</v>
      </c>
      <c r="AV33" s="59">
        <v>222210</v>
      </c>
      <c r="AW33" s="59">
        <v>68.5</v>
      </c>
      <c r="AX33" s="59">
        <v>27170</v>
      </c>
      <c r="AY33" s="59">
        <v>88.7</v>
      </c>
      <c r="AZ33" s="62" t="e">
        <f t="shared" si="1"/>
        <v>#VALUE!</v>
      </c>
      <c r="BA33" s="62" t="e">
        <f t="shared" si="2"/>
        <v>#VALUE!</v>
      </c>
      <c r="BB33" s="62" t="e">
        <f t="shared" si="3"/>
        <v>#VALUE!</v>
      </c>
      <c r="BC33" s="62" t="e">
        <f t="shared" si="4"/>
        <v>#VALUE!</v>
      </c>
      <c r="BD33" s="62" t="e">
        <f t="shared" si="5"/>
        <v>#VALUE!</v>
      </c>
      <c r="BE33" s="62" t="e">
        <f t="shared" si="6"/>
        <v>#VALUE!</v>
      </c>
      <c r="BF33" s="62" t="e">
        <f t="shared" si="7"/>
        <v>#VALUE!</v>
      </c>
      <c r="BG33" s="62" t="e">
        <f t="shared" si="8"/>
        <v>#VALUE!</v>
      </c>
      <c r="BH33" s="61">
        <f t="shared" si="9"/>
        <v>-1</v>
      </c>
      <c r="BI33" s="61">
        <f t="shared" si="10"/>
        <v>29.200000000000003</v>
      </c>
      <c r="BJ33" s="61">
        <f t="shared" si="11"/>
        <v>-813671</v>
      </c>
      <c r="BK33" s="61">
        <f t="shared" si="12"/>
        <v>4.4000000000000057</v>
      </c>
      <c r="BL33" s="61">
        <f t="shared" si="13"/>
        <v>-1834572</v>
      </c>
      <c r="BM33" s="61">
        <f t="shared" si="14"/>
        <v>15.199999999999989</v>
      </c>
      <c r="BN33" s="61">
        <f t="shared" si="15"/>
        <v>-1399470</v>
      </c>
      <c r="BO33" s="61">
        <f t="shared" si="16"/>
        <v>37.200000000000003</v>
      </c>
      <c r="BP33" s="61">
        <f t="shared" si="17"/>
        <v>-2</v>
      </c>
      <c r="BQ33" s="61">
        <f t="shared" si="18"/>
        <v>-26.700000000000003</v>
      </c>
      <c r="BR33" s="61">
        <f t="shared" si="19"/>
        <v>-546006</v>
      </c>
      <c r="BS33" s="61">
        <f t="shared" si="20"/>
        <v>-80.099999999999994</v>
      </c>
      <c r="BT33" s="61">
        <f t="shared" si="21"/>
        <v>-218100</v>
      </c>
      <c r="BU33" s="61">
        <f t="shared" si="22"/>
        <v>-67.099999999999994</v>
      </c>
      <c r="BV33" s="61">
        <f t="shared" si="23"/>
        <v>-27128</v>
      </c>
      <c r="BW33" s="61">
        <f t="shared" si="24"/>
        <v>-88.7</v>
      </c>
    </row>
    <row r="34" spans="1:75" ht="16.5" thickBot="1">
      <c r="A34" s="2" t="s">
        <v>61</v>
      </c>
      <c r="B34" s="5" t="s">
        <v>62</v>
      </c>
      <c r="C34" s="3">
        <v>1</v>
      </c>
      <c r="D34" s="4">
        <v>50</v>
      </c>
      <c r="E34" s="3">
        <v>169278</v>
      </c>
      <c r="F34" s="4">
        <v>82.2</v>
      </c>
      <c r="G34" s="3">
        <v>1465666</v>
      </c>
      <c r="H34" s="4">
        <v>94.5</v>
      </c>
      <c r="I34" s="3">
        <v>547</v>
      </c>
      <c r="J34" s="4">
        <v>2.5</v>
      </c>
      <c r="K34" s="3">
        <v>1</v>
      </c>
      <c r="L34" s="4">
        <v>50</v>
      </c>
      <c r="M34" s="3">
        <v>36746</v>
      </c>
      <c r="N34" s="4">
        <v>17.8</v>
      </c>
      <c r="O34" s="3">
        <v>85082</v>
      </c>
      <c r="P34" s="4">
        <v>5.5</v>
      </c>
      <c r="Q34" s="3">
        <v>21584</v>
      </c>
      <c r="R34" s="4">
        <v>97.5</v>
      </c>
      <c r="S34" s="3" t="s">
        <v>31</v>
      </c>
      <c r="T34" s="4" t="s">
        <v>31</v>
      </c>
      <c r="U34" s="3" t="s">
        <v>31</v>
      </c>
      <c r="V34" s="4" t="s">
        <v>31</v>
      </c>
      <c r="W34" s="3" t="s">
        <v>31</v>
      </c>
      <c r="X34" s="4" t="s">
        <v>31</v>
      </c>
      <c r="Y34" s="3" t="s">
        <v>31</v>
      </c>
      <c r="Z34" s="4" t="s">
        <v>31</v>
      </c>
      <c r="AB34" s="42">
        <v>1</v>
      </c>
      <c r="AC34" s="43">
        <v>50</v>
      </c>
      <c r="AD34" s="43">
        <v>169278</v>
      </c>
      <c r="AE34" s="43">
        <v>82.2</v>
      </c>
      <c r="AF34" s="43">
        <v>1465666</v>
      </c>
      <c r="AG34" s="43">
        <v>94.5</v>
      </c>
      <c r="AH34" s="43">
        <v>547</v>
      </c>
      <c r="AI34" s="43">
        <v>2.5</v>
      </c>
      <c r="AJ34" s="40">
        <v>1</v>
      </c>
      <c r="AK34" s="41">
        <v>16.7</v>
      </c>
      <c r="AL34" s="41">
        <v>61405</v>
      </c>
      <c r="AM34" s="41">
        <v>9.8000000000000007</v>
      </c>
      <c r="AN34" s="41">
        <v>98263</v>
      </c>
      <c r="AO34" s="41">
        <v>29.5</v>
      </c>
      <c r="AP34" s="41">
        <v>2761</v>
      </c>
      <c r="AQ34" s="41">
        <v>9</v>
      </c>
      <c r="AR34" s="58">
        <v>4</v>
      </c>
      <c r="AS34" s="59">
        <v>80</v>
      </c>
      <c r="AT34" s="59">
        <v>1805725</v>
      </c>
      <c r="AU34" s="59">
        <v>99.6</v>
      </c>
      <c r="AV34" s="59">
        <v>284671</v>
      </c>
      <c r="AW34" s="59">
        <v>98.6</v>
      </c>
      <c r="AX34" s="59">
        <v>86175206</v>
      </c>
      <c r="AY34" s="59">
        <v>100</v>
      </c>
      <c r="AZ34" s="62">
        <f t="shared" si="1"/>
        <v>0</v>
      </c>
      <c r="BA34" s="62">
        <f t="shared" si="2"/>
        <v>0</v>
      </c>
      <c r="BB34" s="62">
        <f t="shared" si="3"/>
        <v>0</v>
      </c>
      <c r="BC34" s="62">
        <f t="shared" si="4"/>
        <v>0</v>
      </c>
      <c r="BD34" s="62">
        <f t="shared" si="5"/>
        <v>0</v>
      </c>
      <c r="BE34" s="62">
        <f t="shared" si="6"/>
        <v>0</v>
      </c>
      <c r="BF34" s="62">
        <f t="shared" si="7"/>
        <v>0</v>
      </c>
      <c r="BG34" s="62">
        <f t="shared" si="8"/>
        <v>0</v>
      </c>
      <c r="BH34" s="61">
        <f t="shared" si="9"/>
        <v>0</v>
      </c>
      <c r="BI34" s="61">
        <f t="shared" si="10"/>
        <v>33.299999999999997</v>
      </c>
      <c r="BJ34" s="61">
        <f t="shared" si="11"/>
        <v>-24659</v>
      </c>
      <c r="BK34" s="61">
        <f t="shared" si="12"/>
        <v>8</v>
      </c>
      <c r="BL34" s="61">
        <f t="shared" si="13"/>
        <v>-13181</v>
      </c>
      <c r="BM34" s="61">
        <f t="shared" si="14"/>
        <v>-24</v>
      </c>
      <c r="BN34" s="61">
        <f t="shared" si="15"/>
        <v>18823</v>
      </c>
      <c r="BO34" s="61">
        <f t="shared" si="16"/>
        <v>88.5</v>
      </c>
      <c r="BP34" s="61" t="e">
        <f t="shared" si="17"/>
        <v>#VALUE!</v>
      </c>
      <c r="BQ34" s="61" t="e">
        <f t="shared" si="18"/>
        <v>#VALUE!</v>
      </c>
      <c r="BR34" s="61" t="e">
        <f t="shared" si="19"/>
        <v>#VALUE!</v>
      </c>
      <c r="BS34" s="61" t="e">
        <f t="shared" si="20"/>
        <v>#VALUE!</v>
      </c>
      <c r="BT34" s="61" t="e">
        <f t="shared" si="21"/>
        <v>#VALUE!</v>
      </c>
      <c r="BU34" s="61" t="e">
        <f t="shared" si="22"/>
        <v>#VALUE!</v>
      </c>
      <c r="BV34" s="61" t="e">
        <f t="shared" si="23"/>
        <v>#VALUE!</v>
      </c>
      <c r="BW34" s="61" t="e">
        <f t="shared" si="24"/>
        <v>#VALUE!</v>
      </c>
    </row>
    <row r="35" spans="1:75" ht="15.75">
      <c r="A35" s="2" t="s">
        <v>63</v>
      </c>
      <c r="B35" s="5" t="s">
        <v>64</v>
      </c>
      <c r="C35" s="3" t="s">
        <v>31</v>
      </c>
      <c r="D35" s="4" t="s">
        <v>31</v>
      </c>
      <c r="E35" s="3" t="s">
        <v>31</v>
      </c>
      <c r="F35" s="4" t="s">
        <v>31</v>
      </c>
      <c r="G35" s="3" t="s">
        <v>31</v>
      </c>
      <c r="H35" s="4" t="s">
        <v>31</v>
      </c>
      <c r="I35" s="3" t="s">
        <v>31</v>
      </c>
      <c r="J35" s="4" t="s">
        <v>31</v>
      </c>
      <c r="K35" s="3">
        <v>1</v>
      </c>
      <c r="L35" s="4">
        <v>50</v>
      </c>
      <c r="M35" s="3">
        <v>590584</v>
      </c>
      <c r="N35" s="4">
        <v>64.599999999999994</v>
      </c>
      <c r="O35" s="3">
        <v>2238430</v>
      </c>
      <c r="P35" s="4">
        <v>68.3</v>
      </c>
      <c r="Q35" s="3">
        <v>37146</v>
      </c>
      <c r="R35" s="4">
        <v>20.9</v>
      </c>
      <c r="S35" s="3">
        <v>1</v>
      </c>
      <c r="T35" s="4">
        <v>50</v>
      </c>
      <c r="U35" s="3">
        <v>324310</v>
      </c>
      <c r="V35" s="4">
        <v>35.4</v>
      </c>
      <c r="W35" s="3">
        <v>1039031</v>
      </c>
      <c r="X35" s="4">
        <v>31.7</v>
      </c>
      <c r="Y35" s="3">
        <v>140673</v>
      </c>
      <c r="Z35" s="4">
        <v>79.099999999999994</v>
      </c>
      <c r="AB35" s="49"/>
      <c r="AC35" s="50"/>
      <c r="AD35" s="50"/>
      <c r="AE35" s="50"/>
      <c r="AF35" s="50"/>
      <c r="AG35" s="50"/>
      <c r="AH35" s="50"/>
      <c r="AI35" s="50"/>
      <c r="AJ35" s="40">
        <v>1</v>
      </c>
      <c r="AK35" s="41">
        <v>20</v>
      </c>
      <c r="AL35" s="41">
        <v>61405</v>
      </c>
      <c r="AM35" s="41">
        <v>9.9</v>
      </c>
      <c r="AN35" s="41">
        <v>98263</v>
      </c>
      <c r="AO35" s="41">
        <v>30.3</v>
      </c>
      <c r="AP35" s="41">
        <v>2761</v>
      </c>
      <c r="AQ35" s="41">
        <v>9</v>
      </c>
      <c r="AR35" s="56">
        <v>4</v>
      </c>
      <c r="AS35" s="57">
        <v>80</v>
      </c>
      <c r="AT35" s="57">
        <v>1805725</v>
      </c>
      <c r="AU35" s="57">
        <v>99.6</v>
      </c>
      <c r="AV35" s="57">
        <v>284671</v>
      </c>
      <c r="AW35" s="57">
        <v>98.6</v>
      </c>
      <c r="AX35" s="57">
        <v>86175206</v>
      </c>
      <c r="AY35" s="57">
        <v>100</v>
      </c>
      <c r="AZ35" s="62" t="e">
        <f t="shared" si="1"/>
        <v>#VALUE!</v>
      </c>
      <c r="BA35" s="62" t="e">
        <f t="shared" si="2"/>
        <v>#VALUE!</v>
      </c>
      <c r="BB35" s="62" t="e">
        <f t="shared" si="3"/>
        <v>#VALUE!</v>
      </c>
      <c r="BC35" s="62" t="e">
        <f t="shared" si="4"/>
        <v>#VALUE!</v>
      </c>
      <c r="BD35" s="62" t="e">
        <f t="shared" si="5"/>
        <v>#VALUE!</v>
      </c>
      <c r="BE35" s="62" t="e">
        <f t="shared" si="6"/>
        <v>#VALUE!</v>
      </c>
      <c r="BF35" s="62" t="e">
        <f t="shared" si="7"/>
        <v>#VALUE!</v>
      </c>
      <c r="BG35" s="62" t="e">
        <f t="shared" si="8"/>
        <v>#VALUE!</v>
      </c>
      <c r="BH35" s="61">
        <f t="shared" si="9"/>
        <v>0</v>
      </c>
      <c r="BI35" s="61">
        <f t="shared" si="10"/>
        <v>30</v>
      </c>
      <c r="BJ35" s="61">
        <f t="shared" si="11"/>
        <v>529179</v>
      </c>
      <c r="BK35" s="61">
        <f t="shared" si="12"/>
        <v>54.699999999999996</v>
      </c>
      <c r="BL35" s="61">
        <f t="shared" si="13"/>
        <v>2140167</v>
      </c>
      <c r="BM35" s="61">
        <f t="shared" si="14"/>
        <v>38</v>
      </c>
      <c r="BN35" s="61">
        <f t="shared" si="15"/>
        <v>34385</v>
      </c>
      <c r="BO35" s="61">
        <f t="shared" si="16"/>
        <v>11.899999999999999</v>
      </c>
      <c r="BP35" s="61">
        <f t="shared" si="17"/>
        <v>-3</v>
      </c>
      <c r="BQ35" s="61">
        <f t="shared" si="18"/>
        <v>-30</v>
      </c>
      <c r="BR35" s="61">
        <f t="shared" si="19"/>
        <v>-1481415</v>
      </c>
      <c r="BS35" s="61">
        <f t="shared" si="20"/>
        <v>-64.199999999999989</v>
      </c>
      <c r="BT35" s="61">
        <f t="shared" si="21"/>
        <v>754360</v>
      </c>
      <c r="BU35" s="61">
        <f t="shared" si="22"/>
        <v>-66.899999999999991</v>
      </c>
      <c r="BV35" s="61">
        <f t="shared" si="23"/>
        <v>-86034533</v>
      </c>
      <c r="BW35" s="61">
        <f t="shared" si="24"/>
        <v>-20.900000000000006</v>
      </c>
    </row>
    <row r="36" spans="1:75" ht="26.25">
      <c r="A36" s="2" t="s">
        <v>65</v>
      </c>
      <c r="B36" s="5" t="s">
        <v>66</v>
      </c>
      <c r="C36" s="3">
        <v>3</v>
      </c>
      <c r="D36" s="4">
        <v>37.5</v>
      </c>
      <c r="E36" s="3">
        <v>74476</v>
      </c>
      <c r="F36" s="4">
        <v>6.8</v>
      </c>
      <c r="G36" s="3">
        <v>93561</v>
      </c>
      <c r="H36" s="4">
        <v>3.7</v>
      </c>
      <c r="I36" s="3">
        <v>351</v>
      </c>
      <c r="J36" s="4">
        <v>0</v>
      </c>
      <c r="K36" s="3">
        <v>3</v>
      </c>
      <c r="L36" s="4">
        <v>37.5</v>
      </c>
      <c r="M36" s="3">
        <v>938315</v>
      </c>
      <c r="N36" s="4">
        <v>85.6</v>
      </c>
      <c r="O36" s="3">
        <v>2114240</v>
      </c>
      <c r="P36" s="4">
        <v>83.4</v>
      </c>
      <c r="Q36" s="3">
        <v>1689604</v>
      </c>
      <c r="R36" s="4">
        <v>62.8</v>
      </c>
      <c r="S36" s="3">
        <v>2</v>
      </c>
      <c r="T36" s="4">
        <v>25</v>
      </c>
      <c r="U36" s="3">
        <v>82934</v>
      </c>
      <c r="V36" s="4">
        <v>7.6</v>
      </c>
      <c r="W36" s="3">
        <v>325941</v>
      </c>
      <c r="X36" s="4">
        <v>12.9</v>
      </c>
      <c r="Y36" s="3">
        <v>1000605</v>
      </c>
      <c r="Z36" s="4">
        <v>37.200000000000003</v>
      </c>
      <c r="AB36" s="42">
        <v>3</v>
      </c>
      <c r="AC36" s="43">
        <v>37.5</v>
      </c>
      <c r="AD36" s="43">
        <v>74476</v>
      </c>
      <c r="AE36" s="43">
        <v>6.8</v>
      </c>
      <c r="AF36" s="43">
        <v>93561</v>
      </c>
      <c r="AG36" s="43">
        <v>3.7</v>
      </c>
      <c r="AH36" s="43">
        <v>351</v>
      </c>
      <c r="AI36" s="43">
        <v>0</v>
      </c>
      <c r="AJ36" s="40">
        <v>1</v>
      </c>
      <c r="AK36" s="41">
        <v>100</v>
      </c>
      <c r="AL36" s="41">
        <v>1332</v>
      </c>
      <c r="AM36" s="41">
        <v>100</v>
      </c>
      <c r="AN36" s="41">
        <v>1264</v>
      </c>
      <c r="AO36" s="41">
        <v>100</v>
      </c>
      <c r="AP36" s="41">
        <v>46</v>
      </c>
      <c r="AQ36" s="41">
        <v>100</v>
      </c>
      <c r="AR36" s="58">
        <v>5</v>
      </c>
      <c r="AS36" s="59">
        <v>35.700000000000003</v>
      </c>
      <c r="AT36" s="59">
        <v>347754</v>
      </c>
      <c r="AU36" s="59">
        <v>22.4</v>
      </c>
      <c r="AV36" s="59">
        <v>124137</v>
      </c>
      <c r="AW36" s="59">
        <v>5</v>
      </c>
      <c r="AX36" s="59">
        <v>711923</v>
      </c>
      <c r="AY36" s="59">
        <v>80</v>
      </c>
      <c r="AZ36" s="62">
        <f t="shared" si="1"/>
        <v>0</v>
      </c>
      <c r="BA36" s="62">
        <f t="shared" si="2"/>
        <v>0</v>
      </c>
      <c r="BB36" s="62">
        <f t="shared" si="3"/>
        <v>0</v>
      </c>
      <c r="BC36" s="62">
        <f t="shared" si="4"/>
        <v>0</v>
      </c>
      <c r="BD36" s="62">
        <f t="shared" si="5"/>
        <v>0</v>
      </c>
      <c r="BE36" s="62">
        <f t="shared" si="6"/>
        <v>0</v>
      </c>
      <c r="BF36" s="62">
        <f t="shared" si="7"/>
        <v>0</v>
      </c>
      <c r="BG36" s="62">
        <f t="shared" si="8"/>
        <v>0</v>
      </c>
      <c r="BH36" s="61">
        <f t="shared" si="9"/>
        <v>2</v>
      </c>
      <c r="BI36" s="61">
        <f t="shared" si="10"/>
        <v>-62.5</v>
      </c>
      <c r="BJ36" s="61">
        <f t="shared" si="11"/>
        <v>936983</v>
      </c>
      <c r="BK36" s="61">
        <f t="shared" si="12"/>
        <v>-14.400000000000006</v>
      </c>
      <c r="BL36" s="61">
        <f t="shared" si="13"/>
        <v>2112976</v>
      </c>
      <c r="BM36" s="61">
        <f t="shared" si="14"/>
        <v>-16.599999999999994</v>
      </c>
      <c r="BN36" s="61">
        <f t="shared" si="15"/>
        <v>1689558</v>
      </c>
      <c r="BO36" s="61">
        <f t="shared" si="16"/>
        <v>-37.200000000000003</v>
      </c>
      <c r="BP36" s="61">
        <f t="shared" si="17"/>
        <v>-3</v>
      </c>
      <c r="BQ36" s="61">
        <f t="shared" si="18"/>
        <v>-10.700000000000003</v>
      </c>
      <c r="BR36" s="61">
        <f t="shared" si="19"/>
        <v>-264820</v>
      </c>
      <c r="BS36" s="61">
        <f t="shared" si="20"/>
        <v>-14.799999999999999</v>
      </c>
      <c r="BT36" s="61">
        <f t="shared" si="21"/>
        <v>201804</v>
      </c>
      <c r="BU36" s="61">
        <f t="shared" si="22"/>
        <v>7.9</v>
      </c>
      <c r="BV36" s="61">
        <f t="shared" si="23"/>
        <v>288682</v>
      </c>
      <c r="BW36" s="61">
        <f t="shared" si="24"/>
        <v>-42.8</v>
      </c>
    </row>
    <row r="37" spans="1:75" s="19" customFormat="1" ht="27" thickBot="1">
      <c r="A37" s="15" t="s">
        <v>126</v>
      </c>
      <c r="B37" s="16" t="s">
        <v>67</v>
      </c>
      <c r="C37" s="17">
        <v>2</v>
      </c>
      <c r="D37" s="18">
        <v>33.299999999999997</v>
      </c>
      <c r="E37" s="17">
        <v>5859</v>
      </c>
      <c r="F37" s="18">
        <v>0.9</v>
      </c>
      <c r="G37" s="17">
        <v>12625</v>
      </c>
      <c r="H37" s="18">
        <v>3.8</v>
      </c>
      <c r="I37" s="17">
        <v>836</v>
      </c>
      <c r="J37" s="18">
        <v>2.7</v>
      </c>
      <c r="K37" s="17">
        <v>1</v>
      </c>
      <c r="L37" s="18">
        <v>16.7</v>
      </c>
      <c r="M37" s="17">
        <v>61405</v>
      </c>
      <c r="N37" s="18">
        <v>9.8000000000000007</v>
      </c>
      <c r="O37" s="17">
        <v>98263</v>
      </c>
      <c r="P37" s="18">
        <v>29.5</v>
      </c>
      <c r="Q37" s="17">
        <v>2761</v>
      </c>
      <c r="R37" s="18">
        <v>9</v>
      </c>
      <c r="S37" s="17">
        <v>3</v>
      </c>
      <c r="T37" s="18">
        <v>50</v>
      </c>
      <c r="U37" s="17">
        <v>559843</v>
      </c>
      <c r="V37" s="18">
        <v>89.3</v>
      </c>
      <c r="W37" s="17">
        <v>222210</v>
      </c>
      <c r="X37" s="18">
        <v>66.7</v>
      </c>
      <c r="Y37" s="17">
        <v>27170</v>
      </c>
      <c r="Z37" s="18">
        <v>88.3</v>
      </c>
      <c r="AB37" s="42">
        <v>2</v>
      </c>
      <c r="AC37" s="43">
        <v>33.299999999999997</v>
      </c>
      <c r="AD37" s="43">
        <v>5859</v>
      </c>
      <c r="AE37" s="43">
        <v>0.9</v>
      </c>
      <c r="AF37" s="43">
        <v>12625</v>
      </c>
      <c r="AG37" s="43">
        <v>3.8</v>
      </c>
      <c r="AH37" s="43">
        <v>836</v>
      </c>
      <c r="AI37" s="43">
        <v>2.7</v>
      </c>
      <c r="AJ37" s="40">
        <v>1</v>
      </c>
      <c r="AK37" s="41">
        <v>100</v>
      </c>
      <c r="AL37" s="41">
        <v>1332</v>
      </c>
      <c r="AM37" s="41">
        <v>100</v>
      </c>
      <c r="AN37" s="41">
        <v>1264</v>
      </c>
      <c r="AO37" s="41">
        <v>100</v>
      </c>
      <c r="AP37" s="41">
        <v>46</v>
      </c>
      <c r="AQ37" s="41">
        <v>100</v>
      </c>
      <c r="AR37" s="58">
        <v>5</v>
      </c>
      <c r="AS37" s="59">
        <v>35.700000000000003</v>
      </c>
      <c r="AT37" s="59">
        <v>347754</v>
      </c>
      <c r="AU37" s="59">
        <v>22.4</v>
      </c>
      <c r="AV37" s="59">
        <v>124137</v>
      </c>
      <c r="AW37" s="59">
        <v>5</v>
      </c>
      <c r="AX37" s="59">
        <v>711923</v>
      </c>
      <c r="AY37" s="59">
        <v>80</v>
      </c>
      <c r="AZ37" s="62">
        <f t="shared" si="1"/>
        <v>0</v>
      </c>
      <c r="BA37" s="62">
        <f t="shared" si="2"/>
        <v>0</v>
      </c>
      <c r="BB37" s="62">
        <f t="shared" si="3"/>
        <v>0</v>
      </c>
      <c r="BC37" s="62">
        <f t="shared" si="4"/>
        <v>0</v>
      </c>
      <c r="BD37" s="62">
        <f t="shared" si="5"/>
        <v>0</v>
      </c>
      <c r="BE37" s="62">
        <f t="shared" si="6"/>
        <v>0</v>
      </c>
      <c r="BF37" s="62">
        <f t="shared" si="7"/>
        <v>0</v>
      </c>
      <c r="BG37" s="62">
        <f t="shared" si="8"/>
        <v>0</v>
      </c>
      <c r="BH37" s="61">
        <f t="shared" si="9"/>
        <v>0</v>
      </c>
      <c r="BI37" s="61">
        <f t="shared" si="10"/>
        <v>-83.3</v>
      </c>
      <c r="BJ37" s="61">
        <f t="shared" si="11"/>
        <v>60073</v>
      </c>
      <c r="BK37" s="61">
        <f t="shared" si="12"/>
        <v>-90.2</v>
      </c>
      <c r="BL37" s="61">
        <f t="shared" si="13"/>
        <v>96999</v>
      </c>
      <c r="BM37" s="61">
        <f t="shared" si="14"/>
        <v>-70.5</v>
      </c>
      <c r="BN37" s="61">
        <f t="shared" si="15"/>
        <v>2715</v>
      </c>
      <c r="BO37" s="61">
        <f t="shared" si="16"/>
        <v>-91</v>
      </c>
      <c r="BP37" s="61">
        <f t="shared" si="17"/>
        <v>-2</v>
      </c>
      <c r="BQ37" s="61">
        <f t="shared" si="18"/>
        <v>14.299999999999997</v>
      </c>
      <c r="BR37" s="61">
        <f t="shared" si="19"/>
        <v>212089</v>
      </c>
      <c r="BS37" s="61">
        <f t="shared" si="20"/>
        <v>66.900000000000006</v>
      </c>
      <c r="BT37" s="61">
        <f t="shared" si="21"/>
        <v>98073</v>
      </c>
      <c r="BU37" s="61">
        <f t="shared" si="22"/>
        <v>61.7</v>
      </c>
      <c r="BV37" s="61">
        <f t="shared" si="23"/>
        <v>-684753</v>
      </c>
      <c r="BW37" s="61">
        <f t="shared" si="24"/>
        <v>8.2999999999999972</v>
      </c>
    </row>
    <row r="38" spans="1:75" ht="26.25">
      <c r="A38" s="2" t="s">
        <v>68</v>
      </c>
      <c r="B38" s="5" t="s">
        <v>69</v>
      </c>
      <c r="C38" s="3">
        <v>1</v>
      </c>
      <c r="D38" s="4">
        <v>20</v>
      </c>
      <c r="E38" s="3">
        <v>68</v>
      </c>
      <c r="F38" s="4">
        <v>0</v>
      </c>
      <c r="G38" s="3">
        <v>3958</v>
      </c>
      <c r="H38" s="4">
        <v>1.2</v>
      </c>
      <c r="I38" s="3">
        <v>711</v>
      </c>
      <c r="J38" s="4">
        <v>2.2999999999999998</v>
      </c>
      <c r="K38" s="3">
        <v>1</v>
      </c>
      <c r="L38" s="4">
        <v>20</v>
      </c>
      <c r="M38" s="3">
        <v>61405</v>
      </c>
      <c r="N38" s="4">
        <v>9.9</v>
      </c>
      <c r="O38" s="3">
        <v>98263</v>
      </c>
      <c r="P38" s="4">
        <v>30.3</v>
      </c>
      <c r="Q38" s="3">
        <v>2761</v>
      </c>
      <c r="R38" s="4">
        <v>9</v>
      </c>
      <c r="S38" s="3">
        <v>3</v>
      </c>
      <c r="T38" s="4">
        <v>60</v>
      </c>
      <c r="U38" s="3">
        <v>559843</v>
      </c>
      <c r="V38" s="4">
        <v>90.1</v>
      </c>
      <c r="W38" s="3">
        <v>222210</v>
      </c>
      <c r="X38" s="4">
        <v>68.5</v>
      </c>
      <c r="Y38" s="3">
        <v>27170</v>
      </c>
      <c r="Z38" s="4">
        <v>88.7</v>
      </c>
      <c r="AB38" s="40">
        <v>1</v>
      </c>
      <c r="AC38" s="41">
        <v>20</v>
      </c>
      <c r="AD38" s="41">
        <v>68</v>
      </c>
      <c r="AE38" s="41">
        <v>0</v>
      </c>
      <c r="AF38" s="41">
        <v>3958</v>
      </c>
      <c r="AG38" s="41">
        <v>1.2</v>
      </c>
      <c r="AH38" s="41">
        <v>711</v>
      </c>
      <c r="AI38" s="41">
        <v>2.2999999999999998</v>
      </c>
      <c r="AJ38" s="38">
        <v>1</v>
      </c>
      <c r="AK38" s="39">
        <v>20</v>
      </c>
      <c r="AL38" s="39">
        <v>7537</v>
      </c>
      <c r="AM38" s="39">
        <v>0.4</v>
      </c>
      <c r="AN38" s="39">
        <v>3981</v>
      </c>
      <c r="AO38" s="39">
        <v>1.4</v>
      </c>
      <c r="AP38" s="39">
        <v>469</v>
      </c>
      <c r="AQ38" s="39">
        <v>0</v>
      </c>
      <c r="AR38" s="58">
        <v>7</v>
      </c>
      <c r="AS38" s="59">
        <v>50</v>
      </c>
      <c r="AT38" s="59">
        <v>1401959</v>
      </c>
      <c r="AU38" s="59">
        <v>20.8</v>
      </c>
      <c r="AV38" s="59">
        <v>51584</v>
      </c>
      <c r="AW38" s="59">
        <v>0.7</v>
      </c>
      <c r="AX38" s="59">
        <v>2245558</v>
      </c>
      <c r="AY38" s="59">
        <v>41.7</v>
      </c>
      <c r="AZ38" s="62">
        <f t="shared" si="1"/>
        <v>0</v>
      </c>
      <c r="BA38" s="62">
        <f t="shared" si="2"/>
        <v>0</v>
      </c>
      <c r="BB38" s="62">
        <f t="shared" si="3"/>
        <v>0</v>
      </c>
      <c r="BC38" s="62">
        <f t="shared" si="4"/>
        <v>0</v>
      </c>
      <c r="BD38" s="62">
        <f t="shared" si="5"/>
        <v>0</v>
      </c>
      <c r="BE38" s="62">
        <f t="shared" si="6"/>
        <v>0</v>
      </c>
      <c r="BF38" s="62">
        <f t="shared" si="7"/>
        <v>0</v>
      </c>
      <c r="BG38" s="62">
        <f t="shared" si="8"/>
        <v>0</v>
      </c>
      <c r="BH38" s="61">
        <f t="shared" si="9"/>
        <v>0</v>
      </c>
      <c r="BI38" s="61">
        <f t="shared" si="10"/>
        <v>0</v>
      </c>
      <c r="BJ38" s="61">
        <f t="shared" si="11"/>
        <v>53868</v>
      </c>
      <c r="BK38" s="61">
        <f t="shared" si="12"/>
        <v>9.5</v>
      </c>
      <c r="BL38" s="61">
        <f t="shared" si="13"/>
        <v>94282</v>
      </c>
      <c r="BM38" s="61">
        <f t="shared" si="14"/>
        <v>28.900000000000002</v>
      </c>
      <c r="BN38" s="61">
        <f t="shared" si="15"/>
        <v>2292</v>
      </c>
      <c r="BO38" s="61">
        <f t="shared" si="16"/>
        <v>9</v>
      </c>
      <c r="BP38" s="61">
        <f t="shared" si="17"/>
        <v>-4</v>
      </c>
      <c r="BQ38" s="61">
        <f t="shared" si="18"/>
        <v>10</v>
      </c>
      <c r="BR38" s="61">
        <f t="shared" si="19"/>
        <v>-842116</v>
      </c>
      <c r="BS38" s="61">
        <f t="shared" si="20"/>
        <v>69.3</v>
      </c>
      <c r="BT38" s="61">
        <f t="shared" si="21"/>
        <v>170626</v>
      </c>
      <c r="BU38" s="61">
        <f t="shared" si="22"/>
        <v>67.8</v>
      </c>
      <c r="BV38" s="61">
        <f t="shared" si="23"/>
        <v>-2218388</v>
      </c>
      <c r="BW38" s="61">
        <f t="shared" si="24"/>
        <v>47</v>
      </c>
    </row>
    <row r="39" spans="1:75" ht="26.25">
      <c r="A39" s="2" t="s">
        <v>70</v>
      </c>
      <c r="B39" s="5" t="s">
        <v>71</v>
      </c>
      <c r="C39" s="3">
        <v>0.1</v>
      </c>
      <c r="D39" s="4">
        <v>100</v>
      </c>
      <c r="E39" s="3">
        <v>5791</v>
      </c>
      <c r="F39" s="4">
        <v>100</v>
      </c>
      <c r="G39" s="3">
        <v>8667</v>
      </c>
      <c r="H39" s="4">
        <v>100</v>
      </c>
      <c r="I39" s="3">
        <v>125</v>
      </c>
      <c r="J39" s="4">
        <v>100</v>
      </c>
      <c r="K39" s="3" t="s">
        <v>31</v>
      </c>
      <c r="L39" s="4" t="s">
        <v>31</v>
      </c>
      <c r="M39" s="3" t="s">
        <v>31</v>
      </c>
      <c r="N39" s="4" t="s">
        <v>31</v>
      </c>
      <c r="O39" s="3" t="s">
        <v>31</v>
      </c>
      <c r="P39" s="4" t="s">
        <v>31</v>
      </c>
      <c r="Q39" s="3" t="s">
        <v>31</v>
      </c>
      <c r="R39" s="4" t="s">
        <v>31</v>
      </c>
      <c r="S39" s="3" t="s">
        <v>31</v>
      </c>
      <c r="T39" s="4" t="s">
        <v>31</v>
      </c>
      <c r="U39" s="3" t="s">
        <v>31</v>
      </c>
      <c r="V39" s="4" t="s">
        <v>31</v>
      </c>
      <c r="W39" s="3" t="s">
        <v>31</v>
      </c>
      <c r="X39" s="4" t="s">
        <v>31</v>
      </c>
      <c r="Y39" s="3" t="s">
        <v>31</v>
      </c>
      <c r="Z39" s="4" t="s">
        <v>31</v>
      </c>
      <c r="AB39" s="42">
        <v>1</v>
      </c>
      <c r="AC39" s="43">
        <v>100</v>
      </c>
      <c r="AD39" s="43">
        <v>5791</v>
      </c>
      <c r="AE39" s="43">
        <v>100</v>
      </c>
      <c r="AF39" s="43">
        <v>8667</v>
      </c>
      <c r="AG39" s="43">
        <v>100</v>
      </c>
      <c r="AH39" s="43">
        <v>125</v>
      </c>
      <c r="AI39" s="43">
        <v>100</v>
      </c>
      <c r="AJ39" s="40">
        <v>1</v>
      </c>
      <c r="AK39" s="41">
        <v>20</v>
      </c>
      <c r="AL39" s="41">
        <v>7537</v>
      </c>
      <c r="AM39" s="41">
        <v>0.4</v>
      </c>
      <c r="AN39" s="41">
        <v>3981</v>
      </c>
      <c r="AO39" s="41">
        <v>1.4</v>
      </c>
      <c r="AP39" s="41">
        <v>469</v>
      </c>
      <c r="AQ39" s="41">
        <v>0</v>
      </c>
      <c r="AR39" s="58">
        <v>1</v>
      </c>
      <c r="AS39" s="59">
        <v>100</v>
      </c>
      <c r="AT39" s="59" t="s">
        <v>31</v>
      </c>
      <c r="AU39" s="59" t="s">
        <v>31</v>
      </c>
      <c r="AV39" s="59">
        <v>5</v>
      </c>
      <c r="AW39" s="59">
        <v>100</v>
      </c>
      <c r="AX39" s="59">
        <v>35</v>
      </c>
      <c r="AY39" s="59">
        <v>100</v>
      </c>
      <c r="AZ39" s="62">
        <f t="shared" si="1"/>
        <v>-0.9</v>
      </c>
      <c r="BA39" s="62">
        <f t="shared" si="2"/>
        <v>0</v>
      </c>
      <c r="BB39" s="62">
        <f t="shared" si="3"/>
        <v>0</v>
      </c>
      <c r="BC39" s="62">
        <f t="shared" si="4"/>
        <v>0</v>
      </c>
      <c r="BD39" s="62">
        <f t="shared" si="5"/>
        <v>0</v>
      </c>
      <c r="BE39" s="62">
        <f t="shared" si="6"/>
        <v>0</v>
      </c>
      <c r="BF39" s="62">
        <f t="shared" si="7"/>
        <v>0</v>
      </c>
      <c r="BG39" s="62">
        <f t="shared" si="8"/>
        <v>0</v>
      </c>
      <c r="BH39" s="61" t="e">
        <f t="shared" si="9"/>
        <v>#VALUE!</v>
      </c>
      <c r="BI39" s="61" t="e">
        <f t="shared" si="10"/>
        <v>#VALUE!</v>
      </c>
      <c r="BJ39" s="61" t="e">
        <f t="shared" si="11"/>
        <v>#VALUE!</v>
      </c>
      <c r="BK39" s="61" t="e">
        <f t="shared" si="12"/>
        <v>#VALUE!</v>
      </c>
      <c r="BL39" s="61" t="e">
        <f t="shared" si="13"/>
        <v>#VALUE!</v>
      </c>
      <c r="BM39" s="61" t="e">
        <f t="shared" si="14"/>
        <v>#VALUE!</v>
      </c>
      <c r="BN39" s="61" t="e">
        <f t="shared" si="15"/>
        <v>#VALUE!</v>
      </c>
      <c r="BO39" s="61" t="e">
        <f t="shared" si="16"/>
        <v>#VALUE!</v>
      </c>
      <c r="BP39" s="61" t="e">
        <f t="shared" si="17"/>
        <v>#VALUE!</v>
      </c>
      <c r="BQ39" s="61" t="e">
        <f t="shared" si="18"/>
        <v>#VALUE!</v>
      </c>
      <c r="BR39" s="61" t="e">
        <f t="shared" si="19"/>
        <v>#VALUE!</v>
      </c>
      <c r="BS39" s="61" t="e">
        <f t="shared" si="20"/>
        <v>#VALUE!</v>
      </c>
      <c r="BT39" s="61" t="e">
        <f t="shared" si="21"/>
        <v>#VALUE!</v>
      </c>
      <c r="BU39" s="61" t="e">
        <f t="shared" si="22"/>
        <v>#VALUE!</v>
      </c>
      <c r="BV39" s="61" t="e">
        <f t="shared" si="23"/>
        <v>#VALUE!</v>
      </c>
      <c r="BW39" s="61" t="e">
        <f t="shared" si="24"/>
        <v>#VALUE!</v>
      </c>
    </row>
    <row r="40" spans="1:75" s="19" customFormat="1" ht="26.25">
      <c r="A40" s="15" t="s">
        <v>127</v>
      </c>
      <c r="B40" s="16" t="s">
        <v>72</v>
      </c>
      <c r="C40" s="17" t="s">
        <v>31</v>
      </c>
      <c r="D40" s="18" t="s">
        <v>31</v>
      </c>
      <c r="E40" s="17" t="s">
        <v>31</v>
      </c>
      <c r="F40" s="18" t="s">
        <v>31</v>
      </c>
      <c r="G40" s="17" t="s">
        <v>31</v>
      </c>
      <c r="H40" s="18" t="s">
        <v>31</v>
      </c>
      <c r="I40" s="17" t="s">
        <v>31</v>
      </c>
      <c r="J40" s="18" t="s">
        <v>31</v>
      </c>
      <c r="K40" s="17">
        <v>1</v>
      </c>
      <c r="L40" s="18">
        <v>100</v>
      </c>
      <c r="M40" s="17">
        <v>1332</v>
      </c>
      <c r="N40" s="18">
        <v>100</v>
      </c>
      <c r="O40" s="17">
        <v>1264</v>
      </c>
      <c r="P40" s="18">
        <v>100</v>
      </c>
      <c r="Q40" s="17">
        <v>46</v>
      </c>
      <c r="R40" s="18">
        <v>100</v>
      </c>
      <c r="S40" s="17" t="s">
        <v>31</v>
      </c>
      <c r="T40" s="18" t="s">
        <v>31</v>
      </c>
      <c r="U40" s="17" t="s">
        <v>31</v>
      </c>
      <c r="V40" s="18" t="s">
        <v>31</v>
      </c>
      <c r="W40" s="17" t="s">
        <v>31</v>
      </c>
      <c r="X40" s="18" t="s">
        <v>31</v>
      </c>
      <c r="Y40" s="17" t="s">
        <v>31</v>
      </c>
      <c r="Z40" s="18" t="s">
        <v>31</v>
      </c>
      <c r="AB40" s="49"/>
      <c r="AC40" s="50"/>
      <c r="AD40" s="50"/>
      <c r="AE40" s="50"/>
      <c r="AF40" s="50"/>
      <c r="AG40" s="50"/>
      <c r="AH40" s="50"/>
      <c r="AI40" s="50"/>
      <c r="AJ40" s="40">
        <v>2</v>
      </c>
      <c r="AK40" s="41">
        <v>14.3</v>
      </c>
      <c r="AL40" s="41">
        <v>817719</v>
      </c>
      <c r="AM40" s="41">
        <v>52.6</v>
      </c>
      <c r="AN40" s="41">
        <v>680655</v>
      </c>
      <c r="AO40" s="41">
        <v>27.2</v>
      </c>
      <c r="AP40" s="41">
        <v>7429</v>
      </c>
      <c r="AQ40" s="41">
        <v>0.8</v>
      </c>
      <c r="AR40" s="58">
        <v>2</v>
      </c>
      <c r="AS40" s="59">
        <v>50</v>
      </c>
      <c r="AT40" s="59">
        <v>1317769</v>
      </c>
      <c r="AU40" s="59">
        <v>32.6</v>
      </c>
      <c r="AV40" s="59">
        <v>44357</v>
      </c>
      <c r="AW40" s="59">
        <v>1.2</v>
      </c>
      <c r="AX40" s="59">
        <v>2243194</v>
      </c>
      <c r="AY40" s="59">
        <v>75.8</v>
      </c>
      <c r="AZ40" s="62" t="e">
        <f t="shared" si="1"/>
        <v>#VALUE!</v>
      </c>
      <c r="BA40" s="62" t="e">
        <f t="shared" si="2"/>
        <v>#VALUE!</v>
      </c>
      <c r="BB40" s="62" t="e">
        <f t="shared" si="3"/>
        <v>#VALUE!</v>
      </c>
      <c r="BC40" s="62" t="e">
        <f t="shared" si="4"/>
        <v>#VALUE!</v>
      </c>
      <c r="BD40" s="62" t="e">
        <f t="shared" si="5"/>
        <v>#VALUE!</v>
      </c>
      <c r="BE40" s="62" t="e">
        <f t="shared" si="6"/>
        <v>#VALUE!</v>
      </c>
      <c r="BF40" s="62" t="e">
        <f t="shared" si="7"/>
        <v>#VALUE!</v>
      </c>
      <c r="BG40" s="62" t="e">
        <f t="shared" si="8"/>
        <v>#VALUE!</v>
      </c>
      <c r="BH40" s="61">
        <f t="shared" si="9"/>
        <v>-1</v>
      </c>
      <c r="BI40" s="61">
        <f t="shared" si="10"/>
        <v>85.7</v>
      </c>
      <c r="BJ40" s="61">
        <f t="shared" si="11"/>
        <v>-816387</v>
      </c>
      <c r="BK40" s="61">
        <f t="shared" si="12"/>
        <v>47.4</v>
      </c>
      <c r="BL40" s="61">
        <f t="shared" si="13"/>
        <v>-679391</v>
      </c>
      <c r="BM40" s="61">
        <f t="shared" si="14"/>
        <v>72.8</v>
      </c>
      <c r="BN40" s="61">
        <f t="shared" si="15"/>
        <v>-7383</v>
      </c>
      <c r="BO40" s="61">
        <f t="shared" si="16"/>
        <v>99.2</v>
      </c>
      <c r="BP40" s="61" t="e">
        <f t="shared" si="17"/>
        <v>#VALUE!</v>
      </c>
      <c r="BQ40" s="61" t="e">
        <f t="shared" si="18"/>
        <v>#VALUE!</v>
      </c>
      <c r="BR40" s="61" t="e">
        <f t="shared" si="19"/>
        <v>#VALUE!</v>
      </c>
      <c r="BS40" s="61" t="e">
        <f t="shared" si="20"/>
        <v>#VALUE!</v>
      </c>
      <c r="BT40" s="61" t="e">
        <f t="shared" si="21"/>
        <v>#VALUE!</v>
      </c>
      <c r="BU40" s="61" t="e">
        <f t="shared" si="22"/>
        <v>#VALUE!</v>
      </c>
      <c r="BV40" s="61" t="e">
        <f t="shared" si="23"/>
        <v>#VALUE!</v>
      </c>
      <c r="BW40" s="61" t="e">
        <f t="shared" si="24"/>
        <v>#VALUE!</v>
      </c>
    </row>
    <row r="41" spans="1:75" ht="16.5" thickBot="1">
      <c r="A41" s="2" t="s">
        <v>73</v>
      </c>
      <c r="B41" s="5" t="s">
        <v>74</v>
      </c>
      <c r="C41" s="3" t="s">
        <v>31</v>
      </c>
      <c r="D41" s="4" t="s">
        <v>31</v>
      </c>
      <c r="E41" s="3" t="s">
        <v>31</v>
      </c>
      <c r="F41" s="4" t="s">
        <v>31</v>
      </c>
      <c r="G41" s="3" t="s">
        <v>31</v>
      </c>
      <c r="H41" s="4" t="s">
        <v>31</v>
      </c>
      <c r="I41" s="3" t="s">
        <v>31</v>
      </c>
      <c r="J41" s="4" t="s">
        <v>31</v>
      </c>
      <c r="K41" s="3">
        <v>1</v>
      </c>
      <c r="L41" s="4">
        <v>100</v>
      </c>
      <c r="M41" s="3">
        <v>1332</v>
      </c>
      <c r="N41" s="4">
        <v>100</v>
      </c>
      <c r="O41" s="3">
        <v>1264</v>
      </c>
      <c r="P41" s="4">
        <v>100</v>
      </c>
      <c r="Q41" s="3">
        <v>46</v>
      </c>
      <c r="R41" s="4">
        <v>100</v>
      </c>
      <c r="S41" s="3" t="s">
        <v>31</v>
      </c>
      <c r="T41" s="4" t="s">
        <v>31</v>
      </c>
      <c r="U41" s="3" t="s">
        <v>31</v>
      </c>
      <c r="V41" s="4" t="s">
        <v>31</v>
      </c>
      <c r="W41" s="3" t="s">
        <v>31</v>
      </c>
      <c r="X41" s="4" t="s">
        <v>31</v>
      </c>
      <c r="Y41" s="3" t="s">
        <v>31</v>
      </c>
      <c r="Z41" s="4" t="s">
        <v>31</v>
      </c>
      <c r="AB41" s="49"/>
      <c r="AC41" s="50"/>
      <c r="AD41" s="50"/>
      <c r="AE41" s="50"/>
      <c r="AF41" s="50"/>
      <c r="AG41" s="50"/>
      <c r="AH41" s="50"/>
      <c r="AI41" s="50"/>
      <c r="AJ41" s="40">
        <v>2</v>
      </c>
      <c r="AK41" s="41">
        <v>14.3</v>
      </c>
      <c r="AL41" s="41">
        <v>817719</v>
      </c>
      <c r="AM41" s="41">
        <v>52.6</v>
      </c>
      <c r="AN41" s="41">
        <v>680655</v>
      </c>
      <c r="AO41" s="41">
        <v>27.2</v>
      </c>
      <c r="AP41" s="41">
        <v>7429</v>
      </c>
      <c r="AQ41" s="41">
        <v>0.8</v>
      </c>
      <c r="AR41" s="58">
        <v>4</v>
      </c>
      <c r="AS41" s="59">
        <v>50</v>
      </c>
      <c r="AT41" s="59">
        <v>84190</v>
      </c>
      <c r="AU41" s="59">
        <v>3.1</v>
      </c>
      <c r="AV41" s="59">
        <v>7222</v>
      </c>
      <c r="AW41" s="59">
        <v>0.2</v>
      </c>
      <c r="AX41" s="59">
        <v>2329</v>
      </c>
      <c r="AY41" s="59">
        <v>0.1</v>
      </c>
      <c r="AZ41" s="62" t="e">
        <f t="shared" si="1"/>
        <v>#VALUE!</v>
      </c>
      <c r="BA41" s="62" t="e">
        <f t="shared" si="2"/>
        <v>#VALUE!</v>
      </c>
      <c r="BB41" s="62" t="e">
        <f t="shared" si="3"/>
        <v>#VALUE!</v>
      </c>
      <c r="BC41" s="62" t="e">
        <f t="shared" si="4"/>
        <v>#VALUE!</v>
      </c>
      <c r="BD41" s="62" t="e">
        <f t="shared" si="5"/>
        <v>#VALUE!</v>
      </c>
      <c r="BE41" s="62" t="e">
        <f t="shared" si="6"/>
        <v>#VALUE!</v>
      </c>
      <c r="BF41" s="62" t="e">
        <f t="shared" si="7"/>
        <v>#VALUE!</v>
      </c>
      <c r="BG41" s="62" t="e">
        <f t="shared" si="8"/>
        <v>#VALUE!</v>
      </c>
      <c r="BH41" s="61">
        <f t="shared" si="9"/>
        <v>-1</v>
      </c>
      <c r="BI41" s="61">
        <f t="shared" si="10"/>
        <v>85.7</v>
      </c>
      <c r="BJ41" s="61">
        <f t="shared" si="11"/>
        <v>-816387</v>
      </c>
      <c r="BK41" s="61">
        <f t="shared" si="12"/>
        <v>47.4</v>
      </c>
      <c r="BL41" s="61">
        <f t="shared" si="13"/>
        <v>-679391</v>
      </c>
      <c r="BM41" s="61">
        <f t="shared" si="14"/>
        <v>72.8</v>
      </c>
      <c r="BN41" s="61">
        <f t="shared" si="15"/>
        <v>-7383</v>
      </c>
      <c r="BO41" s="61">
        <f t="shared" si="16"/>
        <v>99.2</v>
      </c>
      <c r="BP41" s="61" t="e">
        <f t="shared" si="17"/>
        <v>#VALUE!</v>
      </c>
      <c r="BQ41" s="61" t="e">
        <f t="shared" si="18"/>
        <v>#VALUE!</v>
      </c>
      <c r="BR41" s="61" t="e">
        <f t="shared" si="19"/>
        <v>#VALUE!</v>
      </c>
      <c r="BS41" s="61" t="e">
        <f t="shared" si="20"/>
        <v>#VALUE!</v>
      </c>
      <c r="BT41" s="61" t="e">
        <f t="shared" si="21"/>
        <v>#VALUE!</v>
      </c>
      <c r="BU41" s="61" t="e">
        <f t="shared" si="22"/>
        <v>#VALUE!</v>
      </c>
      <c r="BV41" s="61" t="e">
        <f t="shared" si="23"/>
        <v>#VALUE!</v>
      </c>
      <c r="BW41" s="61" t="e">
        <f t="shared" si="24"/>
        <v>#VALUE!</v>
      </c>
    </row>
    <row r="42" spans="1:75" s="19" customFormat="1" ht="15.75">
      <c r="A42" s="15" t="s">
        <v>128</v>
      </c>
      <c r="B42" s="16" t="s">
        <v>75</v>
      </c>
      <c r="C42" s="17" t="s">
        <v>31</v>
      </c>
      <c r="D42" s="18" t="s">
        <v>31</v>
      </c>
      <c r="E42" s="17" t="s">
        <v>31</v>
      </c>
      <c r="F42" s="18" t="s">
        <v>31</v>
      </c>
      <c r="G42" s="17" t="s">
        <v>31</v>
      </c>
      <c r="H42" s="18" t="s">
        <v>31</v>
      </c>
      <c r="I42" s="17" t="s">
        <v>31</v>
      </c>
      <c r="J42" s="18" t="s">
        <v>31</v>
      </c>
      <c r="K42" s="17">
        <v>1</v>
      </c>
      <c r="L42" s="18">
        <v>20</v>
      </c>
      <c r="M42" s="17">
        <v>7537</v>
      </c>
      <c r="N42" s="18">
        <v>0.4</v>
      </c>
      <c r="O42" s="17">
        <v>3981</v>
      </c>
      <c r="P42" s="18">
        <v>1.4</v>
      </c>
      <c r="Q42" s="17">
        <v>469</v>
      </c>
      <c r="R42" s="18">
        <v>0</v>
      </c>
      <c r="S42" s="17">
        <v>4</v>
      </c>
      <c r="T42" s="18">
        <v>80</v>
      </c>
      <c r="U42" s="17">
        <v>1805725</v>
      </c>
      <c r="V42" s="18">
        <v>99.6</v>
      </c>
      <c r="W42" s="17">
        <v>284671</v>
      </c>
      <c r="X42" s="18">
        <v>98.6</v>
      </c>
      <c r="Y42" s="17">
        <v>86175206</v>
      </c>
      <c r="Z42" s="18">
        <v>100</v>
      </c>
      <c r="AB42" s="49"/>
      <c r="AC42" s="50"/>
      <c r="AD42" s="50"/>
      <c r="AE42" s="50"/>
      <c r="AF42" s="50"/>
      <c r="AG42" s="50"/>
      <c r="AH42" s="50"/>
      <c r="AI42" s="50"/>
      <c r="AJ42" s="40">
        <v>2</v>
      </c>
      <c r="AK42" s="41">
        <v>14.3</v>
      </c>
      <c r="AL42" s="41">
        <v>5320334</v>
      </c>
      <c r="AM42" s="41">
        <v>78.8</v>
      </c>
      <c r="AN42" s="41">
        <v>6653348</v>
      </c>
      <c r="AO42" s="41">
        <v>96.7</v>
      </c>
      <c r="AP42" s="41">
        <v>3123887</v>
      </c>
      <c r="AQ42" s="41">
        <v>58</v>
      </c>
      <c r="AR42" s="56">
        <v>2</v>
      </c>
      <c r="AS42" s="57">
        <v>33.299999999999997</v>
      </c>
      <c r="AT42" s="57">
        <v>20050</v>
      </c>
      <c r="AU42" s="57">
        <v>9.5</v>
      </c>
      <c r="AV42" s="57">
        <v>387</v>
      </c>
      <c r="AW42" s="57">
        <v>0.1</v>
      </c>
      <c r="AX42" s="57">
        <v>13384</v>
      </c>
      <c r="AY42" s="57">
        <v>17.100000000000001</v>
      </c>
      <c r="AZ42" s="62" t="e">
        <f t="shared" si="1"/>
        <v>#VALUE!</v>
      </c>
      <c r="BA42" s="62" t="e">
        <f t="shared" si="2"/>
        <v>#VALUE!</v>
      </c>
      <c r="BB42" s="62" t="e">
        <f t="shared" si="3"/>
        <v>#VALUE!</v>
      </c>
      <c r="BC42" s="62" t="e">
        <f t="shared" si="4"/>
        <v>#VALUE!</v>
      </c>
      <c r="BD42" s="62" t="e">
        <f t="shared" si="5"/>
        <v>#VALUE!</v>
      </c>
      <c r="BE42" s="62" t="e">
        <f t="shared" si="6"/>
        <v>#VALUE!</v>
      </c>
      <c r="BF42" s="62" t="e">
        <f t="shared" si="7"/>
        <v>#VALUE!</v>
      </c>
      <c r="BG42" s="62" t="e">
        <f t="shared" si="8"/>
        <v>#VALUE!</v>
      </c>
      <c r="BH42" s="61">
        <f t="shared" si="9"/>
        <v>-1</v>
      </c>
      <c r="BI42" s="61">
        <f t="shared" si="10"/>
        <v>5.6999999999999993</v>
      </c>
      <c r="BJ42" s="61">
        <f t="shared" si="11"/>
        <v>-5312797</v>
      </c>
      <c r="BK42" s="61">
        <f t="shared" si="12"/>
        <v>-78.399999999999991</v>
      </c>
      <c r="BL42" s="61">
        <f t="shared" si="13"/>
        <v>-6649367</v>
      </c>
      <c r="BM42" s="61">
        <f t="shared" si="14"/>
        <v>-95.3</v>
      </c>
      <c r="BN42" s="61">
        <f t="shared" si="15"/>
        <v>-3123418</v>
      </c>
      <c r="BO42" s="61">
        <f t="shared" si="16"/>
        <v>-58</v>
      </c>
      <c r="BP42" s="61">
        <f t="shared" si="17"/>
        <v>2</v>
      </c>
      <c r="BQ42" s="61">
        <f t="shared" si="18"/>
        <v>46.7</v>
      </c>
      <c r="BR42" s="61">
        <f t="shared" si="19"/>
        <v>1785675</v>
      </c>
      <c r="BS42" s="61">
        <f t="shared" si="20"/>
        <v>90.1</v>
      </c>
      <c r="BT42" s="61">
        <f t="shared" si="21"/>
        <v>284284</v>
      </c>
      <c r="BU42" s="61">
        <f t="shared" si="22"/>
        <v>98.5</v>
      </c>
      <c r="BV42" s="61">
        <f t="shared" si="23"/>
        <v>86161822</v>
      </c>
      <c r="BW42" s="61">
        <f t="shared" si="24"/>
        <v>82.9</v>
      </c>
    </row>
    <row r="43" spans="1:75" ht="39">
      <c r="A43" s="2" t="s">
        <v>76</v>
      </c>
      <c r="B43" s="5" t="s">
        <v>77</v>
      </c>
      <c r="C43" s="3" t="s">
        <v>31</v>
      </c>
      <c r="D43" s="4" t="s">
        <v>31</v>
      </c>
      <c r="E43" s="3" t="s">
        <v>31</v>
      </c>
      <c r="F43" s="4" t="s">
        <v>31</v>
      </c>
      <c r="G43" s="3" t="s">
        <v>31</v>
      </c>
      <c r="H43" s="4" t="s">
        <v>31</v>
      </c>
      <c r="I43" s="3" t="s">
        <v>31</v>
      </c>
      <c r="J43" s="4" t="s">
        <v>31</v>
      </c>
      <c r="K43" s="3">
        <v>1</v>
      </c>
      <c r="L43" s="4">
        <v>20</v>
      </c>
      <c r="M43" s="3">
        <v>7537</v>
      </c>
      <c r="N43" s="4">
        <v>0.4</v>
      </c>
      <c r="O43" s="3">
        <v>3981</v>
      </c>
      <c r="P43" s="4">
        <v>1.4</v>
      </c>
      <c r="Q43" s="3">
        <v>469</v>
      </c>
      <c r="R43" s="4">
        <v>0</v>
      </c>
      <c r="S43" s="3">
        <v>4</v>
      </c>
      <c r="T43" s="4">
        <v>80</v>
      </c>
      <c r="U43" s="3">
        <v>1805725</v>
      </c>
      <c r="V43" s="4">
        <v>99.6</v>
      </c>
      <c r="W43" s="3">
        <v>284671</v>
      </c>
      <c r="X43" s="4">
        <v>98.6</v>
      </c>
      <c r="Y43" s="3">
        <v>86175206</v>
      </c>
      <c r="Z43" s="4">
        <v>100</v>
      </c>
      <c r="AB43" s="49"/>
      <c r="AC43" s="50"/>
      <c r="AD43" s="50"/>
      <c r="AE43" s="50"/>
      <c r="AF43" s="50"/>
      <c r="AG43" s="50"/>
      <c r="AH43" s="50"/>
      <c r="AI43" s="50"/>
      <c r="AJ43" s="40">
        <v>1</v>
      </c>
      <c r="AK43" s="41">
        <v>25</v>
      </c>
      <c r="AL43" s="41">
        <v>2722335</v>
      </c>
      <c r="AM43" s="41">
        <v>67.400000000000006</v>
      </c>
      <c r="AN43" s="41">
        <v>3534389</v>
      </c>
      <c r="AO43" s="41">
        <v>98.8</v>
      </c>
      <c r="AP43" s="41">
        <v>717513</v>
      </c>
      <c r="AQ43" s="41">
        <v>24.2</v>
      </c>
      <c r="AR43" s="58">
        <v>2</v>
      </c>
      <c r="AS43" s="59">
        <v>66.7</v>
      </c>
      <c r="AT43" s="59">
        <v>20050</v>
      </c>
      <c r="AU43" s="59">
        <v>37.299999999999997</v>
      </c>
      <c r="AV43" s="59">
        <v>387</v>
      </c>
      <c r="AW43" s="59">
        <v>1.2</v>
      </c>
      <c r="AX43" s="59">
        <v>13384</v>
      </c>
      <c r="AY43" s="59">
        <v>17.899999999999999</v>
      </c>
      <c r="AZ43" s="62" t="e">
        <f t="shared" si="1"/>
        <v>#VALUE!</v>
      </c>
      <c r="BA43" s="62" t="e">
        <f t="shared" si="2"/>
        <v>#VALUE!</v>
      </c>
      <c r="BB43" s="62" t="e">
        <f t="shared" si="3"/>
        <v>#VALUE!</v>
      </c>
      <c r="BC43" s="62" t="e">
        <f t="shared" si="4"/>
        <v>#VALUE!</v>
      </c>
      <c r="BD43" s="62" t="e">
        <f t="shared" si="5"/>
        <v>#VALUE!</v>
      </c>
      <c r="BE43" s="62" t="e">
        <f t="shared" si="6"/>
        <v>#VALUE!</v>
      </c>
      <c r="BF43" s="62" t="e">
        <f t="shared" si="7"/>
        <v>#VALUE!</v>
      </c>
      <c r="BG43" s="62" t="e">
        <f t="shared" si="8"/>
        <v>#VALUE!</v>
      </c>
      <c r="BH43" s="61">
        <f t="shared" si="9"/>
        <v>0</v>
      </c>
      <c r="BI43" s="61">
        <f t="shared" si="10"/>
        <v>-5</v>
      </c>
      <c r="BJ43" s="61">
        <f t="shared" si="11"/>
        <v>-2714798</v>
      </c>
      <c r="BK43" s="61">
        <f t="shared" si="12"/>
        <v>-67</v>
      </c>
      <c r="BL43" s="61">
        <f t="shared" si="13"/>
        <v>-3530408</v>
      </c>
      <c r="BM43" s="61">
        <f t="shared" si="14"/>
        <v>-97.399999999999991</v>
      </c>
      <c r="BN43" s="61">
        <f t="shared" si="15"/>
        <v>-717044</v>
      </c>
      <c r="BO43" s="61">
        <f t="shared" si="16"/>
        <v>-24.2</v>
      </c>
      <c r="BP43" s="61">
        <f t="shared" si="17"/>
        <v>2</v>
      </c>
      <c r="BQ43" s="61">
        <f t="shared" si="18"/>
        <v>13.299999999999997</v>
      </c>
      <c r="BR43" s="61">
        <f t="shared" si="19"/>
        <v>1785675</v>
      </c>
      <c r="BS43" s="61">
        <f t="shared" si="20"/>
        <v>62.3</v>
      </c>
      <c r="BT43" s="61">
        <f t="shared" si="21"/>
        <v>284284</v>
      </c>
      <c r="BU43" s="61">
        <f t="shared" si="22"/>
        <v>97.399999999999991</v>
      </c>
      <c r="BV43" s="61">
        <f t="shared" si="23"/>
        <v>86161822</v>
      </c>
      <c r="BW43" s="61">
        <f t="shared" si="24"/>
        <v>82.1</v>
      </c>
    </row>
    <row r="44" spans="1:75" s="19" customFormat="1" ht="27" thickBot="1">
      <c r="A44" s="15" t="s">
        <v>129</v>
      </c>
      <c r="B44" s="16" t="s">
        <v>78</v>
      </c>
      <c r="C44" s="17">
        <v>7</v>
      </c>
      <c r="D44" s="18">
        <v>50</v>
      </c>
      <c r="E44" s="17">
        <v>388375</v>
      </c>
      <c r="F44" s="18">
        <v>25</v>
      </c>
      <c r="G44" s="17">
        <v>1694548</v>
      </c>
      <c r="H44" s="18">
        <v>67.8</v>
      </c>
      <c r="I44" s="17">
        <v>170684</v>
      </c>
      <c r="J44" s="18">
        <v>19.2</v>
      </c>
      <c r="K44" s="17">
        <v>2</v>
      </c>
      <c r="L44" s="18">
        <v>14.3</v>
      </c>
      <c r="M44" s="17">
        <v>817719</v>
      </c>
      <c r="N44" s="18">
        <v>52.6</v>
      </c>
      <c r="O44" s="17">
        <v>680655</v>
      </c>
      <c r="P44" s="18">
        <v>27.2</v>
      </c>
      <c r="Q44" s="17">
        <v>7429</v>
      </c>
      <c r="R44" s="18">
        <v>0.8</v>
      </c>
      <c r="S44" s="17">
        <v>5</v>
      </c>
      <c r="T44" s="18">
        <v>35.700000000000003</v>
      </c>
      <c r="U44" s="17">
        <v>347754</v>
      </c>
      <c r="V44" s="18">
        <v>22.4</v>
      </c>
      <c r="W44" s="17">
        <v>124137</v>
      </c>
      <c r="X44" s="18">
        <v>5</v>
      </c>
      <c r="Y44" s="17">
        <v>711923</v>
      </c>
      <c r="Z44" s="18">
        <v>80</v>
      </c>
      <c r="AB44" s="49">
        <v>7</v>
      </c>
      <c r="AC44" s="50">
        <v>50</v>
      </c>
      <c r="AD44" s="50">
        <v>388375</v>
      </c>
      <c r="AE44" s="50">
        <v>25</v>
      </c>
      <c r="AF44" s="50">
        <v>1694548</v>
      </c>
      <c r="AG44" s="50">
        <v>67.8</v>
      </c>
      <c r="AH44" s="50">
        <v>170684</v>
      </c>
      <c r="AI44" s="50">
        <v>19.2</v>
      </c>
      <c r="AJ44" s="40">
        <v>1</v>
      </c>
      <c r="AK44" s="41">
        <v>12.5</v>
      </c>
      <c r="AL44" s="41">
        <v>2597999</v>
      </c>
      <c r="AM44" s="41">
        <v>95.9</v>
      </c>
      <c r="AN44" s="41">
        <v>3118959</v>
      </c>
      <c r="AO44" s="41">
        <v>94.5</v>
      </c>
      <c r="AP44" s="41">
        <v>2406374</v>
      </c>
      <c r="AQ44" s="41">
        <v>99.3</v>
      </c>
      <c r="AR44" s="58">
        <v>1</v>
      </c>
      <c r="AS44" s="59">
        <v>100</v>
      </c>
      <c r="AT44" s="59">
        <v>198</v>
      </c>
      <c r="AU44" s="59">
        <v>100</v>
      </c>
      <c r="AV44" s="59">
        <v>83</v>
      </c>
      <c r="AW44" s="59">
        <v>100</v>
      </c>
      <c r="AX44" s="59">
        <v>17</v>
      </c>
      <c r="AY44" s="59">
        <v>100</v>
      </c>
      <c r="AZ44" s="62">
        <f t="shared" si="1"/>
        <v>0</v>
      </c>
      <c r="BA44" s="62">
        <f t="shared" si="2"/>
        <v>0</v>
      </c>
      <c r="BB44" s="62">
        <f t="shared" si="3"/>
        <v>0</v>
      </c>
      <c r="BC44" s="62">
        <f t="shared" si="4"/>
        <v>0</v>
      </c>
      <c r="BD44" s="62">
        <f t="shared" si="5"/>
        <v>0</v>
      </c>
      <c r="BE44" s="62">
        <f t="shared" si="6"/>
        <v>0</v>
      </c>
      <c r="BF44" s="62">
        <f t="shared" si="7"/>
        <v>0</v>
      </c>
      <c r="BG44" s="62">
        <f t="shared" si="8"/>
        <v>0</v>
      </c>
      <c r="BH44" s="61">
        <f t="shared" si="9"/>
        <v>1</v>
      </c>
      <c r="BI44" s="61">
        <f t="shared" si="10"/>
        <v>1.8000000000000007</v>
      </c>
      <c r="BJ44" s="61">
        <f t="shared" si="11"/>
        <v>-1780280</v>
      </c>
      <c r="BK44" s="61">
        <f t="shared" si="12"/>
        <v>-43.300000000000004</v>
      </c>
      <c r="BL44" s="61">
        <f t="shared" si="13"/>
        <v>-2438304</v>
      </c>
      <c r="BM44" s="61">
        <f t="shared" si="14"/>
        <v>-67.3</v>
      </c>
      <c r="BN44" s="61">
        <f t="shared" si="15"/>
        <v>-2398945</v>
      </c>
      <c r="BO44" s="61">
        <f t="shared" si="16"/>
        <v>-98.5</v>
      </c>
      <c r="BP44" s="61">
        <f t="shared" si="17"/>
        <v>4</v>
      </c>
      <c r="BQ44" s="61">
        <f t="shared" si="18"/>
        <v>-64.3</v>
      </c>
      <c r="BR44" s="61">
        <f t="shared" si="19"/>
        <v>347556</v>
      </c>
      <c r="BS44" s="61">
        <f t="shared" si="20"/>
        <v>-77.599999999999994</v>
      </c>
      <c r="BT44" s="61">
        <f t="shared" si="21"/>
        <v>124054</v>
      </c>
      <c r="BU44" s="61">
        <f t="shared" si="22"/>
        <v>-95</v>
      </c>
      <c r="BV44" s="61">
        <f t="shared" si="23"/>
        <v>711906</v>
      </c>
      <c r="BW44" s="61">
        <f t="shared" si="24"/>
        <v>-20</v>
      </c>
    </row>
    <row r="45" spans="1:75" ht="15.75">
      <c r="A45" s="2" t="s">
        <v>79</v>
      </c>
      <c r="B45" s="5" t="s">
        <v>80</v>
      </c>
      <c r="C45" s="3">
        <v>7</v>
      </c>
      <c r="D45" s="4">
        <v>50</v>
      </c>
      <c r="E45" s="3">
        <v>388375</v>
      </c>
      <c r="F45" s="4">
        <v>25</v>
      </c>
      <c r="G45" s="3">
        <v>1694548</v>
      </c>
      <c r="H45" s="4">
        <v>67.8</v>
      </c>
      <c r="I45" s="3">
        <v>170684</v>
      </c>
      <c r="J45" s="4">
        <v>19.2</v>
      </c>
      <c r="K45" s="3">
        <v>2</v>
      </c>
      <c r="L45" s="4">
        <v>14.3</v>
      </c>
      <c r="M45" s="3">
        <v>817719</v>
      </c>
      <c r="N45" s="4">
        <v>52.6</v>
      </c>
      <c r="O45" s="3">
        <v>680655</v>
      </c>
      <c r="P45" s="4">
        <v>27.2</v>
      </c>
      <c r="Q45" s="3">
        <v>7429</v>
      </c>
      <c r="R45" s="4">
        <v>0.8</v>
      </c>
      <c r="S45" s="3">
        <v>5</v>
      </c>
      <c r="T45" s="4">
        <v>35.700000000000003</v>
      </c>
      <c r="U45" s="3">
        <v>347754</v>
      </c>
      <c r="V45" s="4">
        <v>22.4</v>
      </c>
      <c r="W45" s="3">
        <v>124137</v>
      </c>
      <c r="X45" s="4">
        <v>5</v>
      </c>
      <c r="Y45" s="3">
        <v>711923</v>
      </c>
      <c r="Z45" s="4">
        <v>80</v>
      </c>
      <c r="AB45" s="42">
        <v>7</v>
      </c>
      <c r="AC45" s="43">
        <v>50</v>
      </c>
      <c r="AD45" s="43">
        <v>388375</v>
      </c>
      <c r="AE45" s="43">
        <v>25</v>
      </c>
      <c r="AF45" s="43">
        <v>1694548</v>
      </c>
      <c r="AG45" s="43">
        <v>67.8</v>
      </c>
      <c r="AH45" s="43">
        <v>170684</v>
      </c>
      <c r="AI45" s="43">
        <v>19.2</v>
      </c>
      <c r="AJ45" s="38">
        <v>1</v>
      </c>
      <c r="AK45" s="39">
        <v>16.7</v>
      </c>
      <c r="AL45" s="39">
        <v>17391</v>
      </c>
      <c r="AM45" s="39">
        <v>8.1999999999999993</v>
      </c>
      <c r="AN45" s="39">
        <v>8016</v>
      </c>
      <c r="AO45" s="39">
        <v>1.4</v>
      </c>
      <c r="AP45" s="39">
        <v>59</v>
      </c>
      <c r="AQ45" s="39">
        <v>0.1</v>
      </c>
      <c r="AR45" s="58">
        <v>1</v>
      </c>
      <c r="AS45" s="59">
        <v>100</v>
      </c>
      <c r="AT45" s="59">
        <v>198</v>
      </c>
      <c r="AU45" s="59">
        <v>100</v>
      </c>
      <c r="AV45" s="59">
        <v>83</v>
      </c>
      <c r="AW45" s="59">
        <v>100</v>
      </c>
      <c r="AX45" s="59">
        <v>17</v>
      </c>
      <c r="AY45" s="59">
        <v>100</v>
      </c>
      <c r="AZ45" s="62">
        <f t="shared" si="1"/>
        <v>0</v>
      </c>
      <c r="BA45" s="62">
        <f t="shared" si="2"/>
        <v>0</v>
      </c>
      <c r="BB45" s="62">
        <f t="shared" si="3"/>
        <v>0</v>
      </c>
      <c r="BC45" s="62">
        <f t="shared" si="4"/>
        <v>0</v>
      </c>
      <c r="BD45" s="62">
        <f t="shared" si="5"/>
        <v>0</v>
      </c>
      <c r="BE45" s="62">
        <f t="shared" si="6"/>
        <v>0</v>
      </c>
      <c r="BF45" s="62">
        <f t="shared" si="7"/>
        <v>0</v>
      </c>
      <c r="BG45" s="62">
        <f t="shared" si="8"/>
        <v>0</v>
      </c>
      <c r="BH45" s="61">
        <f t="shared" si="9"/>
        <v>1</v>
      </c>
      <c r="BI45" s="61">
        <f t="shared" si="10"/>
        <v>-2.3999999999999986</v>
      </c>
      <c r="BJ45" s="61">
        <f t="shared" si="11"/>
        <v>800328</v>
      </c>
      <c r="BK45" s="61">
        <f t="shared" si="12"/>
        <v>44.400000000000006</v>
      </c>
      <c r="BL45" s="61">
        <f t="shared" si="13"/>
        <v>672639</v>
      </c>
      <c r="BM45" s="61">
        <f t="shared" si="14"/>
        <v>25.8</v>
      </c>
      <c r="BN45" s="61">
        <f t="shared" si="15"/>
        <v>7370</v>
      </c>
      <c r="BO45" s="61">
        <f t="shared" si="16"/>
        <v>0.70000000000000007</v>
      </c>
      <c r="BP45" s="61">
        <f t="shared" si="17"/>
        <v>4</v>
      </c>
      <c r="BQ45" s="61">
        <f t="shared" si="18"/>
        <v>-64.3</v>
      </c>
      <c r="BR45" s="61">
        <f t="shared" si="19"/>
        <v>347556</v>
      </c>
      <c r="BS45" s="61">
        <f t="shared" si="20"/>
        <v>-77.599999999999994</v>
      </c>
      <c r="BT45" s="61">
        <f t="shared" si="21"/>
        <v>124054</v>
      </c>
      <c r="BU45" s="61">
        <f t="shared" si="22"/>
        <v>-95</v>
      </c>
      <c r="BV45" s="61">
        <f t="shared" si="23"/>
        <v>711906</v>
      </c>
      <c r="BW45" s="61">
        <f t="shared" si="24"/>
        <v>-20</v>
      </c>
    </row>
    <row r="46" spans="1:75" s="19" customFormat="1" ht="26.25">
      <c r="A46" s="15" t="s">
        <v>130</v>
      </c>
      <c r="B46" s="16" t="s">
        <v>81</v>
      </c>
      <c r="C46" s="17">
        <v>5</v>
      </c>
      <c r="D46" s="18">
        <v>35.700000000000003</v>
      </c>
      <c r="E46" s="17">
        <v>27244</v>
      </c>
      <c r="F46" s="18">
        <v>0.4</v>
      </c>
      <c r="G46" s="17">
        <v>176833</v>
      </c>
      <c r="H46" s="18">
        <v>2.6</v>
      </c>
      <c r="I46" s="17">
        <v>14600</v>
      </c>
      <c r="J46" s="18">
        <v>0.3</v>
      </c>
      <c r="K46" s="17">
        <v>2</v>
      </c>
      <c r="L46" s="18">
        <v>14.3</v>
      </c>
      <c r="M46" s="17">
        <v>5320334</v>
      </c>
      <c r="N46" s="18">
        <v>78.8</v>
      </c>
      <c r="O46" s="17">
        <v>6653348</v>
      </c>
      <c r="P46" s="18">
        <v>96.7</v>
      </c>
      <c r="Q46" s="17">
        <v>3123887</v>
      </c>
      <c r="R46" s="18">
        <v>58</v>
      </c>
      <c r="S46" s="17">
        <v>7</v>
      </c>
      <c r="T46" s="18">
        <v>50</v>
      </c>
      <c r="U46" s="17">
        <v>1401959</v>
      </c>
      <c r="V46" s="18">
        <v>20.8</v>
      </c>
      <c r="W46" s="17">
        <v>51584</v>
      </c>
      <c r="X46" s="18">
        <v>0.7</v>
      </c>
      <c r="Y46" s="17">
        <v>2245558</v>
      </c>
      <c r="Z46" s="18">
        <v>41.7</v>
      </c>
      <c r="AB46" s="42">
        <v>5</v>
      </c>
      <c r="AC46" s="43">
        <v>35.700000000000003</v>
      </c>
      <c r="AD46" s="43">
        <v>27244</v>
      </c>
      <c r="AE46" s="43">
        <v>0.4</v>
      </c>
      <c r="AF46" s="43">
        <v>176833</v>
      </c>
      <c r="AG46" s="43">
        <v>2.6</v>
      </c>
      <c r="AH46" s="43">
        <v>14600</v>
      </c>
      <c r="AI46" s="43">
        <v>0.3</v>
      </c>
      <c r="AJ46" s="40">
        <v>1</v>
      </c>
      <c r="AK46" s="41">
        <v>100</v>
      </c>
      <c r="AL46" s="41">
        <v>17391</v>
      </c>
      <c r="AM46" s="41">
        <v>100</v>
      </c>
      <c r="AN46" s="41">
        <v>8016</v>
      </c>
      <c r="AO46" s="41">
        <v>100</v>
      </c>
      <c r="AP46" s="41">
        <v>59</v>
      </c>
      <c r="AQ46" s="41">
        <v>100</v>
      </c>
      <c r="AR46" s="58">
        <v>1</v>
      </c>
      <c r="AS46" s="59">
        <v>33.299999999999997</v>
      </c>
      <c r="AT46" s="59">
        <v>60</v>
      </c>
      <c r="AU46" s="59">
        <v>41.4</v>
      </c>
      <c r="AV46" s="59">
        <v>13</v>
      </c>
      <c r="AW46" s="59">
        <v>100</v>
      </c>
      <c r="AX46" s="59">
        <v>58</v>
      </c>
      <c r="AY46" s="59">
        <v>96.7</v>
      </c>
      <c r="AZ46" s="62">
        <f t="shared" si="1"/>
        <v>0</v>
      </c>
      <c r="BA46" s="62">
        <f t="shared" si="2"/>
        <v>0</v>
      </c>
      <c r="BB46" s="62">
        <f t="shared" si="3"/>
        <v>0</v>
      </c>
      <c r="BC46" s="62">
        <f t="shared" si="4"/>
        <v>0</v>
      </c>
      <c r="BD46" s="62">
        <f t="shared" si="5"/>
        <v>0</v>
      </c>
      <c r="BE46" s="62">
        <f t="shared" si="6"/>
        <v>0</v>
      </c>
      <c r="BF46" s="62">
        <f t="shared" si="7"/>
        <v>0</v>
      </c>
      <c r="BG46" s="62">
        <f t="shared" si="8"/>
        <v>0</v>
      </c>
      <c r="BH46" s="61">
        <f t="shared" si="9"/>
        <v>1</v>
      </c>
      <c r="BI46" s="61">
        <f t="shared" si="10"/>
        <v>-85.7</v>
      </c>
      <c r="BJ46" s="61">
        <f t="shared" si="11"/>
        <v>5302943</v>
      </c>
      <c r="BK46" s="61">
        <f t="shared" si="12"/>
        <v>-21.200000000000003</v>
      </c>
      <c r="BL46" s="61">
        <f t="shared" si="13"/>
        <v>6645332</v>
      </c>
      <c r="BM46" s="61">
        <f t="shared" si="14"/>
        <v>-3.2999999999999972</v>
      </c>
      <c r="BN46" s="61">
        <f t="shared" si="15"/>
        <v>3123828</v>
      </c>
      <c r="BO46" s="61">
        <f t="shared" si="16"/>
        <v>-42</v>
      </c>
      <c r="BP46" s="61">
        <f t="shared" si="17"/>
        <v>6</v>
      </c>
      <c r="BQ46" s="61">
        <f t="shared" si="18"/>
        <v>16.700000000000003</v>
      </c>
      <c r="BR46" s="61">
        <f t="shared" si="19"/>
        <v>1401899</v>
      </c>
      <c r="BS46" s="61">
        <f t="shared" si="20"/>
        <v>-20.599999999999998</v>
      </c>
      <c r="BT46" s="61">
        <f t="shared" si="21"/>
        <v>51571</v>
      </c>
      <c r="BU46" s="61">
        <f t="shared" si="22"/>
        <v>-99.3</v>
      </c>
      <c r="BV46" s="61">
        <f t="shared" si="23"/>
        <v>2245500</v>
      </c>
      <c r="BW46" s="61">
        <f t="shared" si="24"/>
        <v>-55</v>
      </c>
    </row>
    <row r="47" spans="1:75" ht="15.75">
      <c r="A47" s="2" t="s">
        <v>82</v>
      </c>
      <c r="B47" s="5" t="s">
        <v>83</v>
      </c>
      <c r="C47" s="3" t="s">
        <v>31</v>
      </c>
      <c r="D47" s="4" t="s">
        <v>31</v>
      </c>
      <c r="E47" s="3" t="s">
        <v>31</v>
      </c>
      <c r="F47" s="4" t="s">
        <v>31</v>
      </c>
      <c r="G47" s="3" t="s">
        <v>31</v>
      </c>
      <c r="H47" s="4" t="s">
        <v>31</v>
      </c>
      <c r="I47" s="3" t="s">
        <v>31</v>
      </c>
      <c r="J47" s="4" t="s">
        <v>31</v>
      </c>
      <c r="K47" s="3" t="s">
        <v>31</v>
      </c>
      <c r="L47" s="4" t="s">
        <v>31</v>
      </c>
      <c r="M47" s="3" t="s">
        <v>31</v>
      </c>
      <c r="N47" s="4" t="s">
        <v>31</v>
      </c>
      <c r="O47" s="3" t="s">
        <v>31</v>
      </c>
      <c r="P47" s="4" t="s">
        <v>31</v>
      </c>
      <c r="Q47" s="3" t="s">
        <v>31</v>
      </c>
      <c r="R47" s="4" t="s">
        <v>31</v>
      </c>
      <c r="S47" s="3">
        <v>1</v>
      </c>
      <c r="T47" s="4">
        <v>100</v>
      </c>
      <c r="U47" s="3" t="s">
        <v>31</v>
      </c>
      <c r="V47" s="4" t="s">
        <v>31</v>
      </c>
      <c r="W47" s="3">
        <v>5</v>
      </c>
      <c r="X47" s="4">
        <v>100</v>
      </c>
      <c r="Y47" s="3">
        <v>35</v>
      </c>
      <c r="Z47" s="4">
        <v>100</v>
      </c>
      <c r="AB47" s="40"/>
      <c r="AC47" s="41"/>
      <c r="AD47" s="41"/>
      <c r="AE47" s="41"/>
      <c r="AF47" s="41"/>
      <c r="AG47" s="41"/>
      <c r="AH47" s="41"/>
      <c r="AI47" s="41"/>
      <c r="AJ47" s="40">
        <v>2</v>
      </c>
      <c r="AK47" s="41">
        <v>22.2</v>
      </c>
      <c r="AL47" s="41">
        <v>962</v>
      </c>
      <c r="AM47" s="41">
        <v>6.1</v>
      </c>
      <c r="AN47" s="41">
        <v>31209</v>
      </c>
      <c r="AO47" s="41">
        <v>49.8</v>
      </c>
      <c r="AP47" s="41">
        <v>62</v>
      </c>
      <c r="AQ47" s="41">
        <v>0</v>
      </c>
      <c r="AR47" s="58">
        <v>1</v>
      </c>
      <c r="AS47" s="59">
        <v>33.299999999999997</v>
      </c>
      <c r="AT47" s="59">
        <v>60</v>
      </c>
      <c r="AU47" s="59">
        <v>41.4</v>
      </c>
      <c r="AV47" s="59">
        <v>13</v>
      </c>
      <c r="AW47" s="59">
        <v>100</v>
      </c>
      <c r="AX47" s="59">
        <v>58</v>
      </c>
      <c r="AY47" s="59">
        <v>96.7</v>
      </c>
      <c r="AZ47" s="62" t="e">
        <f t="shared" si="1"/>
        <v>#VALUE!</v>
      </c>
      <c r="BA47" s="62" t="e">
        <f t="shared" si="2"/>
        <v>#VALUE!</v>
      </c>
      <c r="BB47" s="62" t="e">
        <f t="shared" si="3"/>
        <v>#VALUE!</v>
      </c>
      <c r="BC47" s="62" t="e">
        <f t="shared" si="4"/>
        <v>#VALUE!</v>
      </c>
      <c r="BD47" s="62" t="e">
        <f t="shared" si="5"/>
        <v>#VALUE!</v>
      </c>
      <c r="BE47" s="62" t="e">
        <f t="shared" si="6"/>
        <v>#VALUE!</v>
      </c>
      <c r="BF47" s="62" t="e">
        <f t="shared" si="7"/>
        <v>#VALUE!</v>
      </c>
      <c r="BG47" s="62" t="e">
        <f t="shared" si="8"/>
        <v>#VALUE!</v>
      </c>
      <c r="BH47" s="61" t="e">
        <f t="shared" si="9"/>
        <v>#VALUE!</v>
      </c>
      <c r="BI47" s="61" t="e">
        <f t="shared" si="10"/>
        <v>#VALUE!</v>
      </c>
      <c r="BJ47" s="61" t="e">
        <f t="shared" si="11"/>
        <v>#VALUE!</v>
      </c>
      <c r="BK47" s="61" t="e">
        <f t="shared" si="12"/>
        <v>#VALUE!</v>
      </c>
      <c r="BL47" s="61" t="e">
        <f t="shared" si="13"/>
        <v>#VALUE!</v>
      </c>
      <c r="BM47" s="61" t="e">
        <f t="shared" si="14"/>
        <v>#VALUE!</v>
      </c>
      <c r="BN47" s="61" t="e">
        <f t="shared" si="15"/>
        <v>#VALUE!</v>
      </c>
      <c r="BO47" s="61" t="e">
        <f t="shared" si="16"/>
        <v>#VALUE!</v>
      </c>
      <c r="BP47" s="61">
        <f t="shared" si="17"/>
        <v>0</v>
      </c>
      <c r="BQ47" s="61">
        <f t="shared" si="18"/>
        <v>66.7</v>
      </c>
      <c r="BR47" s="61" t="e">
        <f t="shared" si="19"/>
        <v>#VALUE!</v>
      </c>
      <c r="BS47" s="61" t="e">
        <f t="shared" si="20"/>
        <v>#VALUE!</v>
      </c>
      <c r="BT47" s="61">
        <f t="shared" si="21"/>
        <v>-8</v>
      </c>
      <c r="BU47" s="61">
        <f t="shared" si="22"/>
        <v>0</v>
      </c>
      <c r="BV47" s="61">
        <f t="shared" si="23"/>
        <v>-23</v>
      </c>
      <c r="BW47" s="61">
        <f t="shared" si="24"/>
        <v>3.2999999999999972</v>
      </c>
    </row>
    <row r="48" spans="1:75" ht="26.25">
      <c r="A48" s="2" t="s">
        <v>84</v>
      </c>
      <c r="B48" s="5" t="s">
        <v>85</v>
      </c>
      <c r="C48" s="3">
        <v>1</v>
      </c>
      <c r="D48" s="4">
        <v>25</v>
      </c>
      <c r="E48" s="3">
        <v>500</v>
      </c>
      <c r="F48" s="4">
        <v>0</v>
      </c>
      <c r="G48" s="3" t="s">
        <v>31</v>
      </c>
      <c r="H48" s="4" t="s">
        <v>31</v>
      </c>
      <c r="I48" s="3">
        <v>484</v>
      </c>
      <c r="J48" s="4">
        <v>0</v>
      </c>
      <c r="K48" s="3">
        <v>1</v>
      </c>
      <c r="L48" s="4">
        <v>25</v>
      </c>
      <c r="M48" s="3">
        <v>2722335</v>
      </c>
      <c r="N48" s="4">
        <v>67.400000000000006</v>
      </c>
      <c r="O48" s="3">
        <v>3534389</v>
      </c>
      <c r="P48" s="4">
        <v>98.8</v>
      </c>
      <c r="Q48" s="3">
        <v>717513</v>
      </c>
      <c r="R48" s="4">
        <v>24.2</v>
      </c>
      <c r="S48" s="3">
        <v>2</v>
      </c>
      <c r="T48" s="4">
        <v>50</v>
      </c>
      <c r="U48" s="3">
        <v>1317769</v>
      </c>
      <c r="V48" s="4">
        <v>32.6</v>
      </c>
      <c r="W48" s="3">
        <v>44357</v>
      </c>
      <c r="X48" s="4">
        <v>1.2</v>
      </c>
      <c r="Y48" s="3">
        <v>2243194</v>
      </c>
      <c r="Z48" s="4">
        <v>75.8</v>
      </c>
      <c r="AB48" s="40">
        <v>1</v>
      </c>
      <c r="AC48" s="41">
        <v>25</v>
      </c>
      <c r="AD48" s="41">
        <v>500</v>
      </c>
      <c r="AE48" s="41">
        <v>0</v>
      </c>
      <c r="AF48" s="41" t="s">
        <v>31</v>
      </c>
      <c r="AG48" s="41" t="s">
        <v>31</v>
      </c>
      <c r="AH48" s="41">
        <v>484</v>
      </c>
      <c r="AI48" s="41">
        <v>0</v>
      </c>
      <c r="AJ48" s="40">
        <v>1</v>
      </c>
      <c r="AK48" s="41">
        <v>14.3</v>
      </c>
      <c r="AL48" s="41">
        <v>792</v>
      </c>
      <c r="AM48" s="41">
        <v>21.8</v>
      </c>
      <c r="AN48" s="41">
        <v>31035</v>
      </c>
      <c r="AO48" s="41">
        <v>69.7</v>
      </c>
      <c r="AP48" s="41">
        <v>60</v>
      </c>
      <c r="AQ48" s="41">
        <v>0</v>
      </c>
      <c r="AR48" s="58">
        <v>3</v>
      </c>
      <c r="AS48" s="59">
        <v>33.299999999999997</v>
      </c>
      <c r="AT48" s="59">
        <v>2686</v>
      </c>
      <c r="AU48" s="59">
        <v>16.899999999999999</v>
      </c>
      <c r="AV48" s="59">
        <v>13474</v>
      </c>
      <c r="AW48" s="59">
        <v>21.5</v>
      </c>
      <c r="AX48" s="59">
        <v>584764</v>
      </c>
      <c r="AY48" s="59">
        <v>99.1</v>
      </c>
      <c r="AZ48" s="62">
        <f t="shared" si="1"/>
        <v>0</v>
      </c>
      <c r="BA48" s="62">
        <f t="shared" si="2"/>
        <v>0</v>
      </c>
      <c r="BB48" s="62">
        <f t="shared" si="3"/>
        <v>0</v>
      </c>
      <c r="BC48" s="62">
        <f t="shared" si="4"/>
        <v>0</v>
      </c>
      <c r="BD48" s="62" t="e">
        <f t="shared" si="5"/>
        <v>#VALUE!</v>
      </c>
      <c r="BE48" s="62" t="e">
        <f t="shared" si="6"/>
        <v>#VALUE!</v>
      </c>
      <c r="BF48" s="62">
        <f t="shared" si="7"/>
        <v>0</v>
      </c>
      <c r="BG48" s="62">
        <f t="shared" si="8"/>
        <v>0</v>
      </c>
      <c r="BH48" s="61">
        <f t="shared" si="9"/>
        <v>0</v>
      </c>
      <c r="BI48" s="61">
        <f t="shared" si="10"/>
        <v>10.7</v>
      </c>
      <c r="BJ48" s="61">
        <f t="shared" si="11"/>
        <v>2721543</v>
      </c>
      <c r="BK48" s="61">
        <f t="shared" si="12"/>
        <v>45.600000000000009</v>
      </c>
      <c r="BL48" s="61">
        <f t="shared" si="13"/>
        <v>3503354</v>
      </c>
      <c r="BM48" s="61">
        <f t="shared" si="14"/>
        <v>29.099999999999994</v>
      </c>
      <c r="BN48" s="61">
        <f t="shared" si="15"/>
        <v>717453</v>
      </c>
      <c r="BO48" s="61">
        <f t="shared" si="16"/>
        <v>24.2</v>
      </c>
      <c r="BP48" s="61">
        <f t="shared" si="17"/>
        <v>-1</v>
      </c>
      <c r="BQ48" s="61">
        <f t="shared" si="18"/>
        <v>16.700000000000003</v>
      </c>
      <c r="BR48" s="61">
        <f t="shared" si="19"/>
        <v>1315083</v>
      </c>
      <c r="BS48" s="61">
        <f t="shared" si="20"/>
        <v>15.700000000000003</v>
      </c>
      <c r="BT48" s="61">
        <f t="shared" si="21"/>
        <v>30883</v>
      </c>
      <c r="BU48" s="61">
        <f t="shared" si="22"/>
        <v>-20.3</v>
      </c>
      <c r="BV48" s="61">
        <f t="shared" si="23"/>
        <v>1658430</v>
      </c>
      <c r="BW48" s="61">
        <f t="shared" si="24"/>
        <v>-23.299999999999997</v>
      </c>
    </row>
    <row r="49" spans="1:75" ht="39">
      <c r="A49" s="2" t="s">
        <v>86</v>
      </c>
      <c r="B49" s="5" t="s">
        <v>87</v>
      </c>
      <c r="C49" s="3">
        <v>3</v>
      </c>
      <c r="D49" s="4">
        <v>37.5</v>
      </c>
      <c r="E49" s="3">
        <v>26571</v>
      </c>
      <c r="F49" s="4">
        <v>1</v>
      </c>
      <c r="G49" s="3">
        <v>172965</v>
      </c>
      <c r="H49" s="4">
        <v>5.3</v>
      </c>
      <c r="I49" s="3">
        <v>14090</v>
      </c>
      <c r="J49" s="4">
        <v>0.6</v>
      </c>
      <c r="K49" s="3">
        <v>1</v>
      </c>
      <c r="L49" s="4">
        <v>12.5</v>
      </c>
      <c r="M49" s="3">
        <v>2597999</v>
      </c>
      <c r="N49" s="4">
        <v>95.9</v>
      </c>
      <c r="O49" s="3">
        <v>3118959</v>
      </c>
      <c r="P49" s="4">
        <v>94.5</v>
      </c>
      <c r="Q49" s="3">
        <v>2406374</v>
      </c>
      <c r="R49" s="4">
        <v>99.3</v>
      </c>
      <c r="S49" s="3">
        <v>4</v>
      </c>
      <c r="T49" s="4">
        <v>50</v>
      </c>
      <c r="U49" s="3">
        <v>84190</v>
      </c>
      <c r="V49" s="4">
        <v>3.1</v>
      </c>
      <c r="W49" s="3">
        <v>7222</v>
      </c>
      <c r="X49" s="4">
        <v>0.2</v>
      </c>
      <c r="Y49" s="3">
        <v>2329</v>
      </c>
      <c r="Z49" s="4">
        <v>0.1</v>
      </c>
      <c r="AB49" s="40">
        <v>3</v>
      </c>
      <c r="AC49" s="41">
        <v>37.5</v>
      </c>
      <c r="AD49" s="41">
        <v>26571</v>
      </c>
      <c r="AE49" s="41">
        <v>1</v>
      </c>
      <c r="AF49" s="41">
        <v>172965</v>
      </c>
      <c r="AG49" s="41">
        <v>5.3</v>
      </c>
      <c r="AH49" s="41">
        <v>14090</v>
      </c>
      <c r="AI49" s="41">
        <v>0.6</v>
      </c>
      <c r="AJ49" s="40">
        <v>1</v>
      </c>
      <c r="AK49" s="41">
        <v>50</v>
      </c>
      <c r="AL49" s="41">
        <v>170</v>
      </c>
      <c r="AM49" s="41">
        <v>1.4</v>
      </c>
      <c r="AN49" s="41">
        <v>174</v>
      </c>
      <c r="AO49" s="41">
        <v>1</v>
      </c>
      <c r="AP49" s="41">
        <v>2</v>
      </c>
      <c r="AQ49" s="41">
        <v>100</v>
      </c>
      <c r="AR49" s="58">
        <v>3</v>
      </c>
      <c r="AS49" s="59">
        <v>42.8</v>
      </c>
      <c r="AT49" s="59">
        <v>2686</v>
      </c>
      <c r="AU49" s="59">
        <v>73.7</v>
      </c>
      <c r="AV49" s="59">
        <v>13474</v>
      </c>
      <c r="AW49" s="59">
        <v>30.3</v>
      </c>
      <c r="AX49" s="59">
        <v>584764</v>
      </c>
      <c r="AY49" s="59">
        <v>99.1</v>
      </c>
      <c r="AZ49" s="62">
        <f t="shared" si="1"/>
        <v>0</v>
      </c>
      <c r="BA49" s="62">
        <f t="shared" si="2"/>
        <v>0</v>
      </c>
      <c r="BB49" s="62">
        <f t="shared" si="3"/>
        <v>0</v>
      </c>
      <c r="BC49" s="62">
        <f t="shared" si="4"/>
        <v>0</v>
      </c>
      <c r="BD49" s="62">
        <f t="shared" si="5"/>
        <v>0</v>
      </c>
      <c r="BE49" s="62">
        <f t="shared" si="6"/>
        <v>0</v>
      </c>
      <c r="BF49" s="62">
        <f t="shared" si="7"/>
        <v>0</v>
      </c>
      <c r="BG49" s="62">
        <f t="shared" si="8"/>
        <v>0</v>
      </c>
      <c r="BH49" s="61">
        <f t="shared" si="9"/>
        <v>0</v>
      </c>
      <c r="BI49" s="61">
        <f t="shared" si="10"/>
        <v>-37.5</v>
      </c>
      <c r="BJ49" s="61">
        <f t="shared" si="11"/>
        <v>2597829</v>
      </c>
      <c r="BK49" s="61">
        <f t="shared" si="12"/>
        <v>94.5</v>
      </c>
      <c r="BL49" s="61">
        <f t="shared" si="13"/>
        <v>3118785</v>
      </c>
      <c r="BM49" s="61">
        <f t="shared" si="14"/>
        <v>93.5</v>
      </c>
      <c r="BN49" s="61">
        <f t="shared" si="15"/>
        <v>2406372</v>
      </c>
      <c r="BO49" s="61">
        <f t="shared" si="16"/>
        <v>-0.70000000000000284</v>
      </c>
      <c r="BP49" s="61">
        <f t="shared" si="17"/>
        <v>1</v>
      </c>
      <c r="BQ49" s="61">
        <f t="shared" si="18"/>
        <v>7.2000000000000028</v>
      </c>
      <c r="BR49" s="61">
        <f t="shared" si="19"/>
        <v>81504</v>
      </c>
      <c r="BS49" s="61">
        <f t="shared" si="20"/>
        <v>-70.600000000000009</v>
      </c>
      <c r="BT49" s="61">
        <f t="shared" si="21"/>
        <v>-6252</v>
      </c>
      <c r="BU49" s="61">
        <f t="shared" si="22"/>
        <v>-30.1</v>
      </c>
      <c r="BV49" s="61">
        <f t="shared" si="23"/>
        <v>-582435</v>
      </c>
      <c r="BW49" s="61">
        <f t="shared" si="24"/>
        <v>-99</v>
      </c>
    </row>
    <row r="50" spans="1:75" ht="26.25">
      <c r="A50" s="2" t="s">
        <v>88</v>
      </c>
      <c r="B50" s="5" t="s">
        <v>89</v>
      </c>
      <c r="C50" s="3">
        <v>1</v>
      </c>
      <c r="D50" s="4">
        <v>100</v>
      </c>
      <c r="E50" s="3">
        <v>173</v>
      </c>
      <c r="F50" s="4">
        <v>100</v>
      </c>
      <c r="G50" s="3">
        <v>3868</v>
      </c>
      <c r="H50" s="4">
        <v>100</v>
      </c>
      <c r="I50" s="3">
        <v>26</v>
      </c>
      <c r="J50" s="4">
        <v>100</v>
      </c>
      <c r="K50" s="3" t="s">
        <v>31</v>
      </c>
      <c r="L50" s="4" t="s">
        <v>31</v>
      </c>
      <c r="M50" s="3" t="s">
        <v>31</v>
      </c>
      <c r="N50" s="4" t="s">
        <v>31</v>
      </c>
      <c r="O50" s="3" t="s">
        <v>31</v>
      </c>
      <c r="P50" s="4" t="s">
        <v>31</v>
      </c>
      <c r="Q50" s="3" t="s">
        <v>31</v>
      </c>
      <c r="R50" s="4" t="s">
        <v>31</v>
      </c>
      <c r="S50" s="3" t="s">
        <v>31</v>
      </c>
      <c r="T50" s="4" t="s">
        <v>31</v>
      </c>
      <c r="U50" s="3" t="s">
        <v>31</v>
      </c>
      <c r="V50" s="4" t="s">
        <v>31</v>
      </c>
      <c r="W50" s="3" t="s">
        <v>31</v>
      </c>
      <c r="X50" s="4" t="s">
        <v>31</v>
      </c>
      <c r="Y50" s="3" t="s">
        <v>31</v>
      </c>
      <c r="Z50" s="4" t="s">
        <v>31</v>
      </c>
      <c r="AB50" s="40">
        <v>1</v>
      </c>
      <c r="AC50" s="41">
        <v>100</v>
      </c>
      <c r="AD50" s="41">
        <v>173</v>
      </c>
      <c r="AE50" s="41">
        <v>100</v>
      </c>
      <c r="AF50" s="41">
        <v>3868</v>
      </c>
      <c r="AG50" s="41">
        <v>100</v>
      </c>
      <c r="AH50" s="41">
        <v>26</v>
      </c>
      <c r="AI50" s="41">
        <v>100</v>
      </c>
      <c r="AZ50" s="62">
        <f t="shared" si="1"/>
        <v>0</v>
      </c>
      <c r="BA50" s="62">
        <f t="shared" si="2"/>
        <v>0</v>
      </c>
      <c r="BB50" s="62">
        <f t="shared" si="3"/>
        <v>0</v>
      </c>
      <c r="BC50" s="62">
        <f t="shared" si="4"/>
        <v>0</v>
      </c>
      <c r="BD50" s="62">
        <f t="shared" si="5"/>
        <v>0</v>
      </c>
      <c r="BE50" s="62">
        <f t="shared" si="6"/>
        <v>0</v>
      </c>
      <c r="BF50" s="62">
        <f t="shared" si="7"/>
        <v>0</v>
      </c>
      <c r="BG50" s="62">
        <f t="shared" si="8"/>
        <v>0</v>
      </c>
      <c r="BH50" s="61" t="e">
        <f t="shared" si="9"/>
        <v>#VALUE!</v>
      </c>
      <c r="BI50" s="61" t="e">
        <f t="shared" si="10"/>
        <v>#VALUE!</v>
      </c>
      <c r="BJ50" s="61" t="e">
        <f t="shared" si="11"/>
        <v>#VALUE!</v>
      </c>
      <c r="BK50" s="61" t="e">
        <f t="shared" si="12"/>
        <v>#VALUE!</v>
      </c>
      <c r="BL50" s="61" t="e">
        <f t="shared" si="13"/>
        <v>#VALUE!</v>
      </c>
      <c r="BM50" s="61" t="e">
        <f t="shared" si="14"/>
        <v>#VALUE!</v>
      </c>
      <c r="BN50" s="61" t="e">
        <f t="shared" si="15"/>
        <v>#VALUE!</v>
      </c>
      <c r="BO50" s="61" t="e">
        <f t="shared" si="16"/>
        <v>#VALUE!</v>
      </c>
      <c r="BP50" s="61" t="e">
        <f t="shared" si="17"/>
        <v>#VALUE!</v>
      </c>
      <c r="BQ50" s="61" t="e">
        <f t="shared" si="18"/>
        <v>#VALUE!</v>
      </c>
      <c r="BR50" s="61" t="e">
        <f t="shared" si="19"/>
        <v>#VALUE!</v>
      </c>
      <c r="BS50" s="61" t="e">
        <f t="shared" si="20"/>
        <v>#VALUE!</v>
      </c>
      <c r="BT50" s="61" t="e">
        <f t="shared" si="21"/>
        <v>#VALUE!</v>
      </c>
      <c r="BU50" s="61" t="e">
        <f t="shared" si="22"/>
        <v>#VALUE!</v>
      </c>
      <c r="BV50" s="61" t="e">
        <f t="shared" si="23"/>
        <v>#VALUE!</v>
      </c>
      <c r="BW50" s="61" t="e">
        <f t="shared" si="24"/>
        <v>#VALUE!</v>
      </c>
    </row>
    <row r="51" spans="1:75" s="19" customFormat="1" ht="26.25">
      <c r="A51" s="15" t="s">
        <v>131</v>
      </c>
      <c r="B51" s="16" t="s">
        <v>90</v>
      </c>
      <c r="C51" s="17">
        <v>3</v>
      </c>
      <c r="D51" s="18">
        <v>50</v>
      </c>
      <c r="E51" s="17">
        <v>174363</v>
      </c>
      <c r="F51" s="18">
        <v>82.3</v>
      </c>
      <c r="G51" s="17">
        <v>545832</v>
      </c>
      <c r="H51" s="18">
        <v>98.5</v>
      </c>
      <c r="I51" s="17">
        <v>64924</v>
      </c>
      <c r="J51" s="18">
        <v>82.8</v>
      </c>
      <c r="K51" s="17">
        <v>1</v>
      </c>
      <c r="L51" s="18">
        <v>16.7</v>
      </c>
      <c r="M51" s="17">
        <v>17391</v>
      </c>
      <c r="N51" s="18">
        <v>8.1999999999999993</v>
      </c>
      <c r="O51" s="17">
        <v>8016</v>
      </c>
      <c r="P51" s="18">
        <v>1.4</v>
      </c>
      <c r="Q51" s="17">
        <v>59</v>
      </c>
      <c r="R51" s="18">
        <v>0.1</v>
      </c>
      <c r="S51" s="17">
        <v>0.2</v>
      </c>
      <c r="T51" s="18">
        <v>33.299999999999997</v>
      </c>
      <c r="U51" s="17">
        <v>20050</v>
      </c>
      <c r="V51" s="18">
        <v>9.5</v>
      </c>
      <c r="W51" s="17">
        <v>387</v>
      </c>
      <c r="X51" s="18">
        <v>0.1</v>
      </c>
      <c r="Y51" s="17">
        <v>13384</v>
      </c>
      <c r="Z51" s="18">
        <v>17.100000000000001</v>
      </c>
      <c r="AB51" s="42">
        <v>3</v>
      </c>
      <c r="AC51" s="43">
        <v>50</v>
      </c>
      <c r="AD51" s="43">
        <v>174363</v>
      </c>
      <c r="AE51" s="43">
        <v>82.3</v>
      </c>
      <c r="AF51" s="43">
        <v>545832</v>
      </c>
      <c r="AG51" s="43">
        <v>98.5</v>
      </c>
      <c r="AH51" s="43">
        <v>64924</v>
      </c>
      <c r="AI51" s="43">
        <v>82.8</v>
      </c>
      <c r="AR51" s="55"/>
      <c r="AS51" s="55"/>
      <c r="AT51" s="55"/>
      <c r="AU51" s="55"/>
      <c r="AV51" s="55"/>
      <c r="AW51" s="55"/>
      <c r="AX51" s="55"/>
      <c r="AY51" s="55"/>
      <c r="AZ51" s="62">
        <f t="shared" si="1"/>
        <v>0</v>
      </c>
      <c r="BA51" s="62">
        <f t="shared" si="2"/>
        <v>0</v>
      </c>
      <c r="BB51" s="62">
        <f t="shared" si="3"/>
        <v>0</v>
      </c>
      <c r="BC51" s="62">
        <f t="shared" si="4"/>
        <v>0</v>
      </c>
      <c r="BD51" s="62">
        <f t="shared" si="5"/>
        <v>0</v>
      </c>
      <c r="BE51" s="62">
        <f t="shared" si="6"/>
        <v>0</v>
      </c>
      <c r="BF51" s="62">
        <f t="shared" si="7"/>
        <v>0</v>
      </c>
      <c r="BG51" s="62">
        <f t="shared" si="8"/>
        <v>0</v>
      </c>
      <c r="BH51" s="61">
        <f t="shared" si="9"/>
        <v>1</v>
      </c>
      <c r="BI51" s="61">
        <f t="shared" si="10"/>
        <v>16.7</v>
      </c>
      <c r="BJ51" s="61">
        <f t="shared" si="11"/>
        <v>17391</v>
      </c>
      <c r="BK51" s="61">
        <f t="shared" si="12"/>
        <v>8.1999999999999993</v>
      </c>
      <c r="BL51" s="61">
        <f t="shared" si="13"/>
        <v>8016</v>
      </c>
      <c r="BM51" s="61">
        <f t="shared" si="14"/>
        <v>1.4</v>
      </c>
      <c r="BN51" s="61">
        <f t="shared" si="15"/>
        <v>59</v>
      </c>
      <c r="BO51" s="61">
        <f t="shared" si="16"/>
        <v>0.1</v>
      </c>
      <c r="BP51" s="61">
        <f t="shared" si="17"/>
        <v>0.2</v>
      </c>
      <c r="BQ51" s="61">
        <f t="shared" si="18"/>
        <v>33.299999999999997</v>
      </c>
      <c r="BR51" s="61">
        <f t="shared" si="19"/>
        <v>20050</v>
      </c>
      <c r="BS51" s="61">
        <f t="shared" si="20"/>
        <v>9.5</v>
      </c>
      <c r="BT51" s="61">
        <f t="shared" si="21"/>
        <v>387</v>
      </c>
      <c r="BU51" s="61">
        <f t="shared" si="22"/>
        <v>0.1</v>
      </c>
      <c r="BV51" s="61">
        <f t="shared" si="23"/>
        <v>13384</v>
      </c>
      <c r="BW51" s="61">
        <f t="shared" si="24"/>
        <v>17.100000000000001</v>
      </c>
    </row>
    <row r="52" spans="1:75" ht="15.75">
      <c r="A52" s="2" t="s">
        <v>91</v>
      </c>
      <c r="B52" s="5" t="s">
        <v>92</v>
      </c>
      <c r="C52" s="3">
        <v>1</v>
      </c>
      <c r="D52" s="4">
        <v>33.299999999999997</v>
      </c>
      <c r="E52" s="3">
        <v>33729</v>
      </c>
      <c r="F52" s="4">
        <v>62.7</v>
      </c>
      <c r="G52" s="3">
        <v>33080</v>
      </c>
      <c r="H52" s="4">
        <v>98.8</v>
      </c>
      <c r="I52" s="3">
        <v>61406</v>
      </c>
      <c r="J52" s="4">
        <v>82.1</v>
      </c>
      <c r="K52" s="3" t="s">
        <v>31</v>
      </c>
      <c r="L52" s="4" t="s">
        <v>31</v>
      </c>
      <c r="M52" s="3" t="s">
        <v>31</v>
      </c>
      <c r="N52" s="4" t="s">
        <v>31</v>
      </c>
      <c r="O52" s="3" t="s">
        <v>31</v>
      </c>
      <c r="P52" s="4" t="s">
        <v>31</v>
      </c>
      <c r="Q52" s="3" t="s">
        <v>31</v>
      </c>
      <c r="R52" s="4" t="s">
        <v>31</v>
      </c>
      <c r="S52" s="3">
        <v>2</v>
      </c>
      <c r="T52" s="4">
        <v>66.7</v>
      </c>
      <c r="U52" s="3">
        <v>20050</v>
      </c>
      <c r="V52" s="4">
        <v>37.299999999999997</v>
      </c>
      <c r="W52" s="3">
        <v>387</v>
      </c>
      <c r="X52" s="4">
        <v>1.2</v>
      </c>
      <c r="Y52" s="3">
        <v>13384</v>
      </c>
      <c r="Z52" s="4">
        <v>17.899999999999999</v>
      </c>
      <c r="AB52" s="40">
        <v>1</v>
      </c>
      <c r="AC52" s="41">
        <v>33.299999999999997</v>
      </c>
      <c r="AD52" s="41">
        <v>33729</v>
      </c>
      <c r="AE52" s="41">
        <v>62.7</v>
      </c>
      <c r="AF52" s="41">
        <v>33080</v>
      </c>
      <c r="AG52" s="41">
        <v>98.8</v>
      </c>
      <c r="AH52" s="41">
        <v>61406</v>
      </c>
      <c r="AI52" s="41">
        <v>82.1</v>
      </c>
      <c r="AZ52" s="62">
        <f t="shared" si="1"/>
        <v>0</v>
      </c>
      <c r="BA52" s="62">
        <f t="shared" si="2"/>
        <v>0</v>
      </c>
      <c r="BB52" s="62">
        <f t="shared" si="3"/>
        <v>0</v>
      </c>
      <c r="BC52" s="62">
        <f t="shared" si="4"/>
        <v>0</v>
      </c>
      <c r="BD52" s="62">
        <f t="shared" si="5"/>
        <v>0</v>
      </c>
      <c r="BE52" s="62">
        <f t="shared" si="6"/>
        <v>0</v>
      </c>
      <c r="BF52" s="62">
        <f t="shared" si="7"/>
        <v>0</v>
      </c>
      <c r="BG52" s="62">
        <f t="shared" si="8"/>
        <v>0</v>
      </c>
      <c r="BH52" s="61" t="e">
        <f t="shared" si="9"/>
        <v>#VALUE!</v>
      </c>
      <c r="BI52" s="61" t="e">
        <f t="shared" si="10"/>
        <v>#VALUE!</v>
      </c>
      <c r="BJ52" s="61" t="e">
        <f t="shared" si="11"/>
        <v>#VALUE!</v>
      </c>
      <c r="BK52" s="61" t="e">
        <f t="shared" si="12"/>
        <v>#VALUE!</v>
      </c>
      <c r="BL52" s="61" t="e">
        <f t="shared" si="13"/>
        <v>#VALUE!</v>
      </c>
      <c r="BM52" s="61" t="e">
        <f t="shared" si="14"/>
        <v>#VALUE!</v>
      </c>
      <c r="BN52" s="61" t="e">
        <f t="shared" si="15"/>
        <v>#VALUE!</v>
      </c>
      <c r="BO52" s="61" t="e">
        <f t="shared" si="16"/>
        <v>#VALUE!</v>
      </c>
      <c r="BP52" s="61">
        <f t="shared" si="17"/>
        <v>2</v>
      </c>
      <c r="BQ52" s="61">
        <f t="shared" si="18"/>
        <v>66.7</v>
      </c>
      <c r="BR52" s="61">
        <f t="shared" si="19"/>
        <v>20050</v>
      </c>
      <c r="BS52" s="61">
        <f t="shared" si="20"/>
        <v>37.299999999999997</v>
      </c>
      <c r="BT52" s="61">
        <f t="shared" si="21"/>
        <v>387</v>
      </c>
      <c r="BU52" s="61">
        <f t="shared" si="22"/>
        <v>1.2</v>
      </c>
      <c r="BV52" s="61">
        <f t="shared" si="23"/>
        <v>13384</v>
      </c>
      <c r="BW52" s="61">
        <f t="shared" si="24"/>
        <v>17.899999999999999</v>
      </c>
    </row>
    <row r="53" spans="1:75" ht="26.25">
      <c r="A53" s="2" t="s">
        <v>93</v>
      </c>
      <c r="B53" s="5" t="s">
        <v>94</v>
      </c>
      <c r="C53" s="3" t="s">
        <v>31</v>
      </c>
      <c r="D53" s="4" t="s">
        <v>31</v>
      </c>
      <c r="E53" s="3" t="s">
        <v>31</v>
      </c>
      <c r="F53" s="4" t="s">
        <v>31</v>
      </c>
      <c r="G53" s="3" t="s">
        <v>31</v>
      </c>
      <c r="H53" s="4" t="s">
        <v>31</v>
      </c>
      <c r="I53" s="3" t="s">
        <v>31</v>
      </c>
      <c r="J53" s="4" t="s">
        <v>31</v>
      </c>
      <c r="K53" s="3">
        <v>1</v>
      </c>
      <c r="L53" s="4">
        <v>100</v>
      </c>
      <c r="M53" s="3">
        <v>17391</v>
      </c>
      <c r="N53" s="4">
        <v>100</v>
      </c>
      <c r="O53" s="3">
        <v>8016</v>
      </c>
      <c r="P53" s="4">
        <v>100</v>
      </c>
      <c r="Q53" s="3">
        <v>59</v>
      </c>
      <c r="R53" s="4">
        <v>100</v>
      </c>
      <c r="S53" s="3" t="s">
        <v>31</v>
      </c>
      <c r="T53" s="4" t="s">
        <v>31</v>
      </c>
      <c r="U53" s="3" t="s">
        <v>31</v>
      </c>
      <c r="V53" s="4" t="s">
        <v>31</v>
      </c>
      <c r="W53" s="3" t="s">
        <v>31</v>
      </c>
      <c r="X53" s="4" t="s">
        <v>31</v>
      </c>
      <c r="Y53" s="3" t="s">
        <v>31</v>
      </c>
      <c r="Z53" s="4" t="s">
        <v>31</v>
      </c>
      <c r="AB53" s="40"/>
      <c r="AC53" s="41"/>
      <c r="AD53" s="41"/>
      <c r="AE53" s="41"/>
      <c r="AF53" s="41"/>
      <c r="AG53" s="41"/>
      <c r="AH53" s="41"/>
      <c r="AI53" s="41"/>
      <c r="AZ53" s="62" t="e">
        <f t="shared" si="1"/>
        <v>#VALUE!</v>
      </c>
      <c r="BA53" s="62" t="e">
        <f t="shared" si="2"/>
        <v>#VALUE!</v>
      </c>
      <c r="BB53" s="62" t="e">
        <f t="shared" si="3"/>
        <v>#VALUE!</v>
      </c>
      <c r="BC53" s="62" t="e">
        <f t="shared" si="4"/>
        <v>#VALUE!</v>
      </c>
      <c r="BD53" s="62" t="e">
        <f t="shared" si="5"/>
        <v>#VALUE!</v>
      </c>
      <c r="BE53" s="62" t="e">
        <f t="shared" si="6"/>
        <v>#VALUE!</v>
      </c>
      <c r="BF53" s="62" t="e">
        <f t="shared" si="7"/>
        <v>#VALUE!</v>
      </c>
      <c r="BG53" s="62" t="e">
        <f t="shared" si="8"/>
        <v>#VALUE!</v>
      </c>
      <c r="BH53" s="61">
        <f t="shared" si="9"/>
        <v>1</v>
      </c>
      <c r="BI53" s="61">
        <f t="shared" si="10"/>
        <v>100</v>
      </c>
      <c r="BJ53" s="61">
        <f t="shared" si="11"/>
        <v>17391</v>
      </c>
      <c r="BK53" s="61">
        <f t="shared" si="12"/>
        <v>100</v>
      </c>
      <c r="BL53" s="61">
        <f t="shared" si="13"/>
        <v>8016</v>
      </c>
      <c r="BM53" s="61">
        <f t="shared" si="14"/>
        <v>100</v>
      </c>
      <c r="BN53" s="61">
        <f t="shared" si="15"/>
        <v>59</v>
      </c>
      <c r="BO53" s="61">
        <f t="shared" si="16"/>
        <v>100</v>
      </c>
      <c r="BP53" s="61" t="e">
        <f t="shared" si="17"/>
        <v>#VALUE!</v>
      </c>
      <c r="BQ53" s="61" t="e">
        <f t="shared" si="18"/>
        <v>#VALUE!</v>
      </c>
      <c r="BR53" s="61" t="e">
        <f t="shared" si="19"/>
        <v>#VALUE!</v>
      </c>
      <c r="BS53" s="61" t="e">
        <f t="shared" si="20"/>
        <v>#VALUE!</v>
      </c>
      <c r="BT53" s="61" t="e">
        <f t="shared" si="21"/>
        <v>#VALUE!</v>
      </c>
      <c r="BU53" s="61" t="e">
        <f t="shared" si="22"/>
        <v>#VALUE!</v>
      </c>
      <c r="BV53" s="61" t="e">
        <f t="shared" si="23"/>
        <v>#VALUE!</v>
      </c>
      <c r="BW53" s="61" t="e">
        <f t="shared" si="24"/>
        <v>#VALUE!</v>
      </c>
    </row>
    <row r="54" spans="1:75" ht="15.75">
      <c r="A54" s="2" t="s">
        <v>95</v>
      </c>
      <c r="B54" s="5" t="s">
        <v>96</v>
      </c>
      <c r="C54" s="3">
        <v>1</v>
      </c>
      <c r="D54" s="4">
        <v>100</v>
      </c>
      <c r="E54" s="3">
        <v>140209</v>
      </c>
      <c r="F54" s="4">
        <v>100</v>
      </c>
      <c r="G54" s="3">
        <v>503781</v>
      </c>
      <c r="H54" s="4">
        <v>100</v>
      </c>
      <c r="I54" s="3">
        <v>2377</v>
      </c>
      <c r="J54" s="4">
        <v>100</v>
      </c>
      <c r="K54" s="3" t="s">
        <v>31</v>
      </c>
      <c r="L54" s="4" t="s">
        <v>31</v>
      </c>
      <c r="M54" s="3" t="s">
        <v>31</v>
      </c>
      <c r="N54" s="4" t="s">
        <v>31</v>
      </c>
      <c r="O54" s="3" t="s">
        <v>31</v>
      </c>
      <c r="P54" s="4" t="s">
        <v>31</v>
      </c>
      <c r="Q54" s="3" t="s">
        <v>31</v>
      </c>
      <c r="R54" s="4" t="s">
        <v>31</v>
      </c>
      <c r="S54" s="3" t="s">
        <v>31</v>
      </c>
      <c r="T54" s="4" t="s">
        <v>31</v>
      </c>
      <c r="U54" s="3" t="s">
        <v>31</v>
      </c>
      <c r="V54" s="4" t="s">
        <v>31</v>
      </c>
      <c r="W54" s="3" t="s">
        <v>31</v>
      </c>
      <c r="X54" s="4" t="s">
        <v>31</v>
      </c>
      <c r="Y54" s="3" t="s">
        <v>31</v>
      </c>
      <c r="Z54" s="4" t="s">
        <v>31</v>
      </c>
      <c r="AB54" s="40">
        <v>1</v>
      </c>
      <c r="AC54" s="41">
        <v>100</v>
      </c>
      <c r="AD54" s="41">
        <v>140209</v>
      </c>
      <c r="AE54" s="41">
        <v>100</v>
      </c>
      <c r="AF54" s="41">
        <v>503781</v>
      </c>
      <c r="AG54" s="41">
        <v>100</v>
      </c>
      <c r="AH54" s="41">
        <v>2377</v>
      </c>
      <c r="AI54" s="41">
        <v>100</v>
      </c>
      <c r="AZ54" s="62">
        <f t="shared" si="1"/>
        <v>0</v>
      </c>
      <c r="BA54" s="62">
        <f t="shared" si="2"/>
        <v>0</v>
      </c>
      <c r="BB54" s="62">
        <f t="shared" si="3"/>
        <v>0</v>
      </c>
      <c r="BC54" s="62">
        <f t="shared" si="4"/>
        <v>0</v>
      </c>
      <c r="BD54" s="62">
        <f t="shared" si="5"/>
        <v>0</v>
      </c>
      <c r="BE54" s="62">
        <f t="shared" si="6"/>
        <v>0</v>
      </c>
      <c r="BF54" s="62">
        <f t="shared" si="7"/>
        <v>0</v>
      </c>
      <c r="BG54" s="62">
        <f t="shared" si="8"/>
        <v>0</v>
      </c>
      <c r="BH54" s="61" t="e">
        <f t="shared" si="9"/>
        <v>#VALUE!</v>
      </c>
      <c r="BI54" s="61" t="e">
        <f t="shared" si="10"/>
        <v>#VALUE!</v>
      </c>
      <c r="BJ54" s="61" t="e">
        <f t="shared" si="11"/>
        <v>#VALUE!</v>
      </c>
      <c r="BK54" s="61" t="e">
        <f t="shared" si="12"/>
        <v>#VALUE!</v>
      </c>
      <c r="BL54" s="61" t="e">
        <f t="shared" si="13"/>
        <v>#VALUE!</v>
      </c>
      <c r="BM54" s="61" t="e">
        <f t="shared" si="14"/>
        <v>#VALUE!</v>
      </c>
      <c r="BN54" s="61" t="e">
        <f t="shared" si="15"/>
        <v>#VALUE!</v>
      </c>
      <c r="BO54" s="61" t="e">
        <f t="shared" si="16"/>
        <v>#VALUE!</v>
      </c>
      <c r="BP54" s="61" t="e">
        <f t="shared" si="17"/>
        <v>#VALUE!</v>
      </c>
      <c r="BQ54" s="61" t="e">
        <f t="shared" si="18"/>
        <v>#VALUE!</v>
      </c>
      <c r="BR54" s="61" t="e">
        <f t="shared" si="19"/>
        <v>#VALUE!</v>
      </c>
      <c r="BS54" s="61" t="e">
        <f t="shared" si="20"/>
        <v>#VALUE!</v>
      </c>
      <c r="BT54" s="61" t="e">
        <f t="shared" si="21"/>
        <v>#VALUE!</v>
      </c>
      <c r="BU54" s="61" t="e">
        <f t="shared" si="22"/>
        <v>#VALUE!</v>
      </c>
      <c r="BV54" s="61" t="e">
        <f t="shared" si="23"/>
        <v>#VALUE!</v>
      </c>
      <c r="BW54" s="61" t="e">
        <f t="shared" si="24"/>
        <v>#VALUE!</v>
      </c>
    </row>
    <row r="55" spans="1:75" ht="64.5">
      <c r="A55" s="2" t="s">
        <v>97</v>
      </c>
      <c r="B55" s="5" t="s">
        <v>98</v>
      </c>
      <c r="C55" s="3">
        <v>1</v>
      </c>
      <c r="D55" s="4">
        <v>100</v>
      </c>
      <c r="E55" s="3">
        <v>425</v>
      </c>
      <c r="F55" s="4">
        <v>100</v>
      </c>
      <c r="G55" s="3">
        <v>8971</v>
      </c>
      <c r="H55" s="4">
        <v>100</v>
      </c>
      <c r="I55" s="3">
        <v>1141</v>
      </c>
      <c r="J55" s="4">
        <v>100</v>
      </c>
      <c r="K55" s="3" t="s">
        <v>31</v>
      </c>
      <c r="L55" s="4" t="s">
        <v>31</v>
      </c>
      <c r="M55" s="3" t="s">
        <v>31</v>
      </c>
      <c r="N55" s="4" t="s">
        <v>31</v>
      </c>
      <c r="O55" s="3" t="s">
        <v>31</v>
      </c>
      <c r="P55" s="4" t="s">
        <v>31</v>
      </c>
      <c r="Q55" s="3" t="s">
        <v>31</v>
      </c>
      <c r="R55" s="4" t="s">
        <v>31</v>
      </c>
      <c r="S55" s="3" t="s">
        <v>31</v>
      </c>
      <c r="T55" s="4" t="s">
        <v>31</v>
      </c>
      <c r="U55" s="3" t="s">
        <v>31</v>
      </c>
      <c r="V55" s="4" t="s">
        <v>31</v>
      </c>
      <c r="W55" s="3" t="s">
        <v>31</v>
      </c>
      <c r="X55" s="4" t="s">
        <v>31</v>
      </c>
      <c r="Y55" s="3" t="s">
        <v>31</v>
      </c>
      <c r="Z55" s="4" t="s">
        <v>31</v>
      </c>
      <c r="AB55" s="40">
        <v>1</v>
      </c>
      <c r="AC55" s="41">
        <v>100</v>
      </c>
      <c r="AD55" s="41">
        <v>425</v>
      </c>
      <c r="AE55" s="41">
        <v>100</v>
      </c>
      <c r="AF55" s="41">
        <v>8971</v>
      </c>
      <c r="AG55" s="41">
        <v>100</v>
      </c>
      <c r="AH55" s="41">
        <v>1141</v>
      </c>
      <c r="AI55" s="41">
        <v>100</v>
      </c>
      <c r="AZ55" s="62">
        <f t="shared" si="1"/>
        <v>0</v>
      </c>
      <c r="BA55" s="62">
        <f t="shared" si="2"/>
        <v>0</v>
      </c>
      <c r="BB55" s="62">
        <f t="shared" si="3"/>
        <v>0</v>
      </c>
      <c r="BC55" s="62">
        <f t="shared" si="4"/>
        <v>0</v>
      </c>
      <c r="BD55" s="62">
        <f t="shared" si="5"/>
        <v>0</v>
      </c>
      <c r="BE55" s="62">
        <f t="shared" si="6"/>
        <v>0</v>
      </c>
      <c r="BF55" s="62">
        <f t="shared" si="7"/>
        <v>0</v>
      </c>
      <c r="BG55" s="62">
        <f t="shared" si="8"/>
        <v>0</v>
      </c>
      <c r="BH55" s="61" t="e">
        <f t="shared" si="9"/>
        <v>#VALUE!</v>
      </c>
      <c r="BI55" s="61" t="e">
        <f t="shared" si="10"/>
        <v>#VALUE!</v>
      </c>
      <c r="BJ55" s="61" t="e">
        <f t="shared" si="11"/>
        <v>#VALUE!</v>
      </c>
      <c r="BK55" s="61" t="e">
        <f t="shared" si="12"/>
        <v>#VALUE!</v>
      </c>
      <c r="BL55" s="61" t="e">
        <f t="shared" si="13"/>
        <v>#VALUE!</v>
      </c>
      <c r="BM55" s="61" t="e">
        <f t="shared" si="14"/>
        <v>#VALUE!</v>
      </c>
      <c r="BN55" s="61" t="e">
        <f t="shared" si="15"/>
        <v>#VALUE!</v>
      </c>
      <c r="BO55" s="61" t="e">
        <f t="shared" si="16"/>
        <v>#VALUE!</v>
      </c>
      <c r="BP55" s="61" t="e">
        <f t="shared" si="17"/>
        <v>#VALUE!</v>
      </c>
      <c r="BQ55" s="61" t="e">
        <f t="shared" si="18"/>
        <v>#VALUE!</v>
      </c>
      <c r="BR55" s="61" t="e">
        <f t="shared" si="19"/>
        <v>#VALUE!</v>
      </c>
      <c r="BS55" s="61" t="e">
        <f t="shared" si="20"/>
        <v>#VALUE!</v>
      </c>
      <c r="BT55" s="61" t="e">
        <f t="shared" si="21"/>
        <v>#VALUE!</v>
      </c>
      <c r="BU55" s="61" t="e">
        <f t="shared" si="22"/>
        <v>#VALUE!</v>
      </c>
      <c r="BV55" s="61" t="e">
        <f t="shared" si="23"/>
        <v>#VALUE!</v>
      </c>
      <c r="BW55" s="61" t="e">
        <f t="shared" si="24"/>
        <v>#VALUE!</v>
      </c>
    </row>
    <row r="56" spans="1:75" s="19" customFormat="1" ht="39">
      <c r="A56" s="15" t="s">
        <v>132</v>
      </c>
      <c r="B56" s="16" t="s">
        <v>99</v>
      </c>
      <c r="C56" s="17">
        <v>1</v>
      </c>
      <c r="D56" s="18">
        <v>100</v>
      </c>
      <c r="E56" s="17">
        <v>724</v>
      </c>
      <c r="F56" s="18">
        <v>100</v>
      </c>
      <c r="G56" s="17">
        <v>295</v>
      </c>
      <c r="H56" s="18">
        <v>100</v>
      </c>
      <c r="I56" s="17">
        <v>14448</v>
      </c>
      <c r="J56" s="18">
        <v>100</v>
      </c>
      <c r="K56" s="17" t="s">
        <v>31</v>
      </c>
      <c r="L56" s="18" t="s">
        <v>31</v>
      </c>
      <c r="M56" s="17" t="s">
        <v>31</v>
      </c>
      <c r="N56" s="18" t="s">
        <v>31</v>
      </c>
      <c r="O56" s="17" t="s">
        <v>31</v>
      </c>
      <c r="P56" s="18" t="s">
        <v>31</v>
      </c>
      <c r="Q56" s="17" t="s">
        <v>31</v>
      </c>
      <c r="R56" s="18" t="s">
        <v>31</v>
      </c>
      <c r="S56" s="17" t="s">
        <v>31</v>
      </c>
      <c r="T56" s="18" t="s">
        <v>31</v>
      </c>
      <c r="U56" s="17" t="s">
        <v>31</v>
      </c>
      <c r="V56" s="18" t="s">
        <v>31</v>
      </c>
      <c r="W56" s="17" t="s">
        <v>31</v>
      </c>
      <c r="X56" s="18" t="s">
        <v>31</v>
      </c>
      <c r="Y56" s="17" t="s">
        <v>31</v>
      </c>
      <c r="Z56" s="18" t="s">
        <v>31</v>
      </c>
      <c r="AB56" s="40">
        <v>1</v>
      </c>
      <c r="AC56" s="41">
        <v>100</v>
      </c>
      <c r="AD56" s="41">
        <v>724</v>
      </c>
      <c r="AE56" s="41">
        <v>100</v>
      </c>
      <c r="AF56" s="41">
        <v>295</v>
      </c>
      <c r="AG56" s="41">
        <v>100</v>
      </c>
      <c r="AH56" s="41">
        <v>14448</v>
      </c>
      <c r="AI56" s="41">
        <v>100</v>
      </c>
      <c r="AR56" s="55"/>
      <c r="AS56" s="55"/>
      <c r="AT56" s="55"/>
      <c r="AU56" s="55"/>
      <c r="AV56" s="55"/>
      <c r="AW56" s="55"/>
      <c r="AX56" s="55"/>
      <c r="AY56" s="55"/>
      <c r="AZ56" s="62">
        <f t="shared" si="1"/>
        <v>0</v>
      </c>
      <c r="BA56" s="62">
        <f t="shared" si="2"/>
        <v>0</v>
      </c>
      <c r="BB56" s="62">
        <f t="shared" si="3"/>
        <v>0</v>
      </c>
      <c r="BC56" s="62">
        <f t="shared" si="4"/>
        <v>0</v>
      </c>
      <c r="BD56" s="62">
        <f t="shared" si="5"/>
        <v>0</v>
      </c>
      <c r="BE56" s="62">
        <f t="shared" si="6"/>
        <v>0</v>
      </c>
      <c r="BF56" s="62">
        <f t="shared" si="7"/>
        <v>0</v>
      </c>
      <c r="BG56" s="62">
        <f t="shared" si="8"/>
        <v>0</v>
      </c>
      <c r="BH56" s="61" t="e">
        <f t="shared" si="9"/>
        <v>#VALUE!</v>
      </c>
      <c r="BI56" s="61" t="e">
        <f t="shared" si="10"/>
        <v>#VALUE!</v>
      </c>
      <c r="BJ56" s="61" t="e">
        <f t="shared" si="11"/>
        <v>#VALUE!</v>
      </c>
      <c r="BK56" s="61" t="e">
        <f t="shared" si="12"/>
        <v>#VALUE!</v>
      </c>
      <c r="BL56" s="61" t="e">
        <f t="shared" si="13"/>
        <v>#VALUE!</v>
      </c>
      <c r="BM56" s="61" t="e">
        <f t="shared" si="14"/>
        <v>#VALUE!</v>
      </c>
      <c r="BN56" s="61" t="e">
        <f t="shared" si="15"/>
        <v>#VALUE!</v>
      </c>
      <c r="BO56" s="61" t="e">
        <f t="shared" si="16"/>
        <v>#VALUE!</v>
      </c>
      <c r="BP56" s="61" t="e">
        <f t="shared" si="17"/>
        <v>#VALUE!</v>
      </c>
      <c r="BQ56" s="61" t="e">
        <f t="shared" si="18"/>
        <v>#VALUE!</v>
      </c>
      <c r="BR56" s="61" t="e">
        <f t="shared" si="19"/>
        <v>#VALUE!</v>
      </c>
      <c r="BS56" s="61" t="e">
        <f t="shared" si="20"/>
        <v>#VALUE!</v>
      </c>
      <c r="BT56" s="61" t="e">
        <f t="shared" si="21"/>
        <v>#VALUE!</v>
      </c>
      <c r="BU56" s="61" t="e">
        <f t="shared" si="22"/>
        <v>#VALUE!</v>
      </c>
      <c r="BV56" s="61" t="e">
        <f t="shared" si="23"/>
        <v>#VALUE!</v>
      </c>
      <c r="BW56" s="61" t="e">
        <f t="shared" si="24"/>
        <v>#VALUE!</v>
      </c>
    </row>
    <row r="57" spans="1:75" ht="39">
      <c r="A57" s="2" t="s">
        <v>100</v>
      </c>
      <c r="B57" s="5" t="s">
        <v>101</v>
      </c>
      <c r="C57" s="3">
        <v>1</v>
      </c>
      <c r="D57" s="4">
        <v>100</v>
      </c>
      <c r="E57" s="3">
        <v>724</v>
      </c>
      <c r="F57" s="4">
        <v>100</v>
      </c>
      <c r="G57" s="3">
        <v>295</v>
      </c>
      <c r="H57" s="4">
        <v>100</v>
      </c>
      <c r="I57" s="3">
        <v>14448</v>
      </c>
      <c r="J57" s="4">
        <v>100</v>
      </c>
      <c r="K57" s="3" t="s">
        <v>31</v>
      </c>
      <c r="L57" s="4" t="s">
        <v>31</v>
      </c>
      <c r="M57" s="3" t="s">
        <v>31</v>
      </c>
      <c r="N57" s="4" t="s">
        <v>31</v>
      </c>
      <c r="O57" s="3" t="s">
        <v>31</v>
      </c>
      <c r="P57" s="4" t="s">
        <v>31</v>
      </c>
      <c r="Q57" s="3" t="s">
        <v>31</v>
      </c>
      <c r="R57" s="4" t="s">
        <v>31</v>
      </c>
      <c r="S57" s="3" t="s">
        <v>31</v>
      </c>
      <c r="T57" s="4" t="s">
        <v>31</v>
      </c>
      <c r="U57" s="3" t="s">
        <v>31</v>
      </c>
      <c r="V57" s="4" t="s">
        <v>31</v>
      </c>
      <c r="W57" s="3" t="s">
        <v>31</v>
      </c>
      <c r="X57" s="4" t="s">
        <v>31</v>
      </c>
      <c r="Y57" s="3" t="s">
        <v>31</v>
      </c>
      <c r="Z57" s="4" t="s">
        <v>31</v>
      </c>
      <c r="AB57" s="40">
        <v>1</v>
      </c>
      <c r="AC57" s="41">
        <v>100</v>
      </c>
      <c r="AD57" s="41">
        <v>724</v>
      </c>
      <c r="AE57" s="41">
        <v>100</v>
      </c>
      <c r="AF57" s="41">
        <v>295</v>
      </c>
      <c r="AG57" s="41">
        <v>100</v>
      </c>
      <c r="AH57" s="41">
        <v>14448</v>
      </c>
      <c r="AI57" s="41">
        <v>100</v>
      </c>
      <c r="AZ57" s="62">
        <f t="shared" si="1"/>
        <v>0</v>
      </c>
      <c r="BA57" s="62">
        <f t="shared" si="2"/>
        <v>0</v>
      </c>
      <c r="BB57" s="62">
        <f t="shared" si="3"/>
        <v>0</v>
      </c>
      <c r="BC57" s="62">
        <f t="shared" si="4"/>
        <v>0</v>
      </c>
      <c r="BD57" s="62">
        <f t="shared" si="5"/>
        <v>0</v>
      </c>
      <c r="BE57" s="62">
        <f t="shared" si="6"/>
        <v>0</v>
      </c>
      <c r="BF57" s="62">
        <f t="shared" si="7"/>
        <v>0</v>
      </c>
      <c r="BG57" s="62">
        <f t="shared" si="8"/>
        <v>0</v>
      </c>
      <c r="BH57" s="61" t="e">
        <f t="shared" si="9"/>
        <v>#VALUE!</v>
      </c>
      <c r="BI57" s="61" t="e">
        <f t="shared" si="10"/>
        <v>#VALUE!</v>
      </c>
      <c r="BJ57" s="61" t="e">
        <f t="shared" si="11"/>
        <v>#VALUE!</v>
      </c>
      <c r="BK57" s="61" t="e">
        <f t="shared" si="12"/>
        <v>#VALUE!</v>
      </c>
      <c r="BL57" s="61" t="e">
        <f t="shared" si="13"/>
        <v>#VALUE!</v>
      </c>
      <c r="BM57" s="61" t="e">
        <f t="shared" si="14"/>
        <v>#VALUE!</v>
      </c>
      <c r="BN57" s="61" t="e">
        <f t="shared" si="15"/>
        <v>#VALUE!</v>
      </c>
      <c r="BO57" s="61" t="e">
        <f t="shared" si="16"/>
        <v>#VALUE!</v>
      </c>
      <c r="BP57" s="61" t="e">
        <f t="shared" si="17"/>
        <v>#VALUE!</v>
      </c>
      <c r="BQ57" s="61" t="e">
        <f t="shared" si="18"/>
        <v>#VALUE!</v>
      </c>
      <c r="BR57" s="61" t="e">
        <f t="shared" si="19"/>
        <v>#VALUE!</v>
      </c>
      <c r="BS57" s="61" t="e">
        <f t="shared" si="20"/>
        <v>#VALUE!</v>
      </c>
      <c r="BT57" s="61" t="e">
        <f t="shared" si="21"/>
        <v>#VALUE!</v>
      </c>
      <c r="BU57" s="61" t="e">
        <f t="shared" si="22"/>
        <v>#VALUE!</v>
      </c>
      <c r="BV57" s="61" t="e">
        <f t="shared" si="23"/>
        <v>#VALUE!</v>
      </c>
      <c r="BW57" s="61" t="e">
        <f t="shared" si="24"/>
        <v>#VALUE!</v>
      </c>
    </row>
    <row r="58" spans="1:75" s="19" customFormat="1" ht="15.75">
      <c r="A58" s="15" t="s">
        <v>133</v>
      </c>
      <c r="B58" s="16" t="s">
        <v>102</v>
      </c>
      <c r="C58" s="17" t="s">
        <v>31</v>
      </c>
      <c r="D58" s="18" t="s">
        <v>31</v>
      </c>
      <c r="E58" s="17" t="s">
        <v>31</v>
      </c>
      <c r="F58" s="18" t="s">
        <v>31</v>
      </c>
      <c r="G58" s="17" t="s">
        <v>31</v>
      </c>
      <c r="H58" s="18" t="s">
        <v>31</v>
      </c>
      <c r="I58" s="17" t="s">
        <v>31</v>
      </c>
      <c r="J58" s="18" t="s">
        <v>31</v>
      </c>
      <c r="K58" s="17" t="s">
        <v>31</v>
      </c>
      <c r="L58" s="18" t="s">
        <v>31</v>
      </c>
      <c r="M58" s="17" t="s">
        <v>31</v>
      </c>
      <c r="N58" s="18" t="s">
        <v>31</v>
      </c>
      <c r="O58" s="17" t="s">
        <v>31</v>
      </c>
      <c r="P58" s="18" t="s">
        <v>31</v>
      </c>
      <c r="Q58" s="17" t="s">
        <v>31</v>
      </c>
      <c r="R58" s="18" t="s">
        <v>31</v>
      </c>
      <c r="S58" s="17">
        <v>1</v>
      </c>
      <c r="T58" s="18">
        <v>100</v>
      </c>
      <c r="U58" s="17">
        <v>198</v>
      </c>
      <c r="V58" s="18">
        <v>100</v>
      </c>
      <c r="W58" s="17">
        <v>83</v>
      </c>
      <c r="X58" s="18">
        <v>100</v>
      </c>
      <c r="Y58" s="17">
        <v>17</v>
      </c>
      <c r="Z58" s="18">
        <v>100</v>
      </c>
      <c r="AB58" s="40"/>
      <c r="AC58" s="41"/>
      <c r="AD58" s="41"/>
      <c r="AE58" s="41"/>
      <c r="AF58" s="41"/>
      <c r="AG58" s="41"/>
      <c r="AH58" s="41"/>
      <c r="AI58" s="41"/>
      <c r="AR58" s="55"/>
      <c r="AS58" s="55"/>
      <c r="AT58" s="55"/>
      <c r="AU58" s="55"/>
      <c r="AV58" s="55"/>
      <c r="AW58" s="55"/>
      <c r="AX58" s="55"/>
      <c r="AY58" s="55"/>
      <c r="AZ58" s="62" t="e">
        <f t="shared" si="1"/>
        <v>#VALUE!</v>
      </c>
      <c r="BA58" s="62" t="e">
        <f t="shared" si="2"/>
        <v>#VALUE!</v>
      </c>
      <c r="BB58" s="62" t="e">
        <f t="shared" si="3"/>
        <v>#VALUE!</v>
      </c>
      <c r="BC58" s="62" t="e">
        <f t="shared" si="4"/>
        <v>#VALUE!</v>
      </c>
      <c r="BD58" s="62" t="e">
        <f t="shared" si="5"/>
        <v>#VALUE!</v>
      </c>
      <c r="BE58" s="62" t="e">
        <f t="shared" si="6"/>
        <v>#VALUE!</v>
      </c>
      <c r="BF58" s="62" t="e">
        <f t="shared" si="7"/>
        <v>#VALUE!</v>
      </c>
      <c r="BG58" s="62" t="e">
        <f t="shared" si="8"/>
        <v>#VALUE!</v>
      </c>
      <c r="BH58" s="61" t="e">
        <f t="shared" si="9"/>
        <v>#VALUE!</v>
      </c>
      <c r="BI58" s="61" t="e">
        <f t="shared" si="10"/>
        <v>#VALUE!</v>
      </c>
      <c r="BJ58" s="61" t="e">
        <f t="shared" si="11"/>
        <v>#VALUE!</v>
      </c>
      <c r="BK58" s="61" t="e">
        <f t="shared" si="12"/>
        <v>#VALUE!</v>
      </c>
      <c r="BL58" s="61" t="e">
        <f t="shared" si="13"/>
        <v>#VALUE!</v>
      </c>
      <c r="BM58" s="61" t="e">
        <f t="shared" si="14"/>
        <v>#VALUE!</v>
      </c>
      <c r="BN58" s="61" t="e">
        <f t="shared" si="15"/>
        <v>#VALUE!</v>
      </c>
      <c r="BO58" s="61" t="e">
        <f t="shared" si="16"/>
        <v>#VALUE!</v>
      </c>
      <c r="BP58" s="61">
        <f t="shared" si="17"/>
        <v>1</v>
      </c>
      <c r="BQ58" s="61">
        <f t="shared" si="18"/>
        <v>100</v>
      </c>
      <c r="BR58" s="61">
        <f t="shared" si="19"/>
        <v>198</v>
      </c>
      <c r="BS58" s="61">
        <f t="shared" si="20"/>
        <v>100</v>
      </c>
      <c r="BT58" s="61">
        <f t="shared" si="21"/>
        <v>83</v>
      </c>
      <c r="BU58" s="61">
        <f t="shared" si="22"/>
        <v>100</v>
      </c>
      <c r="BV58" s="61">
        <f t="shared" si="23"/>
        <v>17</v>
      </c>
      <c r="BW58" s="61">
        <f t="shared" si="24"/>
        <v>100</v>
      </c>
    </row>
    <row r="59" spans="1:75" ht="15.75">
      <c r="A59" s="2" t="s">
        <v>103</v>
      </c>
      <c r="B59" s="5" t="s">
        <v>104</v>
      </c>
      <c r="C59" s="3" t="s">
        <v>31</v>
      </c>
      <c r="D59" s="4" t="s">
        <v>31</v>
      </c>
      <c r="E59" s="3" t="s">
        <v>31</v>
      </c>
      <c r="F59" s="4" t="s">
        <v>31</v>
      </c>
      <c r="G59" s="3" t="s">
        <v>31</v>
      </c>
      <c r="H59" s="4" t="s">
        <v>31</v>
      </c>
      <c r="I59" s="3" t="s">
        <v>31</v>
      </c>
      <c r="J59" s="4" t="s">
        <v>31</v>
      </c>
      <c r="K59" s="3" t="s">
        <v>31</v>
      </c>
      <c r="L59" s="4" t="s">
        <v>31</v>
      </c>
      <c r="M59" s="3" t="s">
        <v>31</v>
      </c>
      <c r="N59" s="4" t="s">
        <v>31</v>
      </c>
      <c r="O59" s="3" t="s">
        <v>31</v>
      </c>
      <c r="P59" s="4" t="s">
        <v>31</v>
      </c>
      <c r="Q59" s="3" t="s">
        <v>31</v>
      </c>
      <c r="R59" s="4" t="s">
        <v>31</v>
      </c>
      <c r="S59" s="3">
        <v>1</v>
      </c>
      <c r="T59" s="4">
        <v>100</v>
      </c>
      <c r="U59" s="3">
        <v>198</v>
      </c>
      <c r="V59" s="4">
        <v>100</v>
      </c>
      <c r="W59" s="3">
        <v>83</v>
      </c>
      <c r="X59" s="4">
        <v>100</v>
      </c>
      <c r="Y59" s="3">
        <v>17</v>
      </c>
      <c r="Z59" s="4">
        <v>100</v>
      </c>
      <c r="AB59" s="40"/>
      <c r="AC59" s="41"/>
      <c r="AD59" s="41"/>
      <c r="AE59" s="41"/>
      <c r="AF59" s="41"/>
      <c r="AG59" s="41"/>
      <c r="AH59" s="41"/>
      <c r="AI59" s="41"/>
      <c r="AZ59" s="62" t="e">
        <f t="shared" si="1"/>
        <v>#VALUE!</v>
      </c>
      <c r="BA59" s="62" t="e">
        <f t="shared" si="2"/>
        <v>#VALUE!</v>
      </c>
      <c r="BB59" s="62" t="e">
        <f t="shared" si="3"/>
        <v>#VALUE!</v>
      </c>
      <c r="BC59" s="62" t="e">
        <f t="shared" si="4"/>
        <v>#VALUE!</v>
      </c>
      <c r="BD59" s="62" t="e">
        <f t="shared" si="5"/>
        <v>#VALUE!</v>
      </c>
      <c r="BE59" s="62" t="e">
        <f t="shared" si="6"/>
        <v>#VALUE!</v>
      </c>
      <c r="BF59" s="62" t="e">
        <f t="shared" si="7"/>
        <v>#VALUE!</v>
      </c>
      <c r="BG59" s="62" t="e">
        <f t="shared" si="8"/>
        <v>#VALUE!</v>
      </c>
      <c r="BH59" s="61" t="e">
        <f t="shared" si="9"/>
        <v>#VALUE!</v>
      </c>
      <c r="BI59" s="61" t="e">
        <f t="shared" si="10"/>
        <v>#VALUE!</v>
      </c>
      <c r="BJ59" s="61" t="e">
        <f t="shared" si="11"/>
        <v>#VALUE!</v>
      </c>
      <c r="BK59" s="61" t="e">
        <f t="shared" si="12"/>
        <v>#VALUE!</v>
      </c>
      <c r="BL59" s="61" t="e">
        <f t="shared" si="13"/>
        <v>#VALUE!</v>
      </c>
      <c r="BM59" s="61" t="e">
        <f t="shared" si="14"/>
        <v>#VALUE!</v>
      </c>
      <c r="BN59" s="61" t="e">
        <f t="shared" si="15"/>
        <v>#VALUE!</v>
      </c>
      <c r="BO59" s="61" t="e">
        <f t="shared" si="16"/>
        <v>#VALUE!</v>
      </c>
      <c r="BP59" s="61">
        <f t="shared" si="17"/>
        <v>1</v>
      </c>
      <c r="BQ59" s="61">
        <f t="shared" si="18"/>
        <v>100</v>
      </c>
      <c r="BR59" s="61">
        <f t="shared" si="19"/>
        <v>198</v>
      </c>
      <c r="BS59" s="61">
        <f t="shared" si="20"/>
        <v>100</v>
      </c>
      <c r="BT59" s="61">
        <f t="shared" si="21"/>
        <v>83</v>
      </c>
      <c r="BU59" s="61">
        <f t="shared" si="22"/>
        <v>100</v>
      </c>
      <c r="BV59" s="61">
        <f t="shared" si="23"/>
        <v>17</v>
      </c>
      <c r="BW59" s="61">
        <f t="shared" si="24"/>
        <v>100</v>
      </c>
    </row>
    <row r="60" spans="1:75" s="19" customFormat="1" ht="26.25">
      <c r="A60" s="15" t="s">
        <v>134</v>
      </c>
      <c r="B60" s="16" t="s">
        <v>105</v>
      </c>
      <c r="C60" s="17">
        <v>2</v>
      </c>
      <c r="D60" s="18">
        <v>100</v>
      </c>
      <c r="E60" s="17">
        <v>151</v>
      </c>
      <c r="F60" s="18">
        <v>100</v>
      </c>
      <c r="G60" s="17">
        <v>207</v>
      </c>
      <c r="H60" s="18">
        <v>100</v>
      </c>
      <c r="I60" s="17">
        <v>1028</v>
      </c>
      <c r="J60" s="18">
        <v>100</v>
      </c>
      <c r="K60" s="17" t="s">
        <v>31</v>
      </c>
      <c r="L60" s="18" t="s">
        <v>31</v>
      </c>
      <c r="M60" s="17" t="s">
        <v>31</v>
      </c>
      <c r="N60" s="18" t="s">
        <v>31</v>
      </c>
      <c r="O60" s="17" t="s">
        <v>31</v>
      </c>
      <c r="P60" s="18" t="s">
        <v>31</v>
      </c>
      <c r="Q60" s="17" t="s">
        <v>31</v>
      </c>
      <c r="R60" s="18" t="s">
        <v>31</v>
      </c>
      <c r="S60" s="17" t="s">
        <v>31</v>
      </c>
      <c r="T60" s="18" t="s">
        <v>31</v>
      </c>
      <c r="U60" s="17" t="s">
        <v>31</v>
      </c>
      <c r="V60" s="18" t="s">
        <v>31</v>
      </c>
      <c r="W60" s="17" t="s">
        <v>31</v>
      </c>
      <c r="X60" s="18" t="s">
        <v>31</v>
      </c>
      <c r="Y60" s="17" t="s">
        <v>31</v>
      </c>
      <c r="Z60" s="18" t="s">
        <v>31</v>
      </c>
      <c r="AB60" s="42">
        <v>2</v>
      </c>
      <c r="AC60" s="43">
        <v>100</v>
      </c>
      <c r="AD60" s="43">
        <v>151</v>
      </c>
      <c r="AE60" s="43">
        <v>100</v>
      </c>
      <c r="AF60" s="43">
        <v>207</v>
      </c>
      <c r="AG60" s="43">
        <v>100</v>
      </c>
      <c r="AH60" s="43">
        <v>1028</v>
      </c>
      <c r="AI60" s="43">
        <v>100</v>
      </c>
      <c r="AR60" s="55"/>
      <c r="AS60" s="55"/>
      <c r="AT60" s="55"/>
      <c r="AU60" s="55"/>
      <c r="AV60" s="55"/>
      <c r="AW60" s="55"/>
      <c r="AX60" s="55"/>
      <c r="AY60" s="55"/>
      <c r="AZ60" s="62">
        <f t="shared" si="1"/>
        <v>0</v>
      </c>
      <c r="BA60" s="62">
        <f t="shared" si="2"/>
        <v>0</v>
      </c>
      <c r="BB60" s="62">
        <f t="shared" si="3"/>
        <v>0</v>
      </c>
      <c r="BC60" s="62">
        <f t="shared" si="4"/>
        <v>0</v>
      </c>
      <c r="BD60" s="62">
        <f t="shared" si="5"/>
        <v>0</v>
      </c>
      <c r="BE60" s="62">
        <f t="shared" si="6"/>
        <v>0</v>
      </c>
      <c r="BF60" s="62">
        <f t="shared" si="7"/>
        <v>0</v>
      </c>
      <c r="BG60" s="62">
        <f t="shared" si="8"/>
        <v>0</v>
      </c>
      <c r="BH60" s="61" t="e">
        <f t="shared" si="9"/>
        <v>#VALUE!</v>
      </c>
      <c r="BI60" s="61" t="e">
        <f t="shared" si="10"/>
        <v>#VALUE!</v>
      </c>
      <c r="BJ60" s="61" t="e">
        <f t="shared" si="11"/>
        <v>#VALUE!</v>
      </c>
      <c r="BK60" s="61" t="e">
        <f t="shared" si="12"/>
        <v>#VALUE!</v>
      </c>
      <c r="BL60" s="61" t="e">
        <f t="shared" si="13"/>
        <v>#VALUE!</v>
      </c>
      <c r="BM60" s="61" t="e">
        <f t="shared" si="14"/>
        <v>#VALUE!</v>
      </c>
      <c r="BN60" s="61" t="e">
        <f t="shared" si="15"/>
        <v>#VALUE!</v>
      </c>
      <c r="BO60" s="61" t="e">
        <f t="shared" si="16"/>
        <v>#VALUE!</v>
      </c>
      <c r="BP60" s="61" t="e">
        <f t="shared" si="17"/>
        <v>#VALUE!</v>
      </c>
      <c r="BQ60" s="61" t="e">
        <f t="shared" si="18"/>
        <v>#VALUE!</v>
      </c>
      <c r="BR60" s="61" t="e">
        <f t="shared" si="19"/>
        <v>#VALUE!</v>
      </c>
      <c r="BS60" s="61" t="e">
        <f t="shared" si="20"/>
        <v>#VALUE!</v>
      </c>
      <c r="BT60" s="61" t="e">
        <f t="shared" si="21"/>
        <v>#VALUE!</v>
      </c>
      <c r="BU60" s="61" t="e">
        <f t="shared" si="22"/>
        <v>#VALUE!</v>
      </c>
      <c r="BV60" s="61" t="e">
        <f t="shared" si="23"/>
        <v>#VALUE!</v>
      </c>
      <c r="BW60" s="61" t="e">
        <f t="shared" si="24"/>
        <v>#VALUE!</v>
      </c>
    </row>
    <row r="61" spans="1:75" ht="26.25">
      <c r="A61" s="2" t="s">
        <v>106</v>
      </c>
      <c r="B61" s="5" t="s">
        <v>107</v>
      </c>
      <c r="C61" s="3">
        <v>2</v>
      </c>
      <c r="D61" s="4">
        <v>100</v>
      </c>
      <c r="E61" s="3">
        <v>151</v>
      </c>
      <c r="F61" s="4">
        <v>100</v>
      </c>
      <c r="G61" s="3">
        <v>207</v>
      </c>
      <c r="H61" s="4">
        <v>100</v>
      </c>
      <c r="I61" s="3">
        <v>1028</v>
      </c>
      <c r="J61" s="4">
        <v>100</v>
      </c>
      <c r="K61" s="3" t="s">
        <v>31</v>
      </c>
      <c r="L61" s="4" t="s">
        <v>31</v>
      </c>
      <c r="M61" s="3" t="s">
        <v>31</v>
      </c>
      <c r="N61" s="4" t="s">
        <v>31</v>
      </c>
      <c r="O61" s="3" t="s">
        <v>31</v>
      </c>
      <c r="P61" s="4" t="s">
        <v>31</v>
      </c>
      <c r="Q61" s="3" t="s">
        <v>31</v>
      </c>
      <c r="R61" s="4" t="s">
        <v>31</v>
      </c>
      <c r="S61" s="3" t="s">
        <v>31</v>
      </c>
      <c r="T61" s="4" t="s">
        <v>31</v>
      </c>
      <c r="U61" s="3" t="s">
        <v>31</v>
      </c>
      <c r="V61" s="4" t="s">
        <v>31</v>
      </c>
      <c r="W61" s="3" t="s">
        <v>31</v>
      </c>
      <c r="X61" s="4" t="s">
        <v>31</v>
      </c>
      <c r="Y61" s="3" t="s">
        <v>31</v>
      </c>
      <c r="Z61" s="4" t="s">
        <v>31</v>
      </c>
      <c r="AB61" s="49">
        <v>2</v>
      </c>
      <c r="AC61" s="51">
        <v>100</v>
      </c>
      <c r="AD61" s="51">
        <v>151</v>
      </c>
      <c r="AE61" s="51">
        <v>100</v>
      </c>
      <c r="AF61" s="51">
        <v>207</v>
      </c>
      <c r="AG61" s="51">
        <v>100</v>
      </c>
      <c r="AH61" s="51">
        <v>1028</v>
      </c>
      <c r="AI61" s="51">
        <v>100</v>
      </c>
      <c r="AZ61" s="62">
        <f t="shared" si="1"/>
        <v>0</v>
      </c>
      <c r="BA61" s="62">
        <f t="shared" si="2"/>
        <v>0</v>
      </c>
      <c r="BB61" s="62">
        <f t="shared" si="3"/>
        <v>0</v>
      </c>
      <c r="BC61" s="62">
        <f t="shared" si="4"/>
        <v>0</v>
      </c>
      <c r="BD61" s="62">
        <f t="shared" si="5"/>
        <v>0</v>
      </c>
      <c r="BE61" s="62">
        <f t="shared" si="6"/>
        <v>0</v>
      </c>
      <c r="BF61" s="62">
        <f t="shared" si="7"/>
        <v>0</v>
      </c>
      <c r="BG61" s="62">
        <f t="shared" si="8"/>
        <v>0</v>
      </c>
      <c r="BH61" s="61" t="e">
        <f t="shared" si="9"/>
        <v>#VALUE!</v>
      </c>
      <c r="BI61" s="61" t="e">
        <f t="shared" si="10"/>
        <v>#VALUE!</v>
      </c>
      <c r="BJ61" s="61" t="e">
        <f t="shared" si="11"/>
        <v>#VALUE!</v>
      </c>
      <c r="BK61" s="61" t="e">
        <f t="shared" si="12"/>
        <v>#VALUE!</v>
      </c>
      <c r="BL61" s="61" t="e">
        <f t="shared" si="13"/>
        <v>#VALUE!</v>
      </c>
      <c r="BM61" s="61" t="e">
        <f t="shared" si="14"/>
        <v>#VALUE!</v>
      </c>
      <c r="BN61" s="61" t="e">
        <f t="shared" si="15"/>
        <v>#VALUE!</v>
      </c>
      <c r="BO61" s="61" t="e">
        <f t="shared" si="16"/>
        <v>#VALUE!</v>
      </c>
      <c r="BP61" s="61" t="e">
        <f t="shared" si="17"/>
        <v>#VALUE!</v>
      </c>
      <c r="BQ61" s="61" t="e">
        <f t="shared" si="18"/>
        <v>#VALUE!</v>
      </c>
      <c r="BR61" s="61" t="e">
        <f t="shared" si="19"/>
        <v>#VALUE!</v>
      </c>
      <c r="BS61" s="61" t="e">
        <f t="shared" si="20"/>
        <v>#VALUE!</v>
      </c>
      <c r="BT61" s="61" t="e">
        <f t="shared" si="21"/>
        <v>#VALUE!</v>
      </c>
      <c r="BU61" s="61" t="e">
        <f t="shared" si="22"/>
        <v>#VALUE!</v>
      </c>
      <c r="BV61" s="61" t="e">
        <f t="shared" si="23"/>
        <v>#VALUE!</v>
      </c>
      <c r="BW61" s="61" t="e">
        <f t="shared" si="24"/>
        <v>#VALUE!</v>
      </c>
    </row>
    <row r="62" spans="1:75" s="19" customFormat="1" ht="39">
      <c r="A62" s="15" t="s">
        <v>135</v>
      </c>
      <c r="B62" s="16" t="s">
        <v>108</v>
      </c>
      <c r="C62" s="17">
        <v>2</v>
      </c>
      <c r="D62" s="18">
        <v>66.7</v>
      </c>
      <c r="E62" s="17">
        <v>85</v>
      </c>
      <c r="F62" s="18">
        <v>58.6</v>
      </c>
      <c r="G62" s="17" t="s">
        <v>31</v>
      </c>
      <c r="H62" s="18" t="s">
        <v>31</v>
      </c>
      <c r="I62" s="17">
        <v>2</v>
      </c>
      <c r="J62" s="18">
        <v>3.3</v>
      </c>
      <c r="K62" s="17" t="s">
        <v>31</v>
      </c>
      <c r="L62" s="18" t="s">
        <v>31</v>
      </c>
      <c r="M62" s="17" t="s">
        <v>31</v>
      </c>
      <c r="N62" s="18" t="s">
        <v>31</v>
      </c>
      <c r="O62" s="17" t="s">
        <v>31</v>
      </c>
      <c r="P62" s="18" t="s">
        <v>31</v>
      </c>
      <c r="Q62" s="17" t="s">
        <v>31</v>
      </c>
      <c r="R62" s="18" t="s">
        <v>31</v>
      </c>
      <c r="S62" s="17">
        <v>1</v>
      </c>
      <c r="T62" s="18">
        <v>33.299999999999997</v>
      </c>
      <c r="U62" s="17">
        <v>60</v>
      </c>
      <c r="V62" s="18">
        <v>41.4</v>
      </c>
      <c r="W62" s="17">
        <v>13</v>
      </c>
      <c r="X62" s="18">
        <v>100</v>
      </c>
      <c r="Y62" s="17">
        <v>58</v>
      </c>
      <c r="Z62" s="18">
        <v>96.7</v>
      </c>
      <c r="AB62" s="42">
        <v>2</v>
      </c>
      <c r="AC62" s="43">
        <v>66.7</v>
      </c>
      <c r="AD62" s="43">
        <v>85</v>
      </c>
      <c r="AE62" s="43">
        <v>58.6</v>
      </c>
      <c r="AF62" s="43" t="s">
        <v>31</v>
      </c>
      <c r="AG62" s="43" t="s">
        <v>31</v>
      </c>
      <c r="AH62" s="43">
        <v>2</v>
      </c>
      <c r="AI62" s="43">
        <v>3.3</v>
      </c>
      <c r="AR62" s="55"/>
      <c r="AS62" s="55"/>
      <c r="AT62" s="55"/>
      <c r="AU62" s="55"/>
      <c r="AV62" s="55"/>
      <c r="AW62" s="55"/>
      <c r="AX62" s="55"/>
      <c r="AY62" s="55"/>
      <c r="AZ62" s="62">
        <f t="shared" si="1"/>
        <v>0</v>
      </c>
      <c r="BA62" s="62">
        <f t="shared" si="2"/>
        <v>0</v>
      </c>
      <c r="BB62" s="62">
        <f t="shared" si="3"/>
        <v>0</v>
      </c>
      <c r="BC62" s="62">
        <f t="shared" si="4"/>
        <v>0</v>
      </c>
      <c r="BD62" s="62" t="e">
        <f t="shared" si="5"/>
        <v>#VALUE!</v>
      </c>
      <c r="BE62" s="62" t="e">
        <f t="shared" si="6"/>
        <v>#VALUE!</v>
      </c>
      <c r="BF62" s="62">
        <f t="shared" si="7"/>
        <v>0</v>
      </c>
      <c r="BG62" s="62">
        <f t="shared" si="8"/>
        <v>0</v>
      </c>
      <c r="BH62" s="61" t="e">
        <f t="shared" si="9"/>
        <v>#VALUE!</v>
      </c>
      <c r="BI62" s="61" t="e">
        <f t="shared" si="10"/>
        <v>#VALUE!</v>
      </c>
      <c r="BJ62" s="61" t="e">
        <f t="shared" si="11"/>
        <v>#VALUE!</v>
      </c>
      <c r="BK62" s="61" t="e">
        <f t="shared" si="12"/>
        <v>#VALUE!</v>
      </c>
      <c r="BL62" s="61" t="e">
        <f t="shared" si="13"/>
        <v>#VALUE!</v>
      </c>
      <c r="BM62" s="61" t="e">
        <f t="shared" si="14"/>
        <v>#VALUE!</v>
      </c>
      <c r="BN62" s="61" t="e">
        <f t="shared" si="15"/>
        <v>#VALUE!</v>
      </c>
      <c r="BO62" s="61" t="e">
        <f t="shared" si="16"/>
        <v>#VALUE!</v>
      </c>
      <c r="BP62" s="61">
        <f t="shared" si="17"/>
        <v>1</v>
      </c>
      <c r="BQ62" s="61">
        <f t="shared" si="18"/>
        <v>33.299999999999997</v>
      </c>
      <c r="BR62" s="61">
        <f t="shared" si="19"/>
        <v>60</v>
      </c>
      <c r="BS62" s="61">
        <f t="shared" si="20"/>
        <v>41.4</v>
      </c>
      <c r="BT62" s="61">
        <f t="shared" si="21"/>
        <v>13</v>
      </c>
      <c r="BU62" s="61">
        <f t="shared" si="22"/>
        <v>100</v>
      </c>
      <c r="BV62" s="61">
        <f t="shared" si="23"/>
        <v>58</v>
      </c>
      <c r="BW62" s="61">
        <f t="shared" si="24"/>
        <v>96.7</v>
      </c>
    </row>
    <row r="63" spans="1:75" ht="15.75">
      <c r="A63" s="2" t="s">
        <v>109</v>
      </c>
      <c r="B63" s="5" t="s">
        <v>110</v>
      </c>
      <c r="C63" s="3">
        <v>2</v>
      </c>
      <c r="D63" s="4">
        <v>66.7</v>
      </c>
      <c r="E63" s="3">
        <v>85</v>
      </c>
      <c r="F63" s="4">
        <v>58.6</v>
      </c>
      <c r="G63" s="3" t="s">
        <v>31</v>
      </c>
      <c r="H63" s="4" t="s">
        <v>31</v>
      </c>
      <c r="I63" s="3">
        <v>2</v>
      </c>
      <c r="J63" s="4">
        <v>3.3</v>
      </c>
      <c r="K63" s="3" t="s">
        <v>31</v>
      </c>
      <c r="L63" s="4" t="s">
        <v>31</v>
      </c>
      <c r="M63" s="3" t="s">
        <v>31</v>
      </c>
      <c r="N63" s="4" t="s">
        <v>31</v>
      </c>
      <c r="O63" s="3" t="s">
        <v>31</v>
      </c>
      <c r="P63" s="4" t="s">
        <v>31</v>
      </c>
      <c r="Q63" s="3" t="s">
        <v>31</v>
      </c>
      <c r="R63" s="4" t="s">
        <v>31</v>
      </c>
      <c r="S63" s="3">
        <v>1</v>
      </c>
      <c r="T63" s="4">
        <v>33.299999999999997</v>
      </c>
      <c r="U63" s="3">
        <v>60</v>
      </c>
      <c r="V63" s="4">
        <v>41.4</v>
      </c>
      <c r="W63" s="3">
        <v>13</v>
      </c>
      <c r="X63" s="4">
        <v>100</v>
      </c>
      <c r="Y63" s="3">
        <v>58</v>
      </c>
      <c r="Z63" s="4">
        <v>96.7</v>
      </c>
      <c r="AB63" s="40">
        <v>2</v>
      </c>
      <c r="AC63" s="41">
        <v>66.7</v>
      </c>
      <c r="AD63" s="41">
        <v>85</v>
      </c>
      <c r="AE63" s="41">
        <v>58.6</v>
      </c>
      <c r="AF63" s="41" t="s">
        <v>31</v>
      </c>
      <c r="AG63" s="41" t="s">
        <v>31</v>
      </c>
      <c r="AH63" s="41">
        <v>2</v>
      </c>
      <c r="AI63" s="41">
        <v>3.3</v>
      </c>
      <c r="AZ63" s="62">
        <f t="shared" si="1"/>
        <v>0</v>
      </c>
      <c r="BA63" s="62">
        <f t="shared" si="2"/>
        <v>0</v>
      </c>
      <c r="BB63" s="62">
        <f t="shared" si="3"/>
        <v>0</v>
      </c>
      <c r="BC63" s="62">
        <f t="shared" si="4"/>
        <v>0</v>
      </c>
      <c r="BD63" s="62" t="e">
        <f t="shared" si="5"/>
        <v>#VALUE!</v>
      </c>
      <c r="BE63" s="62" t="e">
        <f t="shared" si="6"/>
        <v>#VALUE!</v>
      </c>
      <c r="BF63" s="62">
        <f t="shared" si="7"/>
        <v>0</v>
      </c>
      <c r="BG63" s="62">
        <f t="shared" si="8"/>
        <v>0</v>
      </c>
      <c r="BH63" s="61" t="e">
        <f t="shared" si="9"/>
        <v>#VALUE!</v>
      </c>
      <c r="BI63" s="61" t="e">
        <f t="shared" si="10"/>
        <v>#VALUE!</v>
      </c>
      <c r="BJ63" s="61" t="e">
        <f t="shared" si="11"/>
        <v>#VALUE!</v>
      </c>
      <c r="BK63" s="61" t="e">
        <f t="shared" si="12"/>
        <v>#VALUE!</v>
      </c>
      <c r="BL63" s="61" t="e">
        <f t="shared" si="13"/>
        <v>#VALUE!</v>
      </c>
      <c r="BM63" s="61" t="e">
        <f t="shared" si="14"/>
        <v>#VALUE!</v>
      </c>
      <c r="BN63" s="61" t="e">
        <f t="shared" si="15"/>
        <v>#VALUE!</v>
      </c>
      <c r="BO63" s="61" t="e">
        <f t="shared" si="16"/>
        <v>#VALUE!</v>
      </c>
      <c r="BP63" s="61">
        <f t="shared" si="17"/>
        <v>1</v>
      </c>
      <c r="BQ63" s="61">
        <f t="shared" si="18"/>
        <v>33.299999999999997</v>
      </c>
      <c r="BR63" s="61">
        <f t="shared" si="19"/>
        <v>60</v>
      </c>
      <c r="BS63" s="61">
        <f t="shared" si="20"/>
        <v>41.4</v>
      </c>
      <c r="BT63" s="61">
        <f t="shared" si="21"/>
        <v>13</v>
      </c>
      <c r="BU63" s="61">
        <f t="shared" si="22"/>
        <v>100</v>
      </c>
      <c r="BV63" s="61">
        <f t="shared" si="23"/>
        <v>58</v>
      </c>
      <c r="BW63" s="61">
        <f t="shared" si="24"/>
        <v>96.7</v>
      </c>
    </row>
    <row r="64" spans="1:75" s="19" customFormat="1" ht="15.75">
      <c r="A64" s="20" t="s">
        <v>136</v>
      </c>
      <c r="B64" s="21" t="s">
        <v>111</v>
      </c>
      <c r="C64" s="22">
        <v>4</v>
      </c>
      <c r="D64" s="23">
        <v>44.5</v>
      </c>
      <c r="E64" s="22">
        <v>12246</v>
      </c>
      <c r="F64" s="23">
        <v>77</v>
      </c>
      <c r="G64" s="22">
        <v>18017</v>
      </c>
      <c r="H64" s="23">
        <v>28.7</v>
      </c>
      <c r="I64" s="22">
        <v>5512</v>
      </c>
      <c r="J64" s="23">
        <v>0.9</v>
      </c>
      <c r="K64" s="22">
        <v>2</v>
      </c>
      <c r="L64" s="23">
        <v>22.2</v>
      </c>
      <c r="M64" s="22">
        <v>962</v>
      </c>
      <c r="N64" s="23">
        <v>6.1</v>
      </c>
      <c r="O64" s="22">
        <v>31209</v>
      </c>
      <c r="P64" s="23">
        <v>49.8</v>
      </c>
      <c r="Q64" s="22">
        <v>62</v>
      </c>
      <c r="R64" s="23">
        <v>0</v>
      </c>
      <c r="S64" s="22">
        <v>3</v>
      </c>
      <c r="T64" s="23">
        <v>33.299999999999997</v>
      </c>
      <c r="U64" s="22">
        <v>2686</v>
      </c>
      <c r="V64" s="23">
        <v>16.899999999999999</v>
      </c>
      <c r="W64" s="22">
        <v>13474</v>
      </c>
      <c r="X64" s="23">
        <v>21.5</v>
      </c>
      <c r="Y64" s="22">
        <v>584764</v>
      </c>
      <c r="Z64" s="23">
        <v>99.1</v>
      </c>
      <c r="AB64" s="40">
        <v>4</v>
      </c>
      <c r="AC64" s="41">
        <v>44.5</v>
      </c>
      <c r="AD64" s="41">
        <v>12246</v>
      </c>
      <c r="AE64" s="41">
        <v>77</v>
      </c>
      <c r="AF64" s="41">
        <v>18017</v>
      </c>
      <c r="AG64" s="41">
        <v>28.7</v>
      </c>
      <c r="AH64" s="41">
        <v>5512</v>
      </c>
      <c r="AI64" s="41">
        <v>0.9</v>
      </c>
      <c r="AR64" s="55"/>
      <c r="AS64" s="55"/>
      <c r="AT64" s="55"/>
      <c r="AU64" s="55"/>
      <c r="AV64" s="55"/>
      <c r="AW64" s="55"/>
      <c r="AX64" s="55"/>
      <c r="AY64" s="55"/>
      <c r="AZ64" s="62">
        <f t="shared" si="1"/>
        <v>0</v>
      </c>
      <c r="BA64" s="62">
        <f t="shared" si="2"/>
        <v>0</v>
      </c>
      <c r="BB64" s="62">
        <f t="shared" si="3"/>
        <v>0</v>
      </c>
      <c r="BC64" s="62">
        <f t="shared" si="4"/>
        <v>0</v>
      </c>
      <c r="BD64" s="62">
        <f t="shared" si="5"/>
        <v>0</v>
      </c>
      <c r="BE64" s="62">
        <f t="shared" si="6"/>
        <v>0</v>
      </c>
      <c r="BF64" s="62">
        <f t="shared" si="7"/>
        <v>0</v>
      </c>
      <c r="BG64" s="62">
        <f t="shared" si="8"/>
        <v>0</v>
      </c>
      <c r="BH64" s="61">
        <f t="shared" si="9"/>
        <v>2</v>
      </c>
      <c r="BI64" s="61">
        <f t="shared" si="10"/>
        <v>22.2</v>
      </c>
      <c r="BJ64" s="61">
        <f t="shared" si="11"/>
        <v>962</v>
      </c>
      <c r="BK64" s="61">
        <f t="shared" si="12"/>
        <v>6.1</v>
      </c>
      <c r="BL64" s="61">
        <f t="shared" si="13"/>
        <v>31209</v>
      </c>
      <c r="BM64" s="61">
        <f t="shared" si="14"/>
        <v>49.8</v>
      </c>
      <c r="BN64" s="61">
        <f t="shared" si="15"/>
        <v>62</v>
      </c>
      <c r="BO64" s="61">
        <f t="shared" si="16"/>
        <v>0</v>
      </c>
      <c r="BP64" s="61">
        <f t="shared" si="17"/>
        <v>3</v>
      </c>
      <c r="BQ64" s="61">
        <f t="shared" si="18"/>
        <v>33.299999999999997</v>
      </c>
      <c r="BR64" s="61">
        <f t="shared" si="19"/>
        <v>2686</v>
      </c>
      <c r="BS64" s="61">
        <f t="shared" si="20"/>
        <v>16.899999999999999</v>
      </c>
      <c r="BT64" s="61">
        <f t="shared" si="21"/>
        <v>13474</v>
      </c>
      <c r="BU64" s="61">
        <f t="shared" si="22"/>
        <v>21.5</v>
      </c>
      <c r="BV64" s="61">
        <f t="shared" si="23"/>
        <v>584764</v>
      </c>
      <c r="BW64" s="61">
        <f t="shared" si="24"/>
        <v>99.1</v>
      </c>
    </row>
    <row r="65" spans="1:75" ht="26.25">
      <c r="A65" s="2" t="s">
        <v>112</v>
      </c>
      <c r="B65" s="5" t="s">
        <v>113</v>
      </c>
      <c r="C65" s="3">
        <v>3</v>
      </c>
      <c r="D65" s="4">
        <v>42.9</v>
      </c>
      <c r="E65" s="3">
        <v>165</v>
      </c>
      <c r="F65" s="4">
        <v>4.5</v>
      </c>
      <c r="G65" s="3" t="s">
        <v>31</v>
      </c>
      <c r="H65" s="4" t="s">
        <v>31</v>
      </c>
      <c r="I65" s="3">
        <v>5512</v>
      </c>
      <c r="J65" s="4">
        <v>0.9</v>
      </c>
      <c r="K65" s="3">
        <v>1</v>
      </c>
      <c r="L65" s="4">
        <v>14.3</v>
      </c>
      <c r="M65" s="3">
        <v>792</v>
      </c>
      <c r="N65" s="4">
        <v>21.8</v>
      </c>
      <c r="O65" s="3">
        <v>31035</v>
      </c>
      <c r="P65" s="4">
        <v>69.7</v>
      </c>
      <c r="Q65" s="3">
        <v>60</v>
      </c>
      <c r="R65" s="4">
        <v>0</v>
      </c>
      <c r="S65" s="3">
        <v>3</v>
      </c>
      <c r="T65" s="4">
        <v>42.8</v>
      </c>
      <c r="U65" s="3">
        <v>2686</v>
      </c>
      <c r="V65" s="4">
        <v>73.7</v>
      </c>
      <c r="W65" s="3">
        <v>13474</v>
      </c>
      <c r="X65" s="4">
        <v>30.3</v>
      </c>
      <c r="Y65" s="3">
        <v>584764</v>
      </c>
      <c r="Z65" s="4">
        <v>99.1</v>
      </c>
      <c r="AB65" s="40">
        <v>3</v>
      </c>
      <c r="AC65" s="41">
        <v>42.9</v>
      </c>
      <c r="AD65" s="41">
        <v>165</v>
      </c>
      <c r="AE65" s="41">
        <v>4.5</v>
      </c>
      <c r="AF65" s="41" t="s">
        <v>31</v>
      </c>
      <c r="AG65" s="41" t="s">
        <v>31</v>
      </c>
      <c r="AH65" s="41">
        <v>5512</v>
      </c>
      <c r="AI65" s="41">
        <v>0.9</v>
      </c>
      <c r="AZ65" s="62">
        <f t="shared" si="1"/>
        <v>0</v>
      </c>
      <c r="BA65" s="62">
        <f t="shared" si="2"/>
        <v>0</v>
      </c>
      <c r="BB65" s="62">
        <f t="shared" si="3"/>
        <v>0</v>
      </c>
      <c r="BC65" s="62">
        <f t="shared" si="4"/>
        <v>0</v>
      </c>
      <c r="BD65" s="62" t="e">
        <f t="shared" si="5"/>
        <v>#VALUE!</v>
      </c>
      <c r="BE65" s="62" t="e">
        <f t="shared" si="6"/>
        <v>#VALUE!</v>
      </c>
      <c r="BF65" s="62">
        <f t="shared" si="7"/>
        <v>0</v>
      </c>
      <c r="BG65" s="62">
        <f t="shared" si="8"/>
        <v>0</v>
      </c>
      <c r="BH65" s="61">
        <f t="shared" si="9"/>
        <v>1</v>
      </c>
      <c r="BI65" s="61">
        <f t="shared" si="10"/>
        <v>14.3</v>
      </c>
      <c r="BJ65" s="61">
        <f t="shared" si="11"/>
        <v>792</v>
      </c>
      <c r="BK65" s="61">
        <f t="shared" si="12"/>
        <v>21.8</v>
      </c>
      <c r="BL65" s="61">
        <f t="shared" si="13"/>
        <v>31035</v>
      </c>
      <c r="BM65" s="61">
        <f t="shared" si="14"/>
        <v>69.7</v>
      </c>
      <c r="BN65" s="61">
        <f t="shared" si="15"/>
        <v>60</v>
      </c>
      <c r="BO65" s="61">
        <f t="shared" si="16"/>
        <v>0</v>
      </c>
      <c r="BP65" s="61">
        <f t="shared" si="17"/>
        <v>3</v>
      </c>
      <c r="BQ65" s="61">
        <f t="shared" si="18"/>
        <v>42.8</v>
      </c>
      <c r="BR65" s="61">
        <f t="shared" si="19"/>
        <v>2686</v>
      </c>
      <c r="BS65" s="61">
        <f t="shared" si="20"/>
        <v>73.7</v>
      </c>
      <c r="BT65" s="61">
        <f t="shared" si="21"/>
        <v>13474</v>
      </c>
      <c r="BU65" s="61">
        <f t="shared" si="22"/>
        <v>30.3</v>
      </c>
      <c r="BV65" s="61">
        <f t="shared" si="23"/>
        <v>584764</v>
      </c>
      <c r="BW65" s="61">
        <f t="shared" si="24"/>
        <v>99.1</v>
      </c>
    </row>
    <row r="66" spans="1:75" ht="26.25">
      <c r="A66" s="2" t="s">
        <v>114</v>
      </c>
      <c r="B66" s="5" t="s">
        <v>115</v>
      </c>
      <c r="C66" s="3">
        <v>1</v>
      </c>
      <c r="D66" s="4">
        <v>50</v>
      </c>
      <c r="E66" s="3">
        <v>12081</v>
      </c>
      <c r="F66" s="4">
        <v>98.6</v>
      </c>
      <c r="G66" s="3">
        <v>18017</v>
      </c>
      <c r="H66" s="4">
        <v>99</v>
      </c>
      <c r="I66" s="3" t="s">
        <v>31</v>
      </c>
      <c r="J66" s="4" t="s">
        <v>31</v>
      </c>
      <c r="K66" s="3">
        <v>1</v>
      </c>
      <c r="L66" s="4">
        <v>50</v>
      </c>
      <c r="M66" s="3">
        <v>170</v>
      </c>
      <c r="N66" s="4">
        <v>1.4</v>
      </c>
      <c r="O66" s="3">
        <v>174</v>
      </c>
      <c r="P66" s="4">
        <v>1</v>
      </c>
      <c r="Q66" s="3">
        <v>2</v>
      </c>
      <c r="R66" s="4">
        <v>100</v>
      </c>
      <c r="S66" s="3" t="s">
        <v>31</v>
      </c>
      <c r="T66" s="4" t="s">
        <v>31</v>
      </c>
      <c r="U66" s="3" t="s">
        <v>31</v>
      </c>
      <c r="V66" s="4" t="s">
        <v>31</v>
      </c>
      <c r="W66" s="3" t="s">
        <v>31</v>
      </c>
      <c r="X66" s="4" t="s">
        <v>31</v>
      </c>
      <c r="Y66" s="3" t="s">
        <v>31</v>
      </c>
      <c r="Z66" s="4" t="s">
        <v>31</v>
      </c>
      <c r="AB66" s="40">
        <v>1</v>
      </c>
      <c r="AC66" s="41">
        <v>50</v>
      </c>
      <c r="AD66" s="41">
        <v>12081</v>
      </c>
      <c r="AE66" s="41">
        <v>98.6</v>
      </c>
      <c r="AF66" s="41">
        <v>18017</v>
      </c>
      <c r="AG66" s="41">
        <v>99</v>
      </c>
      <c r="AH66" s="41" t="s">
        <v>31</v>
      </c>
      <c r="AI66" s="41" t="s">
        <v>31</v>
      </c>
      <c r="AZ66" s="62">
        <f t="shared" si="1"/>
        <v>0</v>
      </c>
      <c r="BA66" s="62">
        <f t="shared" si="2"/>
        <v>0</v>
      </c>
      <c r="BB66" s="62">
        <f t="shared" si="3"/>
        <v>0</v>
      </c>
      <c r="BC66" s="62">
        <f t="shared" si="4"/>
        <v>0</v>
      </c>
      <c r="BD66" s="62">
        <f t="shared" si="5"/>
        <v>0</v>
      </c>
      <c r="BE66" s="62">
        <f t="shared" si="6"/>
        <v>0</v>
      </c>
      <c r="BF66" s="62" t="e">
        <f t="shared" si="7"/>
        <v>#VALUE!</v>
      </c>
      <c r="BG66" s="62" t="e">
        <f t="shared" si="8"/>
        <v>#VALUE!</v>
      </c>
      <c r="BH66" s="61">
        <f t="shared" si="9"/>
        <v>1</v>
      </c>
      <c r="BI66" s="61">
        <f t="shared" si="10"/>
        <v>50</v>
      </c>
      <c r="BJ66" s="61">
        <f t="shared" si="11"/>
        <v>170</v>
      </c>
      <c r="BK66" s="61">
        <f t="shared" si="12"/>
        <v>1.4</v>
      </c>
      <c r="BL66" s="61">
        <f t="shared" si="13"/>
        <v>174</v>
      </c>
      <c r="BM66" s="61">
        <f t="shared" si="14"/>
        <v>1</v>
      </c>
      <c r="BN66" s="61">
        <f t="shared" si="15"/>
        <v>2</v>
      </c>
      <c r="BO66" s="61">
        <f t="shared" si="16"/>
        <v>100</v>
      </c>
      <c r="BP66" s="61" t="e">
        <f t="shared" si="17"/>
        <v>#VALUE!</v>
      </c>
      <c r="BQ66" s="61" t="e">
        <f t="shared" si="18"/>
        <v>#VALUE!</v>
      </c>
      <c r="BR66" s="61" t="e">
        <f t="shared" si="19"/>
        <v>#VALUE!</v>
      </c>
      <c r="BS66" s="61" t="e">
        <f t="shared" si="20"/>
        <v>#VALUE!</v>
      </c>
      <c r="BT66" s="61" t="e">
        <f t="shared" si="21"/>
        <v>#VALUE!</v>
      </c>
      <c r="BU66" s="61" t="e">
        <f t="shared" si="22"/>
        <v>#VALUE!</v>
      </c>
      <c r="BV66" s="61" t="e">
        <f t="shared" si="23"/>
        <v>#VALUE!</v>
      </c>
      <c r="BW66" s="61" t="e">
        <f t="shared" si="24"/>
        <v>#VALUE!</v>
      </c>
    </row>
    <row r="67" spans="1:75" ht="15.75">
      <c r="AB67" s="49">
        <v>3</v>
      </c>
      <c r="AC67" s="50">
        <v>44.5</v>
      </c>
      <c r="AD67" s="50">
        <v>12246</v>
      </c>
      <c r="AE67" s="50">
        <v>77</v>
      </c>
      <c r="AF67" s="50">
        <v>18017</v>
      </c>
      <c r="AG67" s="50">
        <v>28.7</v>
      </c>
      <c r="AH67" s="50">
        <v>5512</v>
      </c>
      <c r="AI67" s="50">
        <v>0.9</v>
      </c>
    </row>
    <row r="68" spans="1:75" ht="15.75">
      <c r="AB68" s="49">
        <v>1</v>
      </c>
      <c r="AC68" s="50">
        <v>42.9</v>
      </c>
      <c r="AD68" s="50">
        <v>165</v>
      </c>
      <c r="AE68" s="50">
        <v>4.5</v>
      </c>
      <c r="AF68" s="50" t="s">
        <v>31</v>
      </c>
      <c r="AG68" s="50" t="s">
        <v>31</v>
      </c>
      <c r="AH68" s="50">
        <v>5512</v>
      </c>
      <c r="AI68" s="50">
        <v>0.9</v>
      </c>
    </row>
    <row r="69" spans="1:75" ht="15.75">
      <c r="AC69" s="50">
        <v>50</v>
      </c>
      <c r="AD69" s="50">
        <v>12081</v>
      </c>
      <c r="AE69" s="50">
        <v>98.6</v>
      </c>
      <c r="AF69" s="50">
        <v>18017</v>
      </c>
      <c r="AG69" s="50">
        <v>99</v>
      </c>
      <c r="AH69" s="50" t="s">
        <v>31</v>
      </c>
      <c r="AI69" s="50" t="s">
        <v>31</v>
      </c>
    </row>
    <row r="70" spans="1:75">
      <c r="AB70" s="46"/>
    </row>
    <row r="71" spans="1:75">
      <c r="AC71" s="46"/>
      <c r="AD71" s="46"/>
      <c r="AE71" s="46"/>
      <c r="AF71" s="46"/>
      <c r="AG71" s="46"/>
      <c r="AH71" s="46"/>
      <c r="AI71" s="46"/>
    </row>
    <row r="72" spans="1:75">
      <c r="AB72" s="46"/>
    </row>
    <row r="73" spans="1:75">
      <c r="AC73" s="46"/>
      <c r="AD73" s="46"/>
      <c r="AE73" s="46"/>
      <c r="AF73" s="46"/>
      <c r="AG73" s="46"/>
      <c r="AH73" s="46"/>
      <c r="AI73" s="46"/>
    </row>
    <row r="74" spans="1:75">
      <c r="AB74" s="46"/>
    </row>
    <row r="75" spans="1:75">
      <c r="AC75" s="46"/>
      <c r="AD75" s="46"/>
      <c r="AE75" s="46"/>
      <c r="AF75" s="46"/>
      <c r="AG75" s="46"/>
      <c r="AH75" s="46"/>
      <c r="AI75" s="46"/>
    </row>
    <row r="76" spans="1:75">
      <c r="AB76" s="46"/>
    </row>
    <row r="77" spans="1:75">
      <c r="AC77" s="46"/>
      <c r="AD77" s="46"/>
      <c r="AE77" s="46"/>
      <c r="AF77" s="46"/>
      <c r="AG77" s="46"/>
      <c r="AH77" s="46"/>
      <c r="AI77" s="46"/>
    </row>
    <row r="78" spans="1:75">
      <c r="AB78" s="46"/>
    </row>
    <row r="79" spans="1:75">
      <c r="AC79" s="46"/>
      <c r="AD79" s="46"/>
      <c r="AE79" s="46"/>
      <c r="AF79" s="46"/>
      <c r="AG79" s="46"/>
      <c r="AH79" s="46"/>
      <c r="AI79" s="46"/>
    </row>
  </sheetData>
  <mergeCells count="17">
    <mergeCell ref="Y4:Z4"/>
    <mergeCell ref="S5:Z5"/>
    <mergeCell ref="Q4:R4"/>
    <mergeCell ref="K5:R5"/>
    <mergeCell ref="A5:A6"/>
    <mergeCell ref="B5:B6"/>
    <mergeCell ref="C5:J5"/>
    <mergeCell ref="I4:J4"/>
    <mergeCell ref="S1:Y1"/>
    <mergeCell ref="S2:Y2"/>
    <mergeCell ref="S3:Y3"/>
    <mergeCell ref="C1:I1"/>
    <mergeCell ref="C2:I2"/>
    <mergeCell ref="C3:I3"/>
    <mergeCell ref="K1:Q1"/>
    <mergeCell ref="K2:Q2"/>
    <mergeCell ref="K3:Q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28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T28</vt:lpstr>
      <vt:lpstr>'T28'!ExternalData_1</vt:lpstr>
      <vt:lpstr>'T28'!Заголовки_для_печати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2017-11-28T09:59:56Z</cp:lastPrinted>
  <dcterms:created xsi:type="dcterms:W3CDTF">2006-03-06T10:31:21Z</dcterms:created>
  <dcterms:modified xsi:type="dcterms:W3CDTF">2025-09-15T00:26:48Z</dcterms:modified>
</cp:coreProperties>
</file>