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82"/>
  </bookViews>
  <sheets>
    <sheet name="T27" sheetId="1" r:id="rId1"/>
  </sheets>
  <definedNames>
    <definedName name="_xlnm._FilterDatabase" localSheetId="0" hidden="1">'T27'!$A$7:$AE$7</definedName>
    <definedName name="ExternalData_1" localSheetId="0">'T27'!$A$8:$J$62</definedName>
    <definedName name="_xlnm.Print_Titles" localSheetId="0">'T27'!$A:$B,'T27'!$4:$7</definedName>
  </definedNames>
  <calcPr calcId="125725"/>
</workbook>
</file>

<file path=xl/calcChain.xml><?xml version="1.0" encoding="utf-8"?>
<calcChain xmlns="http://schemas.openxmlformats.org/spreadsheetml/2006/main">
  <c r="W10" i="1"/>
  <c r="X10"/>
  <c r="Y10"/>
  <c r="Z10"/>
  <c r="AA10"/>
  <c r="AB10"/>
  <c r="AC10"/>
  <c r="AD10"/>
  <c r="AE10"/>
  <c r="W11"/>
  <c r="X11"/>
  <c r="Y11"/>
  <c r="Z11"/>
  <c r="AA11"/>
  <c r="AB11"/>
  <c r="AC11"/>
  <c r="AD11"/>
  <c r="AE11"/>
  <c r="W12"/>
  <c r="X12"/>
  <c r="Y12"/>
  <c r="Z12"/>
  <c r="AA12"/>
  <c r="AB12"/>
  <c r="AC12"/>
  <c r="AD12"/>
  <c r="AE12"/>
  <c r="W13"/>
  <c r="X13"/>
  <c r="Y13"/>
  <c r="Z13"/>
  <c r="AA13"/>
  <c r="AB13"/>
  <c r="AC13"/>
  <c r="AD13"/>
  <c r="AE13"/>
  <c r="W14"/>
  <c r="X14"/>
  <c r="Y14"/>
  <c r="Z14"/>
  <c r="AA14"/>
  <c r="AB14"/>
  <c r="AC14"/>
  <c r="AD14"/>
  <c r="AE14"/>
  <c r="W15"/>
  <c r="X15"/>
  <c r="Y15"/>
  <c r="Z15"/>
  <c r="AA15"/>
  <c r="AB15"/>
  <c r="AC15"/>
  <c r="AD15"/>
  <c r="AE15"/>
  <c r="W16"/>
  <c r="X16"/>
  <c r="Y16"/>
  <c r="Z16"/>
  <c r="AA16"/>
  <c r="AB16"/>
  <c r="AC16"/>
  <c r="AD16"/>
  <c r="AE16"/>
  <c r="W17"/>
  <c r="X17"/>
  <c r="Y17"/>
  <c r="Z17"/>
  <c r="AA17"/>
  <c r="AB17"/>
  <c r="AC17"/>
  <c r="AD17"/>
  <c r="AE17"/>
  <c r="W18"/>
  <c r="X18"/>
  <c r="Y18"/>
  <c r="Z18"/>
  <c r="AA18"/>
  <c r="AB18"/>
  <c r="AC18"/>
  <c r="AD18"/>
  <c r="AE18"/>
  <c r="W19"/>
  <c r="X19"/>
  <c r="Y19"/>
  <c r="Z19"/>
  <c r="AA19"/>
  <c r="AB19"/>
  <c r="AC19"/>
  <c r="AD19"/>
  <c r="AE19"/>
  <c r="W20"/>
  <c r="X20"/>
  <c r="Y20"/>
  <c r="Z20"/>
  <c r="AA20"/>
  <c r="AB20"/>
  <c r="AC20"/>
  <c r="AD20"/>
  <c r="AE20"/>
  <c r="W21"/>
  <c r="X21"/>
  <c r="Y21"/>
  <c r="Z21"/>
  <c r="AA21"/>
  <c r="AB21"/>
  <c r="AC21"/>
  <c r="AD21"/>
  <c r="AE21"/>
  <c r="W22"/>
  <c r="X22"/>
  <c r="Y22"/>
  <c r="Z22"/>
  <c r="AA22"/>
  <c r="AB22"/>
  <c r="AC22"/>
  <c r="AD22"/>
  <c r="AE22"/>
  <c r="W23"/>
  <c r="X23"/>
  <c r="Y23"/>
  <c r="Z23"/>
  <c r="AA23"/>
  <c r="AB23"/>
  <c r="AC23"/>
  <c r="AD23"/>
  <c r="AE23"/>
  <c r="W24"/>
  <c r="X24"/>
  <c r="Y24"/>
  <c r="Z24"/>
  <c r="AA24"/>
  <c r="AB24"/>
  <c r="AC24"/>
  <c r="AD24"/>
  <c r="AE24"/>
  <c r="W25"/>
  <c r="X25"/>
  <c r="Y25"/>
  <c r="Z25"/>
  <c r="AA25"/>
  <c r="AB25"/>
  <c r="AC25"/>
  <c r="AD25"/>
  <c r="AE25"/>
  <c r="W26"/>
  <c r="X26"/>
  <c r="Y26"/>
  <c r="Z26"/>
  <c r="AA26"/>
  <c r="AB26"/>
  <c r="AC26"/>
  <c r="AD26"/>
  <c r="AE26"/>
  <c r="W27"/>
  <c r="X27"/>
  <c r="Y27"/>
  <c r="Z27"/>
  <c r="AA27"/>
  <c r="AB27"/>
  <c r="AC27"/>
  <c r="AD27"/>
  <c r="AE27"/>
  <c r="W28"/>
  <c r="X28"/>
  <c r="Y28"/>
  <c r="Z28"/>
  <c r="AA28"/>
  <c r="AB28"/>
  <c r="AC28"/>
  <c r="AD28"/>
  <c r="AE28"/>
  <c r="W29"/>
  <c r="X29"/>
  <c r="Y29"/>
  <c r="Z29"/>
  <c r="AA29"/>
  <c r="AB29"/>
  <c r="AC29"/>
  <c r="AD29"/>
  <c r="AE29"/>
  <c r="W30"/>
  <c r="X30"/>
  <c r="Y30"/>
  <c r="Z30"/>
  <c r="AA30"/>
  <c r="AB30"/>
  <c r="AC30"/>
  <c r="AD30"/>
  <c r="AE30"/>
  <c r="W31"/>
  <c r="X31"/>
  <c r="Y31"/>
  <c r="Z31"/>
  <c r="AA31"/>
  <c r="AB31"/>
  <c r="AC31"/>
  <c r="AD31"/>
  <c r="AE31"/>
  <c r="W32"/>
  <c r="X32"/>
  <c r="Y32"/>
  <c r="Z32"/>
  <c r="AA32"/>
  <c r="AB32"/>
  <c r="AC32"/>
  <c r="AD32"/>
  <c r="AE32"/>
  <c r="W33"/>
  <c r="X33"/>
  <c r="Y33"/>
  <c r="Z33"/>
  <c r="AA33"/>
  <c r="AB33"/>
  <c r="AC33"/>
  <c r="AD33"/>
  <c r="AE33"/>
  <c r="W34"/>
  <c r="X34"/>
  <c r="Y34"/>
  <c r="Z34"/>
  <c r="AA34"/>
  <c r="AB34"/>
  <c r="AC34"/>
  <c r="AD34"/>
  <c r="AE34"/>
  <c r="W35"/>
  <c r="X35"/>
  <c r="Y35"/>
  <c r="Z35"/>
  <c r="AA35"/>
  <c r="AB35"/>
  <c r="AC35"/>
  <c r="AD35"/>
  <c r="AE35"/>
  <c r="W36"/>
  <c r="X36"/>
  <c r="Y36"/>
  <c r="Z36"/>
  <c r="AA36"/>
  <c r="AB36"/>
  <c r="AC36"/>
  <c r="AD36"/>
  <c r="AE36"/>
  <c r="W37"/>
  <c r="X37"/>
  <c r="Y37"/>
  <c r="Z37"/>
  <c r="AA37"/>
  <c r="AB37"/>
  <c r="AC37"/>
  <c r="AD37"/>
  <c r="AE37"/>
  <c r="W38"/>
  <c r="X38"/>
  <c r="Y38"/>
  <c r="Z38"/>
  <c r="AA38"/>
  <c r="AB38"/>
  <c r="AC38"/>
  <c r="AD38"/>
  <c r="AE38"/>
  <c r="W39"/>
  <c r="X39"/>
  <c r="Y39"/>
  <c r="Z39"/>
  <c r="AA39"/>
  <c r="AB39"/>
  <c r="AC39"/>
  <c r="AD39"/>
  <c r="AE39"/>
  <c r="W40"/>
  <c r="X40"/>
  <c r="Y40"/>
  <c r="Z40"/>
  <c r="AA40"/>
  <c r="AB40"/>
  <c r="AC40"/>
  <c r="AD40"/>
  <c r="AE40"/>
  <c r="W41"/>
  <c r="X41"/>
  <c r="Y41"/>
  <c r="Z41"/>
  <c r="AA41"/>
  <c r="AB41"/>
  <c r="AC41"/>
  <c r="AD41"/>
  <c r="AE41"/>
  <c r="W42"/>
  <c r="X42"/>
  <c r="Y42"/>
  <c r="Z42"/>
  <c r="AA42"/>
  <c r="AB42"/>
  <c r="AC42"/>
  <c r="AD42"/>
  <c r="AE42"/>
  <c r="W43"/>
  <c r="X43"/>
  <c r="Y43"/>
  <c r="Z43"/>
  <c r="AA43"/>
  <c r="AB43"/>
  <c r="AC43"/>
  <c r="AD43"/>
  <c r="AE43"/>
  <c r="W44"/>
  <c r="X44"/>
  <c r="Y44"/>
  <c r="Z44"/>
  <c r="AA44"/>
  <c r="AB44"/>
  <c r="AC44"/>
  <c r="AD44"/>
  <c r="AE44"/>
  <c r="W45"/>
  <c r="X45"/>
  <c r="Y45"/>
  <c r="Z45"/>
  <c r="AA45"/>
  <c r="AB45"/>
  <c r="AC45"/>
  <c r="AD45"/>
  <c r="AE45"/>
  <c r="W46"/>
  <c r="X46"/>
  <c r="Y46"/>
  <c r="Z46"/>
  <c r="AA46"/>
  <c r="AB46"/>
  <c r="AC46"/>
  <c r="AD46"/>
  <c r="AE46"/>
  <c r="W47"/>
  <c r="X47"/>
  <c r="Y47"/>
  <c r="Z47"/>
  <c r="AA47"/>
  <c r="AB47"/>
  <c r="AC47"/>
  <c r="AD47"/>
  <c r="AE47"/>
  <c r="W48"/>
  <c r="X48"/>
  <c r="Y48"/>
  <c r="Z48"/>
  <c r="AA48"/>
  <c r="AB48"/>
  <c r="AC48"/>
  <c r="AD48"/>
  <c r="AE48"/>
  <c r="W49"/>
  <c r="X49"/>
  <c r="Y49"/>
  <c r="Z49"/>
  <c r="AA49"/>
  <c r="AB49"/>
  <c r="AC49"/>
  <c r="AD49"/>
  <c r="AE49"/>
  <c r="W50"/>
  <c r="X50"/>
  <c r="Y50"/>
  <c r="Z50"/>
  <c r="AA50"/>
  <c r="AB50"/>
  <c r="AC50"/>
  <c r="AD50"/>
  <c r="AE50"/>
  <c r="W51"/>
  <c r="X51"/>
  <c r="Y51"/>
  <c r="Z51"/>
  <c r="AA51"/>
  <c r="AB51"/>
  <c r="AC51"/>
  <c r="AD51"/>
  <c r="AE51"/>
  <c r="W52"/>
  <c r="X52"/>
  <c r="Y52"/>
  <c r="Z52"/>
  <c r="AA52"/>
  <c r="AB52"/>
  <c r="AC52"/>
  <c r="AD52"/>
  <c r="AE52"/>
  <c r="W53"/>
  <c r="X53"/>
  <c r="Y53"/>
  <c r="Z53"/>
  <c r="AA53"/>
  <c r="AB53"/>
  <c r="AC53"/>
  <c r="AD53"/>
  <c r="AE53"/>
  <c r="W54"/>
  <c r="X54"/>
  <c r="Y54"/>
  <c r="Z54"/>
  <c r="AA54"/>
  <c r="AB54"/>
  <c r="AC54"/>
  <c r="AD54"/>
  <c r="AE54"/>
  <c r="W55"/>
  <c r="X55"/>
  <c r="Y55"/>
  <c r="Z55"/>
  <c r="AA55"/>
  <c r="AB55"/>
  <c r="AC55"/>
  <c r="AD55"/>
  <c r="AE55"/>
  <c r="W56"/>
  <c r="X56"/>
  <c r="Y56"/>
  <c r="Z56"/>
  <c r="AA56"/>
  <c r="AB56"/>
  <c r="AC56"/>
  <c r="AD56"/>
  <c r="AE56"/>
  <c r="W57"/>
  <c r="X57"/>
  <c r="Y57"/>
  <c r="Z57"/>
  <c r="AA57"/>
  <c r="AB57"/>
  <c r="AC57"/>
  <c r="AD57"/>
  <c r="AE57"/>
  <c r="W58"/>
  <c r="X58"/>
  <c r="Y58"/>
  <c r="Z58"/>
  <c r="AA58"/>
  <c r="AB58"/>
  <c r="AC58"/>
  <c r="AD58"/>
  <c r="AE58"/>
  <c r="W59"/>
  <c r="X59"/>
  <c r="Y59"/>
  <c r="Z59"/>
  <c r="AA59"/>
  <c r="AB59"/>
  <c r="AC59"/>
  <c r="AD59"/>
  <c r="AE59"/>
  <c r="W60"/>
  <c r="X60"/>
  <c r="Y60"/>
  <c r="Z60"/>
  <c r="AA60"/>
  <c r="AB60"/>
  <c r="AC60"/>
  <c r="AD60"/>
  <c r="AE60"/>
  <c r="W61"/>
  <c r="X61"/>
  <c r="Y61"/>
  <c r="Z61"/>
  <c r="AA61"/>
  <c r="AB61"/>
  <c r="AC61"/>
  <c r="AD61"/>
  <c r="AE61"/>
  <c r="W62"/>
  <c r="X62"/>
  <c r="Y62"/>
  <c r="Z62"/>
  <c r="AA62"/>
  <c r="AB62"/>
  <c r="AC62"/>
  <c r="AD62"/>
  <c r="AE62"/>
  <c r="X9"/>
  <c r="Y9"/>
  <c r="Z9"/>
  <c r="AA9"/>
  <c r="AB9"/>
  <c r="AC9"/>
  <c r="AD9"/>
  <c r="AE9"/>
  <c r="W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<sst xmlns="http://schemas.openxmlformats.org/spreadsheetml/2006/main" count="188" uniqueCount="130">
  <si>
    <t>в процентах</t>
  </si>
  <si>
    <t>А</t>
  </si>
  <si>
    <t>Прибыль, убыток (-) до налогообложения в % к:</t>
  </si>
  <si>
    <t>всем активам</t>
  </si>
  <si>
    <t xml:space="preserve">Прибыль от финансовых вложений в % ко всем финансовым вложениям </t>
  </si>
  <si>
    <t>капиталу и резервам</t>
  </si>
  <si>
    <t>Наименование</t>
  </si>
  <si>
    <t>Код</t>
  </si>
  <si>
    <t>Б</t>
  </si>
  <si>
    <t>вне-оборот-ным активам</t>
  </si>
  <si>
    <t>оборот-ным активам</t>
  </si>
  <si>
    <t>кратко-срочным обяза-тельст-вам</t>
  </si>
  <si>
    <t>долго-срочным обяза-тельст-вам</t>
  </si>
  <si>
    <t>Чистая прибыль, убыток (-) до налогообложения в % к:</t>
  </si>
  <si>
    <t>Финансовый ре-зультат убыточ-ных организаций в % к итогу актива убыточных организаций</t>
  </si>
  <si>
    <t>8</t>
  </si>
  <si>
    <t>10</t>
  </si>
  <si>
    <t>11</t>
  </si>
  <si>
    <t>14</t>
  </si>
  <si>
    <t>Уровень рентабельности (убыточности) активов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</si>
  <si>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</si>
  <si>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</si>
  <si>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</si>
  <si>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</si>
  <si>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</si>
  <si>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</si>
  <si>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</si>
  <si>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</si>
  <si>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</si>
  <si>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</si>
  <si>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</si>
  <si>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</si>
  <si>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</si>
  <si>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</si>
  <si>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-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</si>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</sst>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0"/>
      <name val="Arial Cyr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Arial Cyr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wrapText="1"/>
    </xf>
    <xf numFmtId="49" fontId="0" fillId="0" borderId="0" xfId="0" applyNumberFormat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49" fontId="3" fillId="0" borderId="1" xfId="0" applyNumberFormat="1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0" fontId="7" fillId="0" borderId="0" xfId="0" applyFont="1"/>
    <xf numFmtId="49" fontId="5" fillId="0" borderId="0" xfId="0" applyNumberFormat="1" applyFont="1"/>
    <xf numFmtId="49" fontId="5" fillId="0" borderId="0" xfId="0" applyNumberFormat="1" applyFont="1" applyAlignment="1">
      <alignment horizontal="left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164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62"/>
  <sheetViews>
    <sheetView tabSelected="1" zoomScaleNormal="75" workbookViewId="0">
      <pane xSplit="2" ySplit="7" topLeftCell="U53" activePane="bottomRight" state="frozen"/>
      <selection pane="topRight" activeCell="C1" sqref="C1"/>
      <selection pane="bottomLeft" activeCell="A8" sqref="A8"/>
      <selection pane="bottomRight" activeCell="A7" sqref="A7:XFD7"/>
    </sheetView>
  </sheetViews>
  <sheetFormatPr defaultRowHeight="12.75"/>
  <cols>
    <col min="1" max="1" width="14" style="3" customWidth="1"/>
    <col min="2" max="2" width="53.7109375" style="4" customWidth="1"/>
    <col min="3" max="3" width="7.140625" style="13" customWidth="1"/>
    <col min="4" max="4" width="7.28515625" style="13" customWidth="1"/>
    <col min="5" max="5" width="7.7109375" style="13" customWidth="1"/>
    <col min="6" max="6" width="8" style="13" customWidth="1"/>
    <col min="7" max="8" width="8.28515625" style="13" customWidth="1"/>
    <col min="9" max="9" width="15.28515625" style="13" customWidth="1"/>
    <col min="10" max="10" width="11.5703125" style="13" customWidth="1"/>
    <col min="11" max="11" width="7.140625" style="13" customWidth="1"/>
  </cols>
  <sheetData>
    <row r="1" spans="1:31" s="1" customFormat="1" ht="20.45" customHeight="1">
      <c r="A1" s="2"/>
      <c r="C1" s="30" t="s">
        <v>19</v>
      </c>
      <c r="D1" s="31"/>
      <c r="E1" s="31"/>
      <c r="F1" s="31"/>
      <c r="G1" s="31"/>
      <c r="H1" s="31"/>
      <c r="I1" s="31"/>
      <c r="J1" s="8"/>
      <c r="K1" s="17"/>
    </row>
    <row r="2" spans="1:31" s="1" customFormat="1" ht="23.45" customHeight="1">
      <c r="A2" s="2"/>
      <c r="B2" s="9"/>
      <c r="C2" s="32" t="s">
        <v>21</v>
      </c>
      <c r="D2" s="31"/>
      <c r="E2" s="31"/>
      <c r="F2" s="31"/>
      <c r="G2" s="31"/>
      <c r="H2" s="31"/>
      <c r="I2" s="31"/>
      <c r="J2" s="9"/>
      <c r="K2" s="18"/>
    </row>
    <row r="3" spans="1:31" s="1" customFormat="1" ht="24.6" customHeight="1">
      <c r="A3" s="2"/>
      <c r="B3" s="9"/>
      <c r="C3" s="32" t="s">
        <v>20</v>
      </c>
      <c r="D3" s="31"/>
      <c r="E3" s="31"/>
      <c r="F3" s="31"/>
      <c r="G3" s="31"/>
      <c r="H3" s="31"/>
      <c r="I3" s="31"/>
      <c r="J3" s="9"/>
      <c r="K3" s="18"/>
    </row>
    <row r="4" spans="1:31" s="1" customFormat="1">
      <c r="A4" s="2"/>
      <c r="B4" s="2"/>
      <c r="C4" s="10"/>
      <c r="D4" s="10"/>
      <c r="E4" s="10"/>
      <c r="F4" s="10"/>
      <c r="G4" s="10"/>
      <c r="H4" s="27" t="s">
        <v>0</v>
      </c>
      <c r="I4" s="27"/>
      <c r="J4" s="11"/>
      <c r="K4" s="15"/>
    </row>
    <row r="5" spans="1:31" s="1" customFormat="1" ht="13.15" customHeight="1">
      <c r="A5" s="25" t="s">
        <v>7</v>
      </c>
      <c r="B5" s="25" t="s">
        <v>6</v>
      </c>
      <c r="C5" s="28" t="s">
        <v>2</v>
      </c>
      <c r="D5" s="29"/>
      <c r="E5" s="29"/>
      <c r="F5" s="29"/>
      <c r="G5" s="29"/>
      <c r="H5" s="29"/>
      <c r="I5" s="28" t="s">
        <v>14</v>
      </c>
      <c r="J5" s="28" t="s">
        <v>4</v>
      </c>
      <c r="K5" s="16" t="s">
        <v>13</v>
      </c>
    </row>
    <row r="6" spans="1:31" s="1" customFormat="1" ht="67.900000000000006" customHeight="1">
      <c r="A6" s="25"/>
      <c r="B6" s="26"/>
      <c r="C6" s="7" t="s">
        <v>3</v>
      </c>
      <c r="D6" s="7" t="s">
        <v>9</v>
      </c>
      <c r="E6" s="7" t="s">
        <v>10</v>
      </c>
      <c r="F6" s="7" t="s">
        <v>5</v>
      </c>
      <c r="G6" s="7" t="s">
        <v>12</v>
      </c>
      <c r="H6" s="7" t="s">
        <v>11</v>
      </c>
      <c r="I6" s="29"/>
      <c r="J6" s="29"/>
      <c r="K6" s="16" t="s">
        <v>3</v>
      </c>
    </row>
    <row r="7" spans="1:31" s="5" customFormat="1" ht="11.25">
      <c r="A7" s="6" t="s">
        <v>1</v>
      </c>
      <c r="B7" s="6" t="s">
        <v>8</v>
      </c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 t="s">
        <v>18</v>
      </c>
      <c r="K7" s="14" t="s">
        <v>15</v>
      </c>
    </row>
    <row r="8" spans="1:31" s="22" customFormat="1" ht="13.5" thickBot="1">
      <c r="A8" s="19" t="s">
        <v>111</v>
      </c>
      <c r="B8" s="20"/>
      <c r="C8" s="21"/>
      <c r="D8" s="21"/>
      <c r="E8" s="21"/>
      <c r="F8" s="21"/>
      <c r="G8" s="21"/>
      <c r="H8" s="21"/>
      <c r="I8" s="21"/>
      <c r="J8" s="21"/>
      <c r="K8" s="21"/>
    </row>
    <row r="9" spans="1:31" s="22" customFormat="1" ht="15.75">
      <c r="A9" s="19" t="s">
        <v>112</v>
      </c>
      <c r="B9" s="20" t="s">
        <v>22</v>
      </c>
      <c r="C9" s="21">
        <v>4.4000000000000004</v>
      </c>
      <c r="D9" s="21">
        <v>7.9</v>
      </c>
      <c r="E9" s="21">
        <v>10</v>
      </c>
      <c r="F9" s="21">
        <v>15.6</v>
      </c>
      <c r="G9" s="21">
        <v>9.9</v>
      </c>
      <c r="H9" s="21">
        <v>16.399999999999999</v>
      </c>
      <c r="I9" s="21">
        <v>8</v>
      </c>
      <c r="J9" s="21">
        <v>15.2</v>
      </c>
      <c r="K9" s="21">
        <v>4.5999999999999996</v>
      </c>
      <c r="M9" s="33">
        <v>4.4000000000000004</v>
      </c>
      <c r="N9" s="34">
        <v>7.9</v>
      </c>
      <c r="O9" s="34">
        <v>10</v>
      </c>
      <c r="P9" s="34">
        <v>15.6</v>
      </c>
      <c r="Q9" s="34">
        <v>9.9</v>
      </c>
      <c r="R9" s="34">
        <v>16.399999999999999</v>
      </c>
      <c r="S9" s="34">
        <v>8</v>
      </c>
      <c r="T9" s="34">
        <v>15.2</v>
      </c>
      <c r="U9" s="34">
        <v>4.5999999999999996</v>
      </c>
      <c r="W9" s="39">
        <f>C9-M9</f>
        <v>0</v>
      </c>
      <c r="X9" s="39">
        <f t="shared" ref="X9:AE9" si="0">D9-N9</f>
        <v>0</v>
      </c>
      <c r="Y9" s="39">
        <f t="shared" si="0"/>
        <v>0</v>
      </c>
      <c r="Z9" s="39">
        <f t="shared" si="0"/>
        <v>0</v>
      </c>
      <c r="AA9" s="39">
        <f t="shared" si="0"/>
        <v>0</v>
      </c>
      <c r="AB9" s="39">
        <f t="shared" si="0"/>
        <v>0</v>
      </c>
      <c r="AC9" s="39">
        <f t="shared" si="0"/>
        <v>0</v>
      </c>
      <c r="AD9" s="39">
        <f t="shared" si="0"/>
        <v>0</v>
      </c>
      <c r="AE9" s="39">
        <f t="shared" si="0"/>
        <v>0</v>
      </c>
    </row>
    <row r="10" spans="1:31" s="22" customFormat="1" ht="26.25">
      <c r="A10" s="19" t="s">
        <v>113</v>
      </c>
      <c r="B10" s="20" t="s">
        <v>23</v>
      </c>
      <c r="C10" s="21">
        <v>0.5</v>
      </c>
      <c r="D10" s="21">
        <v>0.9</v>
      </c>
      <c r="E10" s="21">
        <v>1.1000000000000001</v>
      </c>
      <c r="F10" s="21">
        <v>1.7</v>
      </c>
      <c r="G10" s="21">
        <v>1.1000000000000001</v>
      </c>
      <c r="H10" s="21">
        <v>2.4</v>
      </c>
      <c r="I10" s="21">
        <v>9.5</v>
      </c>
      <c r="J10" s="21">
        <v>11.5</v>
      </c>
      <c r="K10" s="21">
        <v>-0.1</v>
      </c>
      <c r="M10" s="35">
        <v>0.5</v>
      </c>
      <c r="N10" s="36">
        <v>0.9</v>
      </c>
      <c r="O10" s="36">
        <v>1.1000000000000001</v>
      </c>
      <c r="P10" s="36">
        <v>1.7</v>
      </c>
      <c r="Q10" s="36">
        <v>1.1000000000000001</v>
      </c>
      <c r="R10" s="36">
        <v>2.4</v>
      </c>
      <c r="S10" s="36">
        <v>9.5</v>
      </c>
      <c r="T10" s="36">
        <v>11.5</v>
      </c>
      <c r="U10" s="36">
        <v>-0.1</v>
      </c>
      <c r="W10" s="39">
        <f t="shared" ref="W10:W62" si="1">C10-M10</f>
        <v>0</v>
      </c>
      <c r="X10" s="39">
        <f t="shared" ref="X10:X62" si="2">D10-N10</f>
        <v>0</v>
      </c>
      <c r="Y10" s="39">
        <f t="shared" ref="Y10:Y62" si="3">E10-O10</f>
        <v>0</v>
      </c>
      <c r="Z10" s="39">
        <f t="shared" ref="Z10:Z62" si="4">F10-P10</f>
        <v>0</v>
      </c>
      <c r="AA10" s="39">
        <f t="shared" ref="AA10:AA62" si="5">G10-Q10</f>
        <v>0</v>
      </c>
      <c r="AB10" s="39">
        <f t="shared" ref="AB10:AB62" si="6">H10-R10</f>
        <v>0</v>
      </c>
      <c r="AC10" s="39">
        <f t="shared" ref="AC10:AC62" si="7">I10-S10</f>
        <v>0</v>
      </c>
      <c r="AD10" s="39">
        <f t="shared" ref="AD10:AD62" si="8">J10-T10</f>
        <v>0</v>
      </c>
      <c r="AE10" s="39">
        <f t="shared" ref="AE10:AE62" si="9">K10-U10</f>
        <v>0</v>
      </c>
    </row>
    <row r="11" spans="1:31" ht="26.25">
      <c r="A11" s="3" t="s">
        <v>24</v>
      </c>
      <c r="B11" s="4" t="s">
        <v>25</v>
      </c>
      <c r="C11" s="13">
        <v>-2.6</v>
      </c>
      <c r="D11" s="13">
        <v>-3.9</v>
      </c>
      <c r="E11" s="13">
        <v>-7.6</v>
      </c>
      <c r="F11" s="13">
        <v>-9.6</v>
      </c>
      <c r="G11" s="13">
        <v>-4.9000000000000004</v>
      </c>
      <c r="H11" s="13">
        <v>-12.5</v>
      </c>
      <c r="I11" s="13">
        <v>3.9</v>
      </c>
      <c r="J11" s="13">
        <v>65.400000000000006</v>
      </c>
      <c r="K11" s="13">
        <v>-2.6</v>
      </c>
      <c r="M11" s="35">
        <v>-2.6</v>
      </c>
      <c r="N11" s="36">
        <v>-3.9</v>
      </c>
      <c r="O11" s="36">
        <v>-7.6</v>
      </c>
      <c r="P11" s="36">
        <v>-9.6</v>
      </c>
      <c r="Q11" s="36">
        <v>-4.9000000000000004</v>
      </c>
      <c r="R11" s="36">
        <v>-12.5</v>
      </c>
      <c r="S11" s="36">
        <v>3.9</v>
      </c>
      <c r="T11" s="36">
        <v>65.400000000000006</v>
      </c>
      <c r="U11" s="36">
        <v>-2.6</v>
      </c>
      <c r="W11" s="39">
        <f t="shared" si="1"/>
        <v>0</v>
      </c>
      <c r="X11" s="39">
        <f t="shared" si="2"/>
        <v>0</v>
      </c>
      <c r="Y11" s="39">
        <f t="shared" si="3"/>
        <v>0</v>
      </c>
      <c r="Z11" s="39">
        <f t="shared" si="4"/>
        <v>0</v>
      </c>
      <c r="AA11" s="39">
        <f t="shared" si="5"/>
        <v>0</v>
      </c>
      <c r="AB11" s="39">
        <f t="shared" si="6"/>
        <v>0</v>
      </c>
      <c r="AC11" s="39">
        <f t="shared" si="7"/>
        <v>0</v>
      </c>
      <c r="AD11" s="39">
        <f t="shared" si="8"/>
        <v>0</v>
      </c>
      <c r="AE11" s="39">
        <f t="shared" si="9"/>
        <v>0</v>
      </c>
    </row>
    <row r="12" spans="1:31" ht="15.75">
      <c r="A12" s="3" t="s">
        <v>26</v>
      </c>
      <c r="B12" s="4" t="s">
        <v>27</v>
      </c>
      <c r="C12" s="13">
        <v>0.6</v>
      </c>
      <c r="D12" s="13">
        <v>1</v>
      </c>
      <c r="E12" s="13">
        <v>1.3</v>
      </c>
      <c r="F12" s="13">
        <v>1.9</v>
      </c>
      <c r="G12" s="13">
        <v>1.2</v>
      </c>
      <c r="H12" s="13">
        <v>2.7</v>
      </c>
      <c r="I12" s="13">
        <v>9.8000000000000007</v>
      </c>
      <c r="J12" s="13">
        <v>11.4</v>
      </c>
      <c r="K12" s="13">
        <v>-0.1</v>
      </c>
      <c r="M12" s="35">
        <v>0.6</v>
      </c>
      <c r="N12" s="36">
        <v>1</v>
      </c>
      <c r="O12" s="36">
        <v>1.3</v>
      </c>
      <c r="P12" s="36">
        <v>1.9</v>
      </c>
      <c r="Q12" s="36">
        <v>1.2</v>
      </c>
      <c r="R12" s="36">
        <v>2.7</v>
      </c>
      <c r="S12" s="36">
        <v>9.8000000000000007</v>
      </c>
      <c r="T12" s="36">
        <v>11.4</v>
      </c>
      <c r="U12" s="36">
        <v>-0.1</v>
      </c>
      <c r="W12" s="39">
        <f t="shared" si="1"/>
        <v>0</v>
      </c>
      <c r="X12" s="39">
        <f t="shared" si="2"/>
        <v>0</v>
      </c>
      <c r="Y12" s="39">
        <f t="shared" si="3"/>
        <v>0</v>
      </c>
      <c r="Z12" s="39">
        <f t="shared" si="4"/>
        <v>0</v>
      </c>
      <c r="AA12" s="39">
        <f t="shared" si="5"/>
        <v>0</v>
      </c>
      <c r="AB12" s="39">
        <f t="shared" si="6"/>
        <v>0</v>
      </c>
      <c r="AC12" s="39">
        <f t="shared" si="7"/>
        <v>0</v>
      </c>
      <c r="AD12" s="39">
        <f t="shared" si="8"/>
        <v>0</v>
      </c>
      <c r="AE12" s="39">
        <f t="shared" si="9"/>
        <v>0</v>
      </c>
    </row>
    <row r="13" spans="1:31" s="22" customFormat="1" ht="15.75">
      <c r="A13" s="19" t="s">
        <v>114</v>
      </c>
      <c r="B13" s="20" t="s">
        <v>28</v>
      </c>
      <c r="C13" s="21">
        <v>23.5</v>
      </c>
      <c r="D13" s="21">
        <v>32.700000000000003</v>
      </c>
      <c r="E13" s="21">
        <v>83.4</v>
      </c>
      <c r="F13" s="21">
        <v>121.1</v>
      </c>
      <c r="G13" s="21">
        <v>59.2</v>
      </c>
      <c r="H13" s="21">
        <v>57.5</v>
      </c>
      <c r="I13" s="21">
        <v>28.9</v>
      </c>
      <c r="J13" s="21">
        <v>7</v>
      </c>
      <c r="K13" s="21">
        <v>24.3</v>
      </c>
      <c r="M13" s="35">
        <v>23.5</v>
      </c>
      <c r="N13" s="36">
        <v>32.700000000000003</v>
      </c>
      <c r="O13" s="36">
        <v>83.4</v>
      </c>
      <c r="P13" s="36">
        <v>121.1</v>
      </c>
      <c r="Q13" s="36">
        <v>59.2</v>
      </c>
      <c r="R13" s="36">
        <v>57.5</v>
      </c>
      <c r="S13" s="36">
        <v>28.9</v>
      </c>
      <c r="T13" s="36">
        <v>7</v>
      </c>
      <c r="U13" s="36">
        <v>24.3</v>
      </c>
      <c r="W13" s="39">
        <f t="shared" si="1"/>
        <v>0</v>
      </c>
      <c r="X13" s="39">
        <f t="shared" si="2"/>
        <v>0</v>
      </c>
      <c r="Y13" s="39">
        <f t="shared" si="3"/>
        <v>0</v>
      </c>
      <c r="Z13" s="39">
        <f t="shared" si="4"/>
        <v>0</v>
      </c>
      <c r="AA13" s="39">
        <f t="shared" si="5"/>
        <v>0</v>
      </c>
      <c r="AB13" s="39">
        <f t="shared" si="6"/>
        <v>0</v>
      </c>
      <c r="AC13" s="39">
        <f t="shared" si="7"/>
        <v>0</v>
      </c>
      <c r="AD13" s="39">
        <f t="shared" si="8"/>
        <v>0</v>
      </c>
      <c r="AE13" s="39">
        <f t="shared" si="9"/>
        <v>0</v>
      </c>
    </row>
    <row r="14" spans="1:31" ht="15.75">
      <c r="A14" s="3" t="s">
        <v>29</v>
      </c>
      <c r="B14" s="4" t="s">
        <v>30</v>
      </c>
      <c r="C14" s="13">
        <v>23.5</v>
      </c>
      <c r="D14" s="13">
        <v>32.700000000000003</v>
      </c>
      <c r="E14" s="13">
        <v>83.4</v>
      </c>
      <c r="F14" s="13">
        <v>121.1</v>
      </c>
      <c r="G14" s="13">
        <v>59.2</v>
      </c>
      <c r="H14" s="13">
        <v>57.5</v>
      </c>
      <c r="I14" s="13">
        <v>28.9</v>
      </c>
      <c r="J14" s="13">
        <v>7</v>
      </c>
      <c r="K14" s="13">
        <v>24.3</v>
      </c>
      <c r="M14" s="35">
        <v>23.5</v>
      </c>
      <c r="N14" s="36">
        <v>32.700000000000003</v>
      </c>
      <c r="O14" s="36">
        <v>83.4</v>
      </c>
      <c r="P14" s="36">
        <v>121.1</v>
      </c>
      <c r="Q14" s="36">
        <v>59.2</v>
      </c>
      <c r="R14" s="36">
        <v>57.5</v>
      </c>
      <c r="S14" s="36">
        <v>28.9</v>
      </c>
      <c r="T14" s="36">
        <v>7</v>
      </c>
      <c r="U14" s="36">
        <v>24.3</v>
      </c>
      <c r="W14" s="39">
        <f t="shared" si="1"/>
        <v>0</v>
      </c>
      <c r="X14" s="39">
        <f t="shared" si="2"/>
        <v>0</v>
      </c>
      <c r="Y14" s="39">
        <f t="shared" si="3"/>
        <v>0</v>
      </c>
      <c r="Z14" s="39">
        <f t="shared" si="4"/>
        <v>0</v>
      </c>
      <c r="AA14" s="39">
        <f t="shared" si="5"/>
        <v>0</v>
      </c>
      <c r="AB14" s="39">
        <f t="shared" si="6"/>
        <v>0</v>
      </c>
      <c r="AC14" s="39">
        <f t="shared" si="7"/>
        <v>0</v>
      </c>
      <c r="AD14" s="39">
        <f t="shared" si="8"/>
        <v>0</v>
      </c>
      <c r="AE14" s="39">
        <f t="shared" si="9"/>
        <v>0</v>
      </c>
    </row>
    <row r="15" spans="1:31" s="22" customFormat="1" ht="15.75">
      <c r="A15" s="19" t="s">
        <v>115</v>
      </c>
      <c r="B15" s="20" t="s">
        <v>31</v>
      </c>
      <c r="C15" s="21">
        <v>10.1</v>
      </c>
      <c r="D15" s="21">
        <v>21.4</v>
      </c>
      <c r="E15" s="21">
        <v>19.3</v>
      </c>
      <c r="F15" s="21">
        <v>17.3</v>
      </c>
      <c r="G15" s="21">
        <v>48</v>
      </c>
      <c r="H15" s="21">
        <v>49.8</v>
      </c>
      <c r="I15" s="21">
        <v>13.1</v>
      </c>
      <c r="J15" s="21">
        <v>15</v>
      </c>
      <c r="K15" s="21">
        <v>8.8000000000000007</v>
      </c>
      <c r="M15" s="35">
        <v>10.1</v>
      </c>
      <c r="N15" s="36">
        <v>21.4</v>
      </c>
      <c r="O15" s="36">
        <v>19.3</v>
      </c>
      <c r="P15" s="36">
        <v>17.3</v>
      </c>
      <c r="Q15" s="36">
        <v>48</v>
      </c>
      <c r="R15" s="36">
        <v>49.8</v>
      </c>
      <c r="S15" s="36">
        <v>13.1</v>
      </c>
      <c r="T15" s="36">
        <v>15</v>
      </c>
      <c r="U15" s="36">
        <v>8.8000000000000007</v>
      </c>
      <c r="W15" s="39">
        <f t="shared" si="1"/>
        <v>0</v>
      </c>
      <c r="X15" s="39">
        <f t="shared" si="2"/>
        <v>0</v>
      </c>
      <c r="Y15" s="39">
        <f t="shared" si="3"/>
        <v>0</v>
      </c>
      <c r="Z15" s="39">
        <f t="shared" si="4"/>
        <v>0</v>
      </c>
      <c r="AA15" s="39">
        <f t="shared" si="5"/>
        <v>0</v>
      </c>
      <c r="AB15" s="39">
        <f t="shared" si="6"/>
        <v>0</v>
      </c>
      <c r="AC15" s="39">
        <f t="shared" si="7"/>
        <v>0</v>
      </c>
      <c r="AD15" s="39">
        <f t="shared" si="8"/>
        <v>0</v>
      </c>
      <c r="AE15" s="39">
        <f t="shared" si="9"/>
        <v>0</v>
      </c>
    </row>
    <row r="16" spans="1:31" ht="15.75">
      <c r="A16" s="3" t="s">
        <v>16</v>
      </c>
      <c r="B16" s="4" t="s">
        <v>32</v>
      </c>
      <c r="C16" s="13">
        <v>11.9</v>
      </c>
      <c r="D16" s="13">
        <v>23.1</v>
      </c>
      <c r="E16" s="13">
        <v>24.5</v>
      </c>
      <c r="F16" s="13">
        <v>18.2</v>
      </c>
      <c r="G16" s="13">
        <v>74</v>
      </c>
      <c r="H16" s="13">
        <v>64.2</v>
      </c>
      <c r="I16" s="13">
        <v>16.899999999999999</v>
      </c>
      <c r="J16" s="13">
        <v>14</v>
      </c>
      <c r="K16" s="13">
        <v>10.5</v>
      </c>
      <c r="M16" s="35">
        <v>11.9</v>
      </c>
      <c r="N16" s="36">
        <v>23.1</v>
      </c>
      <c r="O16" s="36">
        <v>24.5</v>
      </c>
      <c r="P16" s="36">
        <v>18.2</v>
      </c>
      <c r="Q16" s="36">
        <v>74</v>
      </c>
      <c r="R16" s="36">
        <v>64.2</v>
      </c>
      <c r="S16" s="36">
        <v>16.899999999999999</v>
      </c>
      <c r="T16" s="36">
        <v>14</v>
      </c>
      <c r="U16" s="36">
        <v>10.5</v>
      </c>
      <c r="W16" s="39">
        <f t="shared" si="1"/>
        <v>0</v>
      </c>
      <c r="X16" s="39">
        <f t="shared" si="2"/>
        <v>0</v>
      </c>
      <c r="Y16" s="39">
        <f t="shared" si="3"/>
        <v>0</v>
      </c>
      <c r="Z16" s="39">
        <f t="shared" si="4"/>
        <v>0</v>
      </c>
      <c r="AA16" s="39">
        <f t="shared" si="5"/>
        <v>0</v>
      </c>
      <c r="AB16" s="39">
        <f t="shared" si="6"/>
        <v>0</v>
      </c>
      <c r="AC16" s="39">
        <f t="shared" si="7"/>
        <v>0</v>
      </c>
      <c r="AD16" s="39">
        <f t="shared" si="8"/>
        <v>0</v>
      </c>
      <c r="AE16" s="39">
        <f t="shared" si="9"/>
        <v>0</v>
      </c>
    </row>
    <row r="17" spans="1:31" ht="16.5" thickBot="1">
      <c r="A17" s="3" t="s">
        <v>17</v>
      </c>
      <c r="B17" s="4" t="s">
        <v>33</v>
      </c>
      <c r="C17" s="13">
        <v>9.3000000000000007</v>
      </c>
      <c r="D17" s="13">
        <v>15.2</v>
      </c>
      <c r="E17" s="13">
        <v>24.4</v>
      </c>
      <c r="F17" s="13">
        <v>9.8000000000000007</v>
      </c>
      <c r="G17" s="13">
        <v>9862.7000000000007</v>
      </c>
      <c r="H17" s="13">
        <v>230.6</v>
      </c>
      <c r="I17" s="13" t="s">
        <v>34</v>
      </c>
      <c r="J17" s="13">
        <v>64.2</v>
      </c>
      <c r="K17" s="13">
        <v>7.7</v>
      </c>
      <c r="M17" s="35">
        <v>9.3000000000000007</v>
      </c>
      <c r="N17" s="36">
        <v>15.2</v>
      </c>
      <c r="O17" s="36">
        <v>24.4</v>
      </c>
      <c r="P17" s="36">
        <v>9.8000000000000007</v>
      </c>
      <c r="Q17" s="36">
        <v>9862.7000000000007</v>
      </c>
      <c r="R17" s="36">
        <v>230.6</v>
      </c>
      <c r="S17" s="36" t="s">
        <v>34</v>
      </c>
      <c r="T17" s="36">
        <v>64.2</v>
      </c>
      <c r="U17" s="36">
        <v>7.7</v>
      </c>
      <c r="W17" s="39">
        <f t="shared" si="1"/>
        <v>0</v>
      </c>
      <c r="X17" s="39">
        <f t="shared" si="2"/>
        <v>0</v>
      </c>
      <c r="Y17" s="39">
        <f t="shared" si="3"/>
        <v>0</v>
      </c>
      <c r="Z17" s="39">
        <f t="shared" si="4"/>
        <v>0</v>
      </c>
      <c r="AA17" s="39">
        <f t="shared" si="5"/>
        <v>0</v>
      </c>
      <c r="AB17" s="39">
        <f t="shared" si="6"/>
        <v>0</v>
      </c>
      <c r="AC17" s="39" t="e">
        <f t="shared" si="7"/>
        <v>#VALUE!</v>
      </c>
      <c r="AD17" s="39">
        <f t="shared" si="8"/>
        <v>0</v>
      </c>
      <c r="AE17" s="39">
        <f t="shared" si="9"/>
        <v>0</v>
      </c>
    </row>
    <row r="18" spans="1:31" ht="15.75">
      <c r="A18" s="3" t="s">
        <v>35</v>
      </c>
      <c r="B18" s="4" t="s">
        <v>36</v>
      </c>
      <c r="C18" s="13">
        <v>6.4</v>
      </c>
      <c r="D18" s="13">
        <v>9.3000000000000007</v>
      </c>
      <c r="E18" s="13">
        <v>20.2</v>
      </c>
      <c r="F18" s="13">
        <v>8.4</v>
      </c>
      <c r="G18" s="13">
        <v>0</v>
      </c>
      <c r="H18" s="13">
        <v>26.3</v>
      </c>
      <c r="I18" s="13" t="s">
        <v>34</v>
      </c>
      <c r="J18" s="13" t="s">
        <v>34</v>
      </c>
      <c r="K18" s="13">
        <v>4.7</v>
      </c>
      <c r="M18" s="33">
        <v>6.4</v>
      </c>
      <c r="N18" s="34">
        <v>9.3000000000000007</v>
      </c>
      <c r="O18" s="34">
        <v>20.2</v>
      </c>
      <c r="P18" s="34">
        <v>8.4</v>
      </c>
      <c r="Q18" s="34">
        <v>0</v>
      </c>
      <c r="R18" s="34">
        <v>26.3</v>
      </c>
      <c r="S18" s="34" t="s">
        <v>34</v>
      </c>
      <c r="T18" s="34" t="s">
        <v>34</v>
      </c>
      <c r="U18" s="34">
        <v>4.7</v>
      </c>
      <c r="W18" s="39">
        <f t="shared" si="1"/>
        <v>0</v>
      </c>
      <c r="X18" s="39">
        <f t="shared" si="2"/>
        <v>0</v>
      </c>
      <c r="Y18" s="39">
        <f t="shared" si="3"/>
        <v>0</v>
      </c>
      <c r="Z18" s="39">
        <f t="shared" si="4"/>
        <v>0</v>
      </c>
      <c r="AA18" s="39">
        <f t="shared" si="5"/>
        <v>0</v>
      </c>
      <c r="AB18" s="39">
        <f t="shared" si="6"/>
        <v>0</v>
      </c>
      <c r="AC18" s="39" t="e">
        <f t="shared" si="7"/>
        <v>#VALUE!</v>
      </c>
      <c r="AD18" s="39" t="e">
        <f t="shared" si="8"/>
        <v>#VALUE!</v>
      </c>
      <c r="AE18" s="39">
        <f t="shared" si="9"/>
        <v>0</v>
      </c>
    </row>
    <row r="19" spans="1:31" ht="15.75">
      <c r="A19" s="3" t="s">
        <v>37</v>
      </c>
      <c r="B19" s="4" t="s">
        <v>38</v>
      </c>
      <c r="C19" s="13">
        <v>1.1000000000000001</v>
      </c>
      <c r="D19" s="13">
        <v>4.5999999999999996</v>
      </c>
      <c r="E19" s="13">
        <v>1.4</v>
      </c>
      <c r="F19" s="13">
        <v>7.9</v>
      </c>
      <c r="G19" s="13">
        <v>2</v>
      </c>
      <c r="H19" s="13">
        <v>3.2</v>
      </c>
      <c r="I19" s="13">
        <v>2.6</v>
      </c>
      <c r="J19" s="13">
        <v>19.3</v>
      </c>
      <c r="K19" s="13">
        <v>0.4</v>
      </c>
      <c r="M19" s="35">
        <v>1.1000000000000001</v>
      </c>
      <c r="N19" s="36">
        <v>4.5999999999999996</v>
      </c>
      <c r="O19" s="36">
        <v>1.4</v>
      </c>
      <c r="P19" s="36">
        <v>7.9</v>
      </c>
      <c r="Q19" s="36">
        <v>2</v>
      </c>
      <c r="R19" s="36">
        <v>3.2</v>
      </c>
      <c r="S19" s="36">
        <v>2.6</v>
      </c>
      <c r="T19" s="36">
        <v>19.3</v>
      </c>
      <c r="U19" s="36">
        <v>0.4</v>
      </c>
      <c r="W19" s="39">
        <f t="shared" si="1"/>
        <v>0</v>
      </c>
      <c r="X19" s="39">
        <f t="shared" si="2"/>
        <v>0</v>
      </c>
      <c r="Y19" s="39">
        <f t="shared" si="3"/>
        <v>0</v>
      </c>
      <c r="Z19" s="39">
        <f t="shared" si="4"/>
        <v>0</v>
      </c>
      <c r="AA19" s="39">
        <f t="shared" si="5"/>
        <v>0</v>
      </c>
      <c r="AB19" s="39">
        <f t="shared" si="6"/>
        <v>0</v>
      </c>
      <c r="AC19" s="39">
        <f t="shared" si="7"/>
        <v>0</v>
      </c>
      <c r="AD19" s="39">
        <f t="shared" si="8"/>
        <v>0</v>
      </c>
      <c r="AE19" s="39">
        <f t="shared" si="9"/>
        <v>0</v>
      </c>
    </row>
    <row r="20" spans="1:31" s="22" customFormat="1" ht="26.25">
      <c r="A20" s="19" t="s">
        <v>116</v>
      </c>
      <c r="B20" s="20" t="s">
        <v>39</v>
      </c>
      <c r="C20" s="21">
        <v>4.2</v>
      </c>
      <c r="D20" s="21">
        <v>6.3</v>
      </c>
      <c r="E20" s="21">
        <v>12.2</v>
      </c>
      <c r="F20" s="21">
        <v>16.3</v>
      </c>
      <c r="G20" s="21">
        <v>9.8000000000000007</v>
      </c>
      <c r="H20" s="21">
        <v>13.1</v>
      </c>
      <c r="I20" s="21">
        <v>7.4</v>
      </c>
      <c r="J20" s="21">
        <v>13.6</v>
      </c>
      <c r="K20" s="21">
        <v>3</v>
      </c>
      <c r="M20" s="35">
        <v>4.2</v>
      </c>
      <c r="N20" s="36">
        <v>6.3</v>
      </c>
      <c r="O20" s="36">
        <v>12.2</v>
      </c>
      <c r="P20" s="36">
        <v>16.3</v>
      </c>
      <c r="Q20" s="36">
        <v>9.8000000000000007</v>
      </c>
      <c r="R20" s="36">
        <v>13.1</v>
      </c>
      <c r="S20" s="36">
        <v>7.4</v>
      </c>
      <c r="T20" s="36">
        <v>13.6</v>
      </c>
      <c r="U20" s="36">
        <v>3</v>
      </c>
      <c r="W20" s="39">
        <f t="shared" si="1"/>
        <v>0</v>
      </c>
      <c r="X20" s="39">
        <f t="shared" si="2"/>
        <v>0</v>
      </c>
      <c r="Y20" s="39">
        <f t="shared" si="3"/>
        <v>0</v>
      </c>
      <c r="Z20" s="39">
        <f t="shared" si="4"/>
        <v>0</v>
      </c>
      <c r="AA20" s="39">
        <f t="shared" si="5"/>
        <v>0</v>
      </c>
      <c r="AB20" s="39">
        <f t="shared" si="6"/>
        <v>0</v>
      </c>
      <c r="AC20" s="39">
        <f t="shared" si="7"/>
        <v>0</v>
      </c>
      <c r="AD20" s="39">
        <f t="shared" si="8"/>
        <v>0</v>
      </c>
      <c r="AE20" s="39">
        <f t="shared" si="9"/>
        <v>0</v>
      </c>
    </row>
    <row r="21" spans="1:31" ht="26.25">
      <c r="A21" s="3" t="s">
        <v>40</v>
      </c>
      <c r="B21" s="4" t="s">
        <v>41</v>
      </c>
      <c r="C21" s="13">
        <v>4.2</v>
      </c>
      <c r="D21" s="13">
        <v>6.3</v>
      </c>
      <c r="E21" s="13">
        <v>12.2</v>
      </c>
      <c r="F21" s="13">
        <v>16.3</v>
      </c>
      <c r="G21" s="13">
        <v>9.8000000000000007</v>
      </c>
      <c r="H21" s="13">
        <v>13.1</v>
      </c>
      <c r="I21" s="13">
        <v>7.4</v>
      </c>
      <c r="J21" s="13">
        <v>13.6</v>
      </c>
      <c r="K21" s="13">
        <v>3</v>
      </c>
      <c r="M21" s="35">
        <v>4.2</v>
      </c>
      <c r="N21" s="36">
        <v>6.3</v>
      </c>
      <c r="O21" s="36">
        <v>12.2</v>
      </c>
      <c r="P21" s="36">
        <v>16.3</v>
      </c>
      <c r="Q21" s="36">
        <v>9.8000000000000007</v>
      </c>
      <c r="R21" s="36">
        <v>13.1</v>
      </c>
      <c r="S21" s="36">
        <v>7.4</v>
      </c>
      <c r="T21" s="36">
        <v>13.6</v>
      </c>
      <c r="U21" s="36">
        <v>3</v>
      </c>
      <c r="W21" s="39">
        <f t="shared" si="1"/>
        <v>0</v>
      </c>
      <c r="X21" s="39">
        <f t="shared" si="2"/>
        <v>0</v>
      </c>
      <c r="Y21" s="39">
        <f t="shared" si="3"/>
        <v>0</v>
      </c>
      <c r="Z21" s="39">
        <f t="shared" si="4"/>
        <v>0</v>
      </c>
      <c r="AA21" s="39">
        <f t="shared" si="5"/>
        <v>0</v>
      </c>
      <c r="AB21" s="39">
        <f t="shared" si="6"/>
        <v>0</v>
      </c>
      <c r="AC21" s="39">
        <f t="shared" si="7"/>
        <v>0</v>
      </c>
      <c r="AD21" s="39">
        <f t="shared" si="8"/>
        <v>0</v>
      </c>
      <c r="AE21" s="39">
        <f t="shared" si="9"/>
        <v>0</v>
      </c>
    </row>
    <row r="22" spans="1:31" s="22" customFormat="1" ht="39">
      <c r="A22" s="19" t="s">
        <v>117</v>
      </c>
      <c r="B22" s="20" t="s">
        <v>42</v>
      </c>
      <c r="C22" s="21">
        <v>13.8</v>
      </c>
      <c r="D22" s="21">
        <v>19.100000000000001</v>
      </c>
      <c r="E22" s="21">
        <v>50</v>
      </c>
      <c r="F22" s="21">
        <v>26.4</v>
      </c>
      <c r="G22" s="21">
        <v>47.5</v>
      </c>
      <c r="H22" s="21">
        <v>75.2</v>
      </c>
      <c r="I22" s="21">
        <v>4.4000000000000004</v>
      </c>
      <c r="J22" s="21">
        <v>941</v>
      </c>
      <c r="K22" s="21">
        <v>10.6</v>
      </c>
      <c r="M22" s="35">
        <v>13.8</v>
      </c>
      <c r="N22" s="36">
        <v>19.100000000000001</v>
      </c>
      <c r="O22" s="36">
        <v>50</v>
      </c>
      <c r="P22" s="36">
        <v>26.4</v>
      </c>
      <c r="Q22" s="36">
        <v>47.5</v>
      </c>
      <c r="R22" s="36">
        <v>75.2</v>
      </c>
      <c r="S22" s="36">
        <v>4.4000000000000004</v>
      </c>
      <c r="T22" s="36">
        <v>941</v>
      </c>
      <c r="U22" s="36">
        <v>10.6</v>
      </c>
      <c r="W22" s="39">
        <f t="shared" si="1"/>
        <v>0</v>
      </c>
      <c r="X22" s="39">
        <f t="shared" si="2"/>
        <v>0</v>
      </c>
      <c r="Y22" s="39">
        <f t="shared" si="3"/>
        <v>0</v>
      </c>
      <c r="Z22" s="39">
        <f t="shared" si="4"/>
        <v>0</v>
      </c>
      <c r="AA22" s="39">
        <f t="shared" si="5"/>
        <v>0</v>
      </c>
      <c r="AB22" s="39">
        <f t="shared" si="6"/>
        <v>0</v>
      </c>
      <c r="AC22" s="39">
        <f t="shared" si="7"/>
        <v>0</v>
      </c>
      <c r="AD22" s="39">
        <f t="shared" si="8"/>
        <v>0</v>
      </c>
      <c r="AE22" s="39">
        <f t="shared" si="9"/>
        <v>0</v>
      </c>
    </row>
    <row r="23" spans="1:31" ht="15.75">
      <c r="A23" s="3" t="s">
        <v>43</v>
      </c>
      <c r="B23" s="4" t="s">
        <v>44</v>
      </c>
      <c r="C23" s="13">
        <v>16.2</v>
      </c>
      <c r="D23" s="13">
        <v>22.5</v>
      </c>
      <c r="E23" s="13">
        <v>57.5</v>
      </c>
      <c r="F23" s="13">
        <v>33.4</v>
      </c>
      <c r="G23" s="13">
        <v>48.4</v>
      </c>
      <c r="H23" s="13">
        <v>88.8</v>
      </c>
      <c r="I23" s="13">
        <v>4.4000000000000004</v>
      </c>
      <c r="J23" s="13">
        <v>0</v>
      </c>
      <c r="K23" s="13">
        <v>12.4</v>
      </c>
      <c r="M23" s="35">
        <v>16.2</v>
      </c>
      <c r="N23" s="36">
        <v>22.5</v>
      </c>
      <c r="O23" s="36">
        <v>57.5</v>
      </c>
      <c r="P23" s="36">
        <v>33.4</v>
      </c>
      <c r="Q23" s="36">
        <v>48.4</v>
      </c>
      <c r="R23" s="36">
        <v>88.8</v>
      </c>
      <c r="S23" s="36">
        <v>4.4000000000000004</v>
      </c>
      <c r="T23" s="36">
        <v>0</v>
      </c>
      <c r="U23" s="36">
        <v>12.4</v>
      </c>
      <c r="W23" s="39">
        <f t="shared" si="1"/>
        <v>0</v>
      </c>
      <c r="X23" s="39">
        <f t="shared" si="2"/>
        <v>0</v>
      </c>
      <c r="Y23" s="39">
        <f t="shared" si="3"/>
        <v>0</v>
      </c>
      <c r="Z23" s="39">
        <f t="shared" si="4"/>
        <v>0</v>
      </c>
      <c r="AA23" s="39">
        <f t="shared" si="5"/>
        <v>0</v>
      </c>
      <c r="AB23" s="39">
        <f t="shared" si="6"/>
        <v>0</v>
      </c>
      <c r="AC23" s="39">
        <f t="shared" si="7"/>
        <v>0</v>
      </c>
      <c r="AD23" s="39">
        <f t="shared" si="8"/>
        <v>0</v>
      </c>
      <c r="AE23" s="39">
        <f t="shared" si="9"/>
        <v>0</v>
      </c>
    </row>
    <row r="24" spans="1:31" ht="26.25">
      <c r="A24" s="3" t="s">
        <v>45</v>
      </c>
      <c r="B24" s="4" t="s">
        <v>46</v>
      </c>
      <c r="C24" s="13">
        <v>0.4</v>
      </c>
      <c r="D24" s="13">
        <v>0.5</v>
      </c>
      <c r="E24" s="13">
        <v>1.5</v>
      </c>
      <c r="F24" s="13">
        <v>0.5</v>
      </c>
      <c r="G24" s="13">
        <v>8</v>
      </c>
      <c r="H24" s="13">
        <v>1.9</v>
      </c>
      <c r="I24" s="13">
        <v>133.30000000000001</v>
      </c>
      <c r="J24" s="13">
        <v>239.6</v>
      </c>
      <c r="K24" s="13">
        <v>0.4</v>
      </c>
      <c r="M24" s="35">
        <v>0.4</v>
      </c>
      <c r="N24" s="36">
        <v>0.5</v>
      </c>
      <c r="O24" s="36">
        <v>1.5</v>
      </c>
      <c r="P24" s="36">
        <v>0.5</v>
      </c>
      <c r="Q24" s="36">
        <v>8</v>
      </c>
      <c r="R24" s="36">
        <v>1.9</v>
      </c>
      <c r="S24" s="36">
        <v>133.30000000000001</v>
      </c>
      <c r="T24" s="36">
        <v>239.6</v>
      </c>
      <c r="U24" s="36">
        <v>0.4</v>
      </c>
      <c r="W24" s="39">
        <f t="shared" si="1"/>
        <v>0</v>
      </c>
      <c r="X24" s="39">
        <f t="shared" si="2"/>
        <v>0</v>
      </c>
      <c r="Y24" s="39">
        <f t="shared" si="3"/>
        <v>0</v>
      </c>
      <c r="Z24" s="39">
        <f t="shared" si="4"/>
        <v>0</v>
      </c>
      <c r="AA24" s="39">
        <f t="shared" si="5"/>
        <v>0</v>
      </c>
      <c r="AB24" s="39">
        <f t="shared" si="6"/>
        <v>0</v>
      </c>
      <c r="AC24" s="39">
        <f t="shared" si="7"/>
        <v>0</v>
      </c>
      <c r="AD24" s="39">
        <f t="shared" si="8"/>
        <v>0</v>
      </c>
      <c r="AE24" s="39">
        <f t="shared" si="9"/>
        <v>0</v>
      </c>
    </row>
    <row r="25" spans="1:31" s="22" customFormat="1" ht="16.5" thickBot="1">
      <c r="A25" s="19" t="s">
        <v>118</v>
      </c>
      <c r="B25" s="20" t="s">
        <v>47</v>
      </c>
      <c r="C25" s="21">
        <v>-0.5</v>
      </c>
      <c r="D25" s="21">
        <v>-3.9</v>
      </c>
      <c r="E25" s="21">
        <v>-0.5</v>
      </c>
      <c r="F25" s="21">
        <v>-5.8</v>
      </c>
      <c r="G25" s="21">
        <v>-11.2</v>
      </c>
      <c r="H25" s="21">
        <v>-0.5</v>
      </c>
      <c r="I25" s="21">
        <v>3.6</v>
      </c>
      <c r="J25" s="21">
        <v>2.5</v>
      </c>
      <c r="K25" s="21">
        <v>-1</v>
      </c>
      <c r="M25" s="35">
        <v>-0.5</v>
      </c>
      <c r="N25" s="36">
        <v>-3.9</v>
      </c>
      <c r="O25" s="36">
        <v>-0.5</v>
      </c>
      <c r="P25" s="36">
        <v>-5.8</v>
      </c>
      <c r="Q25" s="36">
        <v>-11.2</v>
      </c>
      <c r="R25" s="36">
        <v>-0.5</v>
      </c>
      <c r="S25" s="36">
        <v>3.6</v>
      </c>
      <c r="T25" s="36">
        <v>2.5</v>
      </c>
      <c r="U25" s="36">
        <v>-1</v>
      </c>
      <c r="W25" s="39">
        <f t="shared" si="1"/>
        <v>0</v>
      </c>
      <c r="X25" s="39">
        <f t="shared" si="2"/>
        <v>0</v>
      </c>
      <c r="Y25" s="39">
        <f t="shared" si="3"/>
        <v>0</v>
      </c>
      <c r="Z25" s="39">
        <f t="shared" si="4"/>
        <v>0</v>
      </c>
      <c r="AA25" s="39">
        <f t="shared" si="5"/>
        <v>0</v>
      </c>
      <c r="AB25" s="39">
        <f t="shared" si="6"/>
        <v>0</v>
      </c>
      <c r="AC25" s="39">
        <f t="shared" si="7"/>
        <v>0</v>
      </c>
      <c r="AD25" s="39">
        <f t="shared" si="8"/>
        <v>0</v>
      </c>
      <c r="AE25" s="39">
        <f t="shared" si="9"/>
        <v>0</v>
      </c>
    </row>
    <row r="26" spans="1:31" ht="15.75">
      <c r="A26" s="3" t="s">
        <v>48</v>
      </c>
      <c r="B26" s="4" t="s">
        <v>49</v>
      </c>
      <c r="C26" s="13">
        <v>-0.1</v>
      </c>
      <c r="D26" s="13">
        <v>-3.4</v>
      </c>
      <c r="E26" s="13">
        <v>-0.1</v>
      </c>
      <c r="F26" s="13">
        <v>-4.5</v>
      </c>
      <c r="G26" s="13">
        <v>-7.5</v>
      </c>
      <c r="H26" s="13">
        <v>-0.1</v>
      </c>
      <c r="I26" s="13">
        <v>29.7</v>
      </c>
      <c r="J26" s="13">
        <v>3.3</v>
      </c>
      <c r="K26" s="13">
        <v>-0.3</v>
      </c>
      <c r="M26" s="33">
        <v>-0.1</v>
      </c>
      <c r="N26" s="34">
        <v>-3.4</v>
      </c>
      <c r="O26" s="34">
        <v>-0.1</v>
      </c>
      <c r="P26" s="34">
        <v>-4.5</v>
      </c>
      <c r="Q26" s="34">
        <v>-7.5</v>
      </c>
      <c r="R26" s="34">
        <v>-0.1</v>
      </c>
      <c r="S26" s="34">
        <v>29.7</v>
      </c>
      <c r="T26" s="34">
        <v>3.3</v>
      </c>
      <c r="U26" s="34">
        <v>-0.3</v>
      </c>
      <c r="W26" s="39">
        <f t="shared" si="1"/>
        <v>0</v>
      </c>
      <c r="X26" s="39">
        <f t="shared" si="2"/>
        <v>0</v>
      </c>
      <c r="Y26" s="39">
        <f t="shared" si="3"/>
        <v>0</v>
      </c>
      <c r="Z26" s="39">
        <f t="shared" si="4"/>
        <v>0</v>
      </c>
      <c r="AA26" s="39">
        <f t="shared" si="5"/>
        <v>0</v>
      </c>
      <c r="AB26" s="39">
        <f t="shared" si="6"/>
        <v>0</v>
      </c>
      <c r="AC26" s="39">
        <f t="shared" si="7"/>
        <v>0</v>
      </c>
      <c r="AD26" s="39">
        <f t="shared" si="8"/>
        <v>0</v>
      </c>
      <c r="AE26" s="39">
        <f t="shared" si="9"/>
        <v>0</v>
      </c>
    </row>
    <row r="27" spans="1:31" ht="15.75">
      <c r="A27" s="3" t="s">
        <v>50</v>
      </c>
      <c r="B27" s="4" t="s">
        <v>51</v>
      </c>
      <c r="C27" s="13">
        <v>-1.6</v>
      </c>
      <c r="D27" s="13">
        <v>-4.5999999999999996</v>
      </c>
      <c r="E27" s="13">
        <v>-2.6</v>
      </c>
      <c r="F27" s="13">
        <v>-6.9</v>
      </c>
      <c r="G27" s="13">
        <v>-14.1</v>
      </c>
      <c r="H27" s="13">
        <v>-2.6</v>
      </c>
      <c r="I27" s="13">
        <v>1.6</v>
      </c>
      <c r="J27" s="13">
        <v>1.4</v>
      </c>
      <c r="K27" s="13">
        <v>-3.2</v>
      </c>
      <c r="M27" s="35">
        <v>-1.6</v>
      </c>
      <c r="N27" s="36">
        <v>-4.5999999999999996</v>
      </c>
      <c r="O27" s="36">
        <v>-2.6</v>
      </c>
      <c r="P27" s="36">
        <v>-6.9</v>
      </c>
      <c r="Q27" s="36">
        <v>-14.1</v>
      </c>
      <c r="R27" s="36">
        <v>-2.6</v>
      </c>
      <c r="S27" s="36">
        <v>1.6</v>
      </c>
      <c r="T27" s="36">
        <v>1.4</v>
      </c>
      <c r="U27" s="36">
        <v>-3.2</v>
      </c>
      <c r="W27" s="39">
        <f t="shared" si="1"/>
        <v>0</v>
      </c>
      <c r="X27" s="39">
        <f t="shared" si="2"/>
        <v>0</v>
      </c>
      <c r="Y27" s="39">
        <f t="shared" si="3"/>
        <v>0</v>
      </c>
      <c r="Z27" s="39">
        <f t="shared" si="4"/>
        <v>0</v>
      </c>
      <c r="AA27" s="39">
        <f t="shared" si="5"/>
        <v>0</v>
      </c>
      <c r="AB27" s="39">
        <f t="shared" si="6"/>
        <v>0</v>
      </c>
      <c r="AC27" s="39">
        <f t="shared" si="7"/>
        <v>0</v>
      </c>
      <c r="AD27" s="39">
        <f t="shared" si="8"/>
        <v>0</v>
      </c>
      <c r="AE27" s="39">
        <f t="shared" si="9"/>
        <v>0</v>
      </c>
    </row>
    <row r="28" spans="1:31" ht="15.75">
      <c r="A28" s="3" t="s">
        <v>52</v>
      </c>
      <c r="B28" s="4" t="s">
        <v>53</v>
      </c>
      <c r="C28" s="13">
        <v>19.399999999999999</v>
      </c>
      <c r="D28" s="13">
        <v>38.9</v>
      </c>
      <c r="E28" s="13">
        <v>38.700000000000003</v>
      </c>
      <c r="F28" s="13">
        <v>231.9</v>
      </c>
      <c r="G28" s="13">
        <v>572.4</v>
      </c>
      <c r="H28" s="13">
        <v>22</v>
      </c>
      <c r="I28" s="13" t="s">
        <v>34</v>
      </c>
      <c r="J28" s="13">
        <v>0</v>
      </c>
      <c r="K28" s="13">
        <v>16.600000000000001</v>
      </c>
      <c r="M28" s="35">
        <v>19.399999999999999</v>
      </c>
      <c r="N28" s="36">
        <v>38.9</v>
      </c>
      <c r="O28" s="36">
        <v>38.700000000000003</v>
      </c>
      <c r="P28" s="36">
        <v>231.9</v>
      </c>
      <c r="Q28" s="36">
        <v>572.4</v>
      </c>
      <c r="R28" s="36">
        <v>22</v>
      </c>
      <c r="S28" s="36" t="s">
        <v>34</v>
      </c>
      <c r="T28" s="36">
        <v>0</v>
      </c>
      <c r="U28" s="36">
        <v>16.600000000000001</v>
      </c>
      <c r="W28" s="39">
        <f t="shared" si="1"/>
        <v>0</v>
      </c>
      <c r="X28" s="39">
        <f t="shared" si="2"/>
        <v>0</v>
      </c>
      <c r="Y28" s="39">
        <f t="shared" si="3"/>
        <v>0</v>
      </c>
      <c r="Z28" s="39">
        <f t="shared" si="4"/>
        <v>0</v>
      </c>
      <c r="AA28" s="39">
        <f t="shared" si="5"/>
        <v>0</v>
      </c>
      <c r="AB28" s="39">
        <f t="shared" si="6"/>
        <v>0</v>
      </c>
      <c r="AC28" s="39" t="e">
        <f t="shared" si="7"/>
        <v>#VALUE!</v>
      </c>
      <c r="AD28" s="39">
        <f t="shared" si="8"/>
        <v>0</v>
      </c>
      <c r="AE28" s="39">
        <f t="shared" si="9"/>
        <v>0</v>
      </c>
    </row>
    <row r="29" spans="1:31" s="22" customFormat="1" ht="26.25">
      <c r="A29" s="19" t="s">
        <v>119</v>
      </c>
      <c r="B29" s="20" t="s">
        <v>54</v>
      </c>
      <c r="C29" s="21">
        <v>5.3</v>
      </c>
      <c r="D29" s="21">
        <v>30.6</v>
      </c>
      <c r="E29" s="21">
        <v>6.4</v>
      </c>
      <c r="F29" s="21">
        <v>18.3</v>
      </c>
      <c r="G29" s="21">
        <v>18.899999999999999</v>
      </c>
      <c r="H29" s="21">
        <v>12.3</v>
      </c>
      <c r="I29" s="21">
        <v>4.0999999999999996</v>
      </c>
      <c r="J29" s="21">
        <v>9.6</v>
      </c>
      <c r="K29" s="21">
        <v>4.0999999999999996</v>
      </c>
      <c r="M29" s="35">
        <v>5.3</v>
      </c>
      <c r="N29" s="36">
        <v>30.6</v>
      </c>
      <c r="O29" s="36">
        <v>6.4</v>
      </c>
      <c r="P29" s="36">
        <v>18.3</v>
      </c>
      <c r="Q29" s="36">
        <v>18.899999999999999</v>
      </c>
      <c r="R29" s="36">
        <v>12.3</v>
      </c>
      <c r="S29" s="36">
        <v>4.0999999999999996</v>
      </c>
      <c r="T29" s="36">
        <v>9.6</v>
      </c>
      <c r="U29" s="36">
        <v>4.0999999999999996</v>
      </c>
      <c r="W29" s="39">
        <f t="shared" si="1"/>
        <v>0</v>
      </c>
      <c r="X29" s="39">
        <f t="shared" si="2"/>
        <v>0</v>
      </c>
      <c r="Y29" s="39">
        <f t="shared" si="3"/>
        <v>0</v>
      </c>
      <c r="Z29" s="39">
        <f t="shared" si="4"/>
        <v>0</v>
      </c>
      <c r="AA29" s="39">
        <f t="shared" si="5"/>
        <v>0</v>
      </c>
      <c r="AB29" s="39">
        <f t="shared" si="6"/>
        <v>0</v>
      </c>
      <c r="AC29" s="39">
        <f t="shared" si="7"/>
        <v>0</v>
      </c>
      <c r="AD29" s="39">
        <f t="shared" si="8"/>
        <v>0</v>
      </c>
      <c r="AE29" s="39">
        <f t="shared" si="9"/>
        <v>0</v>
      </c>
    </row>
    <row r="30" spans="1:31" ht="26.25">
      <c r="A30" s="3" t="s">
        <v>55</v>
      </c>
      <c r="B30" s="4" t="s">
        <v>56</v>
      </c>
      <c r="C30" s="13">
        <v>5.6</v>
      </c>
      <c r="D30" s="13">
        <v>42.6</v>
      </c>
      <c r="E30" s="13">
        <v>6.5</v>
      </c>
      <c r="F30" s="13">
        <v>17.7</v>
      </c>
      <c r="G30" s="13">
        <v>20.2</v>
      </c>
      <c r="H30" s="13">
        <v>14</v>
      </c>
      <c r="I30" s="13">
        <v>5.8</v>
      </c>
      <c r="J30" s="13">
        <v>9.4</v>
      </c>
      <c r="K30" s="13">
        <v>4.5</v>
      </c>
      <c r="M30" s="35">
        <v>5.6</v>
      </c>
      <c r="N30" s="36">
        <v>42.6</v>
      </c>
      <c r="O30" s="36">
        <v>6.5</v>
      </c>
      <c r="P30" s="36">
        <v>17.7</v>
      </c>
      <c r="Q30" s="36">
        <v>20.2</v>
      </c>
      <c r="R30" s="36">
        <v>14</v>
      </c>
      <c r="S30" s="36">
        <v>5.8</v>
      </c>
      <c r="T30" s="36">
        <v>9.4</v>
      </c>
      <c r="U30" s="36">
        <v>4.5</v>
      </c>
      <c r="W30" s="39">
        <f t="shared" si="1"/>
        <v>0</v>
      </c>
      <c r="X30" s="39">
        <f t="shared" si="2"/>
        <v>0</v>
      </c>
      <c r="Y30" s="39">
        <f t="shared" si="3"/>
        <v>0</v>
      </c>
      <c r="Z30" s="39">
        <f t="shared" si="4"/>
        <v>0</v>
      </c>
      <c r="AA30" s="39">
        <f t="shared" si="5"/>
        <v>0</v>
      </c>
      <c r="AB30" s="39">
        <f t="shared" si="6"/>
        <v>0</v>
      </c>
      <c r="AC30" s="39">
        <f t="shared" si="7"/>
        <v>0</v>
      </c>
      <c r="AD30" s="39">
        <f t="shared" si="8"/>
        <v>0</v>
      </c>
      <c r="AE30" s="39">
        <f t="shared" si="9"/>
        <v>0</v>
      </c>
    </row>
    <row r="31" spans="1:31" ht="26.25">
      <c r="A31" s="3" t="s">
        <v>57</v>
      </c>
      <c r="B31" s="4" t="s">
        <v>58</v>
      </c>
      <c r="C31" s="13">
        <v>2.6</v>
      </c>
      <c r="D31" s="13">
        <v>5.3</v>
      </c>
      <c r="E31" s="13">
        <v>5.2</v>
      </c>
      <c r="F31" s="13">
        <v>39.799999999999997</v>
      </c>
      <c r="G31" s="13">
        <v>9.1</v>
      </c>
      <c r="H31" s="13">
        <v>4.0999999999999996</v>
      </c>
      <c r="I31" s="13">
        <v>1.3</v>
      </c>
      <c r="J31" s="13">
        <v>23.8</v>
      </c>
      <c r="K31" s="13">
        <v>1.6</v>
      </c>
      <c r="M31" s="35">
        <v>2.6</v>
      </c>
      <c r="N31" s="36">
        <v>5.3</v>
      </c>
      <c r="O31" s="36">
        <v>5.2</v>
      </c>
      <c r="P31" s="36">
        <v>39.799999999999997</v>
      </c>
      <c r="Q31" s="36">
        <v>9.1</v>
      </c>
      <c r="R31" s="36">
        <v>4.0999999999999996</v>
      </c>
      <c r="S31" s="36">
        <v>1.3</v>
      </c>
      <c r="T31" s="36">
        <v>23.8</v>
      </c>
      <c r="U31" s="36">
        <v>1.6</v>
      </c>
      <c r="W31" s="39">
        <f t="shared" si="1"/>
        <v>0</v>
      </c>
      <c r="X31" s="39">
        <f t="shared" si="2"/>
        <v>0</v>
      </c>
      <c r="Y31" s="39">
        <f t="shared" si="3"/>
        <v>0</v>
      </c>
      <c r="Z31" s="39">
        <f t="shared" si="4"/>
        <v>0</v>
      </c>
      <c r="AA31" s="39">
        <f t="shared" si="5"/>
        <v>0</v>
      </c>
      <c r="AB31" s="39">
        <f t="shared" si="6"/>
        <v>0</v>
      </c>
      <c r="AC31" s="39">
        <f t="shared" si="7"/>
        <v>0</v>
      </c>
      <c r="AD31" s="39">
        <f t="shared" si="8"/>
        <v>0</v>
      </c>
      <c r="AE31" s="39">
        <f t="shared" si="9"/>
        <v>0</v>
      </c>
    </row>
    <row r="32" spans="1:31" s="22" customFormat="1" ht="15.75">
      <c r="A32" s="19" t="s">
        <v>120</v>
      </c>
      <c r="B32" s="20" t="s">
        <v>59</v>
      </c>
      <c r="C32" s="21">
        <v>2.4</v>
      </c>
      <c r="D32" s="21">
        <v>2.9</v>
      </c>
      <c r="E32" s="21">
        <v>14.1</v>
      </c>
      <c r="F32" s="21">
        <v>5.6</v>
      </c>
      <c r="G32" s="21">
        <v>4.9000000000000004</v>
      </c>
      <c r="H32" s="21">
        <v>28</v>
      </c>
      <c r="I32" s="21">
        <v>4.5999999999999996</v>
      </c>
      <c r="J32" s="21">
        <v>42.9</v>
      </c>
      <c r="K32" s="21">
        <v>1.6</v>
      </c>
      <c r="M32" s="35">
        <v>2.4</v>
      </c>
      <c r="N32" s="36">
        <v>2.9</v>
      </c>
      <c r="O32" s="36">
        <v>14.1</v>
      </c>
      <c r="P32" s="36">
        <v>5.6</v>
      </c>
      <c r="Q32" s="36">
        <v>4.9000000000000004</v>
      </c>
      <c r="R32" s="36">
        <v>28</v>
      </c>
      <c r="S32" s="36">
        <v>4.5999999999999996</v>
      </c>
      <c r="T32" s="36">
        <v>42.9</v>
      </c>
      <c r="U32" s="36">
        <v>1.6</v>
      </c>
      <c r="W32" s="39">
        <f t="shared" si="1"/>
        <v>0</v>
      </c>
      <c r="X32" s="39">
        <f t="shared" si="2"/>
        <v>0</v>
      </c>
      <c r="Y32" s="39">
        <f t="shared" si="3"/>
        <v>0</v>
      </c>
      <c r="Z32" s="39">
        <f t="shared" si="4"/>
        <v>0</v>
      </c>
      <c r="AA32" s="39">
        <f t="shared" si="5"/>
        <v>0</v>
      </c>
      <c r="AB32" s="39">
        <f t="shared" si="6"/>
        <v>0</v>
      </c>
      <c r="AC32" s="39">
        <f t="shared" si="7"/>
        <v>0</v>
      </c>
      <c r="AD32" s="39">
        <f t="shared" si="8"/>
        <v>0</v>
      </c>
      <c r="AE32" s="39">
        <f t="shared" si="9"/>
        <v>0</v>
      </c>
    </row>
    <row r="33" spans="1:31" ht="15.75">
      <c r="A33" s="3" t="s">
        <v>60</v>
      </c>
      <c r="B33" s="4" t="s">
        <v>61</v>
      </c>
      <c r="C33" s="13">
        <v>6.9</v>
      </c>
      <c r="D33" s="13">
        <v>12.7</v>
      </c>
      <c r="E33" s="13">
        <v>15.2</v>
      </c>
      <c r="F33" s="13">
        <v>8.8000000000000007</v>
      </c>
      <c r="G33" s="13">
        <v>124.4</v>
      </c>
      <c r="H33" s="13">
        <v>43.4</v>
      </c>
      <c r="I33" s="13" t="s">
        <v>34</v>
      </c>
      <c r="J33" s="13">
        <v>1098666.7</v>
      </c>
      <c r="K33" s="13">
        <v>5.6</v>
      </c>
      <c r="M33" s="35">
        <v>6.9</v>
      </c>
      <c r="N33" s="36">
        <v>12.7</v>
      </c>
      <c r="O33" s="36">
        <v>15.2</v>
      </c>
      <c r="P33" s="36">
        <v>8.8000000000000007</v>
      </c>
      <c r="Q33" s="36">
        <v>124.4</v>
      </c>
      <c r="R33" s="36">
        <v>43.4</v>
      </c>
      <c r="S33" s="36" t="s">
        <v>34</v>
      </c>
      <c r="T33" s="36">
        <v>1098666.7</v>
      </c>
      <c r="U33" s="36">
        <v>5.6</v>
      </c>
      <c r="W33" s="39">
        <f t="shared" si="1"/>
        <v>0</v>
      </c>
      <c r="X33" s="39">
        <f t="shared" si="2"/>
        <v>0</v>
      </c>
      <c r="Y33" s="39">
        <f t="shared" si="3"/>
        <v>0</v>
      </c>
      <c r="Z33" s="39">
        <f t="shared" si="4"/>
        <v>0</v>
      </c>
      <c r="AA33" s="39">
        <f t="shared" si="5"/>
        <v>0</v>
      </c>
      <c r="AB33" s="39">
        <f t="shared" si="6"/>
        <v>0</v>
      </c>
      <c r="AC33" s="39" t="e">
        <f t="shared" si="7"/>
        <v>#VALUE!</v>
      </c>
      <c r="AD33" s="39">
        <f t="shared" si="8"/>
        <v>0</v>
      </c>
      <c r="AE33" s="39">
        <f t="shared" si="9"/>
        <v>0</v>
      </c>
    </row>
    <row r="34" spans="1:31" ht="16.5" thickBot="1">
      <c r="A34" s="3" t="s">
        <v>62</v>
      </c>
      <c r="B34" s="4" t="s">
        <v>63</v>
      </c>
      <c r="C34" s="13">
        <v>-1.7</v>
      </c>
      <c r="D34" s="13">
        <v>-2</v>
      </c>
      <c r="E34" s="13">
        <v>-14.6</v>
      </c>
      <c r="F34" s="13">
        <v>-3.5</v>
      </c>
      <c r="G34" s="13">
        <v>-5.7</v>
      </c>
      <c r="H34" s="13">
        <v>-8.3000000000000007</v>
      </c>
      <c r="I34" s="13">
        <v>1.7</v>
      </c>
      <c r="J34" s="13">
        <v>4</v>
      </c>
      <c r="K34" s="13">
        <v>-1.6</v>
      </c>
      <c r="M34" s="35">
        <v>-1.7</v>
      </c>
      <c r="N34" s="36">
        <v>-2</v>
      </c>
      <c r="O34" s="36">
        <v>-14.6</v>
      </c>
      <c r="P34" s="36">
        <v>-3.5</v>
      </c>
      <c r="Q34" s="36">
        <v>-5.7</v>
      </c>
      <c r="R34" s="36">
        <v>-8.3000000000000007</v>
      </c>
      <c r="S34" s="36">
        <v>1.7</v>
      </c>
      <c r="T34" s="36">
        <v>4</v>
      </c>
      <c r="U34" s="36">
        <v>-1.6</v>
      </c>
      <c r="W34" s="39">
        <f t="shared" si="1"/>
        <v>0</v>
      </c>
      <c r="X34" s="39">
        <f t="shared" si="2"/>
        <v>0</v>
      </c>
      <c r="Y34" s="39">
        <f t="shared" si="3"/>
        <v>0</v>
      </c>
      <c r="Z34" s="39">
        <f t="shared" si="4"/>
        <v>0</v>
      </c>
      <c r="AA34" s="39">
        <f t="shared" si="5"/>
        <v>0</v>
      </c>
      <c r="AB34" s="39">
        <f t="shared" si="6"/>
        <v>0</v>
      </c>
      <c r="AC34" s="39">
        <f t="shared" si="7"/>
        <v>0</v>
      </c>
      <c r="AD34" s="39">
        <f t="shared" si="8"/>
        <v>0</v>
      </c>
      <c r="AE34" s="39">
        <f t="shared" si="9"/>
        <v>0</v>
      </c>
    </row>
    <row r="35" spans="1:31" ht="15.75">
      <c r="A35" s="3" t="s">
        <v>64</v>
      </c>
      <c r="B35" s="4" t="s">
        <v>65</v>
      </c>
      <c r="C35" s="13">
        <v>4.8</v>
      </c>
      <c r="D35" s="13">
        <v>6</v>
      </c>
      <c r="E35" s="13">
        <v>23.8</v>
      </c>
      <c r="F35" s="13">
        <v>10.4</v>
      </c>
      <c r="G35" s="13">
        <v>11.2</v>
      </c>
      <c r="H35" s="13">
        <v>45.1</v>
      </c>
      <c r="I35" s="13" t="s">
        <v>34</v>
      </c>
      <c r="J35" s="13">
        <v>557.70000000000005</v>
      </c>
      <c r="K35" s="13">
        <v>3.1</v>
      </c>
      <c r="M35" s="33">
        <v>4.8</v>
      </c>
      <c r="N35" s="34">
        <v>6</v>
      </c>
      <c r="O35" s="34">
        <v>23.8</v>
      </c>
      <c r="P35" s="34">
        <v>10.4</v>
      </c>
      <c r="Q35" s="34">
        <v>11.2</v>
      </c>
      <c r="R35" s="34">
        <v>45.1</v>
      </c>
      <c r="S35" s="34" t="s">
        <v>34</v>
      </c>
      <c r="T35" s="34">
        <v>557.70000000000005</v>
      </c>
      <c r="U35" s="34">
        <v>3.1</v>
      </c>
      <c r="W35" s="39">
        <f t="shared" si="1"/>
        <v>0</v>
      </c>
      <c r="X35" s="39">
        <f t="shared" si="2"/>
        <v>0</v>
      </c>
      <c r="Y35" s="39">
        <f t="shared" si="3"/>
        <v>0</v>
      </c>
      <c r="Z35" s="39">
        <f t="shared" si="4"/>
        <v>0</v>
      </c>
      <c r="AA35" s="39">
        <f t="shared" si="5"/>
        <v>0</v>
      </c>
      <c r="AB35" s="39">
        <f t="shared" si="6"/>
        <v>0</v>
      </c>
      <c r="AC35" s="39" t="e">
        <f t="shared" si="7"/>
        <v>#VALUE!</v>
      </c>
      <c r="AD35" s="39">
        <f t="shared" si="8"/>
        <v>0</v>
      </c>
      <c r="AE35" s="39">
        <f t="shared" si="9"/>
        <v>0</v>
      </c>
    </row>
    <row r="36" spans="1:31" ht="26.25">
      <c r="A36" s="3" t="s">
        <v>66</v>
      </c>
      <c r="B36" s="4" t="s">
        <v>67</v>
      </c>
      <c r="C36" s="13">
        <v>2.4</v>
      </c>
      <c r="D36" s="13">
        <v>2.9</v>
      </c>
      <c r="E36" s="13">
        <v>15</v>
      </c>
      <c r="F36" s="13">
        <v>6.1</v>
      </c>
      <c r="G36" s="13">
        <v>4.4000000000000004</v>
      </c>
      <c r="H36" s="13">
        <v>42.1</v>
      </c>
      <c r="I36" s="13">
        <v>10.4</v>
      </c>
      <c r="J36" s="13">
        <v>28.5</v>
      </c>
      <c r="K36" s="13">
        <v>1.7</v>
      </c>
      <c r="M36" s="35">
        <v>2.4</v>
      </c>
      <c r="N36" s="36">
        <v>2.9</v>
      </c>
      <c r="O36" s="36">
        <v>15</v>
      </c>
      <c r="P36" s="36">
        <v>6.1</v>
      </c>
      <c r="Q36" s="36">
        <v>4.4000000000000004</v>
      </c>
      <c r="R36" s="36">
        <v>42.1</v>
      </c>
      <c r="S36" s="36">
        <v>10.4</v>
      </c>
      <c r="T36" s="36">
        <v>28.5</v>
      </c>
      <c r="U36" s="36">
        <v>1.7</v>
      </c>
      <c r="W36" s="39">
        <f t="shared" si="1"/>
        <v>0</v>
      </c>
      <c r="X36" s="39">
        <f t="shared" si="2"/>
        <v>0</v>
      </c>
      <c r="Y36" s="39">
        <f t="shared" si="3"/>
        <v>0</v>
      </c>
      <c r="Z36" s="39">
        <f t="shared" si="4"/>
        <v>0</v>
      </c>
      <c r="AA36" s="39">
        <f t="shared" si="5"/>
        <v>0</v>
      </c>
      <c r="AB36" s="39">
        <f t="shared" si="6"/>
        <v>0</v>
      </c>
      <c r="AC36" s="39">
        <f t="shared" si="7"/>
        <v>0</v>
      </c>
      <c r="AD36" s="39">
        <f t="shared" si="8"/>
        <v>0</v>
      </c>
      <c r="AE36" s="39">
        <f t="shared" si="9"/>
        <v>0</v>
      </c>
    </row>
    <row r="37" spans="1:31" s="22" customFormat="1" ht="26.25">
      <c r="A37" s="19" t="s">
        <v>121</v>
      </c>
      <c r="B37" s="20" t="s">
        <v>68</v>
      </c>
      <c r="C37" s="21">
        <v>-9.1</v>
      </c>
      <c r="D37" s="21">
        <v>-10.9</v>
      </c>
      <c r="E37" s="21">
        <v>-56.3</v>
      </c>
      <c r="F37" s="21">
        <v>-38.1</v>
      </c>
      <c r="G37" s="21">
        <v>-13.4</v>
      </c>
      <c r="H37" s="21">
        <v>-111</v>
      </c>
      <c r="I37" s="21">
        <v>9.1999999999999993</v>
      </c>
      <c r="J37" s="21">
        <v>5.0999999999999996</v>
      </c>
      <c r="K37" s="21">
        <v>-9.3000000000000007</v>
      </c>
      <c r="M37" s="35">
        <v>-9.1</v>
      </c>
      <c r="N37" s="36">
        <v>-10.9</v>
      </c>
      <c r="O37" s="36">
        <v>-56.3</v>
      </c>
      <c r="P37" s="36">
        <v>-38.1</v>
      </c>
      <c r="Q37" s="36">
        <v>-13.4</v>
      </c>
      <c r="R37" s="36">
        <v>-111</v>
      </c>
      <c r="S37" s="36">
        <v>9.1999999999999993</v>
      </c>
      <c r="T37" s="36">
        <v>5.0999999999999996</v>
      </c>
      <c r="U37" s="36">
        <v>-9.3000000000000007</v>
      </c>
      <c r="W37" s="39">
        <f t="shared" si="1"/>
        <v>0</v>
      </c>
      <c r="X37" s="39">
        <f t="shared" si="2"/>
        <v>0</v>
      </c>
      <c r="Y37" s="39">
        <f t="shared" si="3"/>
        <v>0</v>
      </c>
      <c r="Z37" s="39">
        <f t="shared" si="4"/>
        <v>0</v>
      </c>
      <c r="AA37" s="39">
        <f t="shared" si="5"/>
        <v>0</v>
      </c>
      <c r="AB37" s="39">
        <f t="shared" si="6"/>
        <v>0</v>
      </c>
      <c r="AC37" s="39">
        <f t="shared" si="7"/>
        <v>0</v>
      </c>
      <c r="AD37" s="39">
        <f t="shared" si="8"/>
        <v>0</v>
      </c>
      <c r="AE37" s="39">
        <f t="shared" si="9"/>
        <v>0</v>
      </c>
    </row>
    <row r="38" spans="1:31" ht="26.25">
      <c r="A38" s="3" t="s">
        <v>69</v>
      </c>
      <c r="B38" s="4" t="s">
        <v>70</v>
      </c>
      <c r="C38" s="13">
        <v>-9.1</v>
      </c>
      <c r="D38" s="13">
        <v>-10.9</v>
      </c>
      <c r="E38" s="13">
        <v>-56.7</v>
      </c>
      <c r="F38" s="13">
        <v>-38.1</v>
      </c>
      <c r="G38" s="13">
        <v>-13.4</v>
      </c>
      <c r="H38" s="13">
        <v>-112.9</v>
      </c>
      <c r="I38" s="13">
        <v>9.1999999999999993</v>
      </c>
      <c r="J38" s="13">
        <v>5.0999999999999996</v>
      </c>
      <c r="K38" s="13">
        <v>-9.4</v>
      </c>
      <c r="M38" s="35">
        <v>-9.1</v>
      </c>
      <c r="N38" s="36">
        <v>-10.9</v>
      </c>
      <c r="O38" s="36">
        <v>-56.7</v>
      </c>
      <c r="P38" s="36">
        <v>-38.1</v>
      </c>
      <c r="Q38" s="36">
        <v>-13.4</v>
      </c>
      <c r="R38" s="36">
        <v>-112.9</v>
      </c>
      <c r="S38" s="36">
        <v>9.1999999999999993</v>
      </c>
      <c r="T38" s="36">
        <v>5.0999999999999996</v>
      </c>
      <c r="U38" s="36">
        <v>-9.4</v>
      </c>
      <c r="W38" s="39">
        <f t="shared" si="1"/>
        <v>0</v>
      </c>
      <c r="X38" s="39">
        <f t="shared" si="2"/>
        <v>0</v>
      </c>
      <c r="Y38" s="39">
        <f t="shared" si="3"/>
        <v>0</v>
      </c>
      <c r="Z38" s="39">
        <f t="shared" si="4"/>
        <v>0</v>
      </c>
      <c r="AA38" s="39">
        <f t="shared" si="5"/>
        <v>0</v>
      </c>
      <c r="AB38" s="39">
        <f t="shared" si="6"/>
        <v>0</v>
      </c>
      <c r="AC38" s="39">
        <f t="shared" si="7"/>
        <v>0</v>
      </c>
      <c r="AD38" s="39">
        <f t="shared" si="8"/>
        <v>0</v>
      </c>
      <c r="AE38" s="39">
        <f t="shared" si="9"/>
        <v>0</v>
      </c>
    </row>
    <row r="39" spans="1:31" ht="26.25">
      <c r="A39" s="3" t="s">
        <v>71</v>
      </c>
      <c r="B39" s="4" t="s">
        <v>72</v>
      </c>
      <c r="C39" s="13">
        <v>6.8</v>
      </c>
      <c r="D39" s="13">
        <v>669.6</v>
      </c>
      <c r="E39" s="13">
        <v>6.8</v>
      </c>
      <c r="F39" s="13">
        <v>24</v>
      </c>
      <c r="G39" s="13">
        <v>0</v>
      </c>
      <c r="H39" s="13">
        <v>5.3</v>
      </c>
      <c r="I39" s="13" t="s">
        <v>34</v>
      </c>
      <c r="J39" s="13" t="s">
        <v>34</v>
      </c>
      <c r="K39" s="13">
        <v>-4.4000000000000004</v>
      </c>
      <c r="M39" s="35">
        <v>6.8</v>
      </c>
      <c r="N39" s="36">
        <v>669.6</v>
      </c>
      <c r="O39" s="36">
        <v>6.8</v>
      </c>
      <c r="P39" s="36">
        <v>24</v>
      </c>
      <c r="Q39" s="36">
        <v>0</v>
      </c>
      <c r="R39" s="36">
        <v>5.3</v>
      </c>
      <c r="S39" s="36" t="s">
        <v>34</v>
      </c>
      <c r="T39" s="36" t="s">
        <v>34</v>
      </c>
      <c r="U39" s="36">
        <v>-4.4000000000000004</v>
      </c>
      <c r="W39" s="39">
        <f t="shared" si="1"/>
        <v>0</v>
      </c>
      <c r="X39" s="39">
        <f t="shared" si="2"/>
        <v>0</v>
      </c>
      <c r="Y39" s="39">
        <f t="shared" si="3"/>
        <v>0</v>
      </c>
      <c r="Z39" s="39">
        <f t="shared" si="4"/>
        <v>0</v>
      </c>
      <c r="AA39" s="39">
        <f t="shared" si="5"/>
        <v>0</v>
      </c>
      <c r="AB39" s="39">
        <f t="shared" si="6"/>
        <v>0</v>
      </c>
      <c r="AC39" s="39" t="e">
        <f t="shared" si="7"/>
        <v>#VALUE!</v>
      </c>
      <c r="AD39" s="39" t="e">
        <f t="shared" si="8"/>
        <v>#VALUE!</v>
      </c>
      <c r="AE39" s="39">
        <f t="shared" si="9"/>
        <v>0</v>
      </c>
    </row>
    <row r="40" spans="1:31" s="22" customFormat="1" ht="15.75">
      <c r="A40" s="19" t="s">
        <v>122</v>
      </c>
      <c r="B40" s="20" t="s">
        <v>73</v>
      </c>
      <c r="C40" s="21">
        <v>-5.5</v>
      </c>
      <c r="D40" s="21">
        <v>-37.1</v>
      </c>
      <c r="E40" s="21">
        <v>-6.5</v>
      </c>
      <c r="F40" s="21">
        <v>-59.2</v>
      </c>
      <c r="G40" s="21">
        <v>-6.1</v>
      </c>
      <c r="H40" s="21">
        <v>-1610.7</v>
      </c>
      <c r="I40" s="21">
        <v>5.8</v>
      </c>
      <c r="J40" s="21">
        <v>51.7</v>
      </c>
      <c r="K40" s="21">
        <v>2.7</v>
      </c>
      <c r="M40" s="35">
        <v>-5.5</v>
      </c>
      <c r="N40" s="36">
        <v>-37.1</v>
      </c>
      <c r="O40" s="36">
        <v>-6.5</v>
      </c>
      <c r="P40" s="36">
        <v>-59.2</v>
      </c>
      <c r="Q40" s="36">
        <v>-6.1</v>
      </c>
      <c r="R40" s="36">
        <v>-1610.7</v>
      </c>
      <c r="S40" s="36">
        <v>5.8</v>
      </c>
      <c r="T40" s="36">
        <v>51.7</v>
      </c>
      <c r="U40" s="36">
        <v>2.7</v>
      </c>
      <c r="W40" s="39">
        <f t="shared" si="1"/>
        <v>0</v>
      </c>
      <c r="X40" s="39">
        <f t="shared" si="2"/>
        <v>0</v>
      </c>
      <c r="Y40" s="39">
        <f t="shared" si="3"/>
        <v>0</v>
      </c>
      <c r="Z40" s="39">
        <f t="shared" si="4"/>
        <v>0</v>
      </c>
      <c r="AA40" s="39">
        <f t="shared" si="5"/>
        <v>0</v>
      </c>
      <c r="AB40" s="39">
        <f t="shared" si="6"/>
        <v>0</v>
      </c>
      <c r="AC40" s="39">
        <f t="shared" si="7"/>
        <v>0</v>
      </c>
      <c r="AD40" s="39">
        <f t="shared" si="8"/>
        <v>0</v>
      </c>
      <c r="AE40" s="39">
        <f t="shared" si="9"/>
        <v>0</v>
      </c>
    </row>
    <row r="41" spans="1:31" ht="26.25">
      <c r="A41" s="3" t="s">
        <v>74</v>
      </c>
      <c r="B41" s="4" t="s">
        <v>75</v>
      </c>
      <c r="C41" s="13">
        <v>-5.5</v>
      </c>
      <c r="D41" s="13">
        <v>-37.1</v>
      </c>
      <c r="E41" s="13">
        <v>-6.5</v>
      </c>
      <c r="F41" s="13">
        <v>-59.2</v>
      </c>
      <c r="G41" s="13">
        <v>-6.1</v>
      </c>
      <c r="H41" s="13">
        <v>-1610.7</v>
      </c>
      <c r="I41" s="13">
        <v>5.8</v>
      </c>
      <c r="J41" s="13">
        <v>51.7</v>
      </c>
      <c r="K41" s="13">
        <v>2.7</v>
      </c>
      <c r="M41" s="35">
        <v>-5.5</v>
      </c>
      <c r="N41" s="36">
        <v>-37.1</v>
      </c>
      <c r="O41" s="36">
        <v>-6.5</v>
      </c>
      <c r="P41" s="36">
        <v>-59.2</v>
      </c>
      <c r="Q41" s="36">
        <v>-6.1</v>
      </c>
      <c r="R41" s="36">
        <v>-1610.7</v>
      </c>
      <c r="S41" s="36">
        <v>5.8</v>
      </c>
      <c r="T41" s="36">
        <v>51.7</v>
      </c>
      <c r="U41" s="36">
        <v>2.7</v>
      </c>
      <c r="W41" s="39">
        <f t="shared" si="1"/>
        <v>0</v>
      </c>
      <c r="X41" s="39">
        <f t="shared" si="2"/>
        <v>0</v>
      </c>
      <c r="Y41" s="39">
        <f t="shared" si="3"/>
        <v>0</v>
      </c>
      <c r="Z41" s="39">
        <f t="shared" si="4"/>
        <v>0</v>
      </c>
      <c r="AA41" s="39">
        <f t="shared" si="5"/>
        <v>0</v>
      </c>
      <c r="AB41" s="39">
        <f t="shared" si="6"/>
        <v>0</v>
      </c>
      <c r="AC41" s="39">
        <f t="shared" si="7"/>
        <v>0</v>
      </c>
      <c r="AD41" s="39">
        <f t="shared" si="8"/>
        <v>0</v>
      </c>
      <c r="AE41" s="39">
        <f t="shared" si="9"/>
        <v>0</v>
      </c>
    </row>
    <row r="42" spans="1:31" s="22" customFormat="1" ht="27" thickBot="1">
      <c r="A42" s="19" t="s">
        <v>123</v>
      </c>
      <c r="B42" s="20" t="s">
        <v>76</v>
      </c>
      <c r="C42" s="21">
        <v>2.2999999999999998</v>
      </c>
      <c r="D42" s="21">
        <v>3.1</v>
      </c>
      <c r="E42" s="21">
        <v>9.4</v>
      </c>
      <c r="F42" s="21">
        <v>3.7</v>
      </c>
      <c r="G42" s="21">
        <v>23.6</v>
      </c>
      <c r="H42" s="21">
        <v>8.4</v>
      </c>
      <c r="I42" s="21">
        <v>3.8</v>
      </c>
      <c r="J42" s="21">
        <v>168.2</v>
      </c>
      <c r="K42" s="21">
        <v>2.2000000000000002</v>
      </c>
      <c r="M42" s="35">
        <v>2.2999999999999998</v>
      </c>
      <c r="N42" s="36">
        <v>3.1</v>
      </c>
      <c r="O42" s="36">
        <v>9.4</v>
      </c>
      <c r="P42" s="36">
        <v>3.7</v>
      </c>
      <c r="Q42" s="36">
        <v>23.6</v>
      </c>
      <c r="R42" s="36">
        <v>8.4</v>
      </c>
      <c r="S42" s="36">
        <v>3.8</v>
      </c>
      <c r="T42" s="36">
        <v>168.2</v>
      </c>
      <c r="U42" s="36">
        <v>2.2000000000000002</v>
      </c>
      <c r="W42" s="39">
        <f t="shared" si="1"/>
        <v>0</v>
      </c>
      <c r="X42" s="39">
        <f t="shared" si="2"/>
        <v>0</v>
      </c>
      <c r="Y42" s="39">
        <f t="shared" si="3"/>
        <v>0</v>
      </c>
      <c r="Z42" s="39">
        <f t="shared" si="4"/>
        <v>0</v>
      </c>
      <c r="AA42" s="39">
        <f t="shared" si="5"/>
        <v>0</v>
      </c>
      <c r="AB42" s="39">
        <f t="shared" si="6"/>
        <v>0</v>
      </c>
      <c r="AC42" s="39">
        <f t="shared" si="7"/>
        <v>0</v>
      </c>
      <c r="AD42" s="39">
        <f t="shared" si="8"/>
        <v>0</v>
      </c>
      <c r="AE42" s="39">
        <f t="shared" si="9"/>
        <v>0</v>
      </c>
    </row>
    <row r="43" spans="1:31" ht="15.75">
      <c r="A43" s="3" t="s">
        <v>77</v>
      </c>
      <c r="B43" s="4" t="s">
        <v>78</v>
      </c>
      <c r="C43" s="13">
        <v>2.2999999999999998</v>
      </c>
      <c r="D43" s="13">
        <v>3.1</v>
      </c>
      <c r="E43" s="13">
        <v>9.4</v>
      </c>
      <c r="F43" s="13">
        <v>3.7</v>
      </c>
      <c r="G43" s="13">
        <v>23.6</v>
      </c>
      <c r="H43" s="13">
        <v>8.4</v>
      </c>
      <c r="I43" s="13">
        <v>3.8</v>
      </c>
      <c r="J43" s="13">
        <v>168.2</v>
      </c>
      <c r="K43" s="13">
        <v>2.2000000000000002</v>
      </c>
      <c r="M43" s="33">
        <v>2.2999999999999998</v>
      </c>
      <c r="N43" s="34">
        <v>3.1</v>
      </c>
      <c r="O43" s="34">
        <v>9.4</v>
      </c>
      <c r="P43" s="34">
        <v>3.7</v>
      </c>
      <c r="Q43" s="34">
        <v>23.6</v>
      </c>
      <c r="R43" s="34">
        <v>8.4</v>
      </c>
      <c r="S43" s="34">
        <v>3.8</v>
      </c>
      <c r="T43" s="34">
        <v>168.2</v>
      </c>
      <c r="U43" s="34">
        <v>2.2000000000000002</v>
      </c>
      <c r="W43" s="39">
        <f t="shared" si="1"/>
        <v>0</v>
      </c>
      <c r="X43" s="39">
        <f t="shared" si="2"/>
        <v>0</v>
      </c>
      <c r="Y43" s="39">
        <f t="shared" si="3"/>
        <v>0</v>
      </c>
      <c r="Z43" s="39">
        <f t="shared" si="4"/>
        <v>0</v>
      </c>
      <c r="AA43" s="39">
        <f t="shared" si="5"/>
        <v>0</v>
      </c>
      <c r="AB43" s="39">
        <f t="shared" si="6"/>
        <v>0</v>
      </c>
      <c r="AC43" s="39">
        <f t="shared" si="7"/>
        <v>0</v>
      </c>
      <c r="AD43" s="39">
        <f t="shared" si="8"/>
        <v>0</v>
      </c>
      <c r="AE43" s="39">
        <f t="shared" si="9"/>
        <v>0</v>
      </c>
    </row>
    <row r="44" spans="1:31" s="22" customFormat="1" ht="26.25">
      <c r="A44" s="19" t="s">
        <v>124</v>
      </c>
      <c r="B44" s="20" t="s">
        <v>79</v>
      </c>
      <c r="C44" s="21">
        <v>-1.9</v>
      </c>
      <c r="D44" s="21">
        <v>-2.6</v>
      </c>
      <c r="E44" s="21">
        <v>-6.7</v>
      </c>
      <c r="F44" s="21">
        <v>-9.6</v>
      </c>
      <c r="G44" s="21">
        <v>-4.0999999999999996</v>
      </c>
      <c r="H44" s="21">
        <v>-5.4</v>
      </c>
      <c r="I44" s="21">
        <v>1.9</v>
      </c>
      <c r="J44" s="21">
        <v>20.8</v>
      </c>
      <c r="K44" s="21">
        <v>-1.4</v>
      </c>
      <c r="M44" s="35">
        <v>-1.9</v>
      </c>
      <c r="N44" s="36">
        <v>-2.6</v>
      </c>
      <c r="O44" s="36">
        <v>-6.7</v>
      </c>
      <c r="P44" s="36">
        <v>-9.6</v>
      </c>
      <c r="Q44" s="36">
        <v>-4.0999999999999996</v>
      </c>
      <c r="R44" s="36">
        <v>-5.4</v>
      </c>
      <c r="S44" s="36">
        <v>1.9</v>
      </c>
      <c r="T44" s="36">
        <v>20.8</v>
      </c>
      <c r="U44" s="36">
        <v>-1.4</v>
      </c>
      <c r="W44" s="39">
        <f t="shared" si="1"/>
        <v>0</v>
      </c>
      <c r="X44" s="39">
        <f t="shared" si="2"/>
        <v>0</v>
      </c>
      <c r="Y44" s="39">
        <f t="shared" si="3"/>
        <v>0</v>
      </c>
      <c r="Z44" s="39">
        <f t="shared" si="4"/>
        <v>0</v>
      </c>
      <c r="AA44" s="39">
        <f t="shared" si="5"/>
        <v>0</v>
      </c>
      <c r="AB44" s="39">
        <f t="shared" si="6"/>
        <v>0</v>
      </c>
      <c r="AC44" s="39">
        <f t="shared" si="7"/>
        <v>0</v>
      </c>
      <c r="AD44" s="39">
        <f t="shared" si="8"/>
        <v>0</v>
      </c>
      <c r="AE44" s="39">
        <f t="shared" si="9"/>
        <v>0</v>
      </c>
    </row>
    <row r="45" spans="1:31" ht="15.75">
      <c r="A45" s="3" t="s">
        <v>80</v>
      </c>
      <c r="B45" s="4" t="s">
        <v>81</v>
      </c>
      <c r="C45" s="13">
        <v>171.4</v>
      </c>
      <c r="D45" s="13">
        <v>0</v>
      </c>
      <c r="E45" s="13">
        <v>171.4</v>
      </c>
      <c r="F45" s="13">
        <v>200</v>
      </c>
      <c r="G45" s="13">
        <v>0</v>
      </c>
      <c r="H45" s="13">
        <v>1200</v>
      </c>
      <c r="I45" s="13" t="s">
        <v>34</v>
      </c>
      <c r="J45" s="13" t="s">
        <v>34</v>
      </c>
      <c r="K45" s="13">
        <v>171.4</v>
      </c>
      <c r="M45" s="35">
        <v>171.4</v>
      </c>
      <c r="N45" s="36">
        <v>0</v>
      </c>
      <c r="O45" s="36">
        <v>171.4</v>
      </c>
      <c r="P45" s="36">
        <v>200</v>
      </c>
      <c r="Q45" s="36">
        <v>0</v>
      </c>
      <c r="R45" s="36">
        <v>1200</v>
      </c>
      <c r="S45" s="36" t="s">
        <v>34</v>
      </c>
      <c r="T45" s="36" t="s">
        <v>34</v>
      </c>
      <c r="U45" s="36">
        <v>171.4</v>
      </c>
      <c r="W45" s="39">
        <f t="shared" si="1"/>
        <v>0</v>
      </c>
      <c r="X45" s="39">
        <f t="shared" si="2"/>
        <v>0</v>
      </c>
      <c r="Y45" s="39">
        <f t="shared" si="3"/>
        <v>0</v>
      </c>
      <c r="Z45" s="39">
        <f t="shared" si="4"/>
        <v>0</v>
      </c>
      <c r="AA45" s="39">
        <f t="shared" si="5"/>
        <v>0</v>
      </c>
      <c r="AB45" s="39">
        <f t="shared" si="6"/>
        <v>0</v>
      </c>
      <c r="AC45" s="39" t="e">
        <f t="shared" si="7"/>
        <v>#VALUE!</v>
      </c>
      <c r="AD45" s="39" t="e">
        <f t="shared" si="8"/>
        <v>#VALUE!</v>
      </c>
      <c r="AE45" s="39">
        <f t="shared" si="9"/>
        <v>0</v>
      </c>
    </row>
    <row r="46" spans="1:31" ht="26.25">
      <c r="A46" s="3" t="s">
        <v>82</v>
      </c>
      <c r="B46" s="4" t="s">
        <v>83</v>
      </c>
      <c r="C46" s="13">
        <v>-2.5</v>
      </c>
      <c r="D46" s="13">
        <v>-7.2</v>
      </c>
      <c r="E46" s="13">
        <v>-3.9</v>
      </c>
      <c r="F46" s="13">
        <v>-4.2</v>
      </c>
      <c r="G46" s="13">
        <v>-71.2</v>
      </c>
      <c r="H46" s="13">
        <v>-7</v>
      </c>
      <c r="I46" s="13">
        <v>2.5</v>
      </c>
      <c r="J46" s="13">
        <v>12.1</v>
      </c>
      <c r="K46" s="13">
        <v>-1.2</v>
      </c>
      <c r="M46" s="35">
        <v>-2.5</v>
      </c>
      <c r="N46" s="36">
        <v>-7.2</v>
      </c>
      <c r="O46" s="36">
        <v>-3.9</v>
      </c>
      <c r="P46" s="36">
        <v>-4.2</v>
      </c>
      <c r="Q46" s="36">
        <v>-71.2</v>
      </c>
      <c r="R46" s="36">
        <v>-7</v>
      </c>
      <c r="S46" s="36">
        <v>2.5</v>
      </c>
      <c r="T46" s="36">
        <v>12.1</v>
      </c>
      <c r="U46" s="36">
        <v>-1.2</v>
      </c>
      <c r="W46" s="39">
        <f t="shared" si="1"/>
        <v>0</v>
      </c>
      <c r="X46" s="39">
        <f t="shared" si="2"/>
        <v>0</v>
      </c>
      <c r="Y46" s="39">
        <f t="shared" si="3"/>
        <v>0</v>
      </c>
      <c r="Z46" s="39">
        <f t="shared" si="4"/>
        <v>0</v>
      </c>
      <c r="AA46" s="39">
        <f t="shared" si="5"/>
        <v>0</v>
      </c>
      <c r="AB46" s="39">
        <f t="shared" si="6"/>
        <v>0</v>
      </c>
      <c r="AC46" s="39">
        <f t="shared" si="7"/>
        <v>0</v>
      </c>
      <c r="AD46" s="39">
        <f t="shared" si="8"/>
        <v>0</v>
      </c>
      <c r="AE46" s="39">
        <f t="shared" si="9"/>
        <v>0</v>
      </c>
    </row>
    <row r="47" spans="1:31" ht="39">
      <c r="A47" s="3" t="s">
        <v>84</v>
      </c>
      <c r="B47" s="4" t="s">
        <v>85</v>
      </c>
      <c r="C47" s="13">
        <v>-1.7</v>
      </c>
      <c r="D47" s="13">
        <v>-2</v>
      </c>
      <c r="E47" s="13">
        <v>-10</v>
      </c>
      <c r="F47" s="13">
        <v>-23.5</v>
      </c>
      <c r="G47" s="13">
        <v>-2.9</v>
      </c>
      <c r="H47" s="13">
        <v>-4.9000000000000004</v>
      </c>
      <c r="I47" s="13">
        <v>1.8</v>
      </c>
      <c r="J47" s="13">
        <v>76.8</v>
      </c>
      <c r="K47" s="13">
        <v>-1.4</v>
      </c>
      <c r="M47" s="35">
        <v>-1.7</v>
      </c>
      <c r="N47" s="36">
        <v>-2</v>
      </c>
      <c r="O47" s="36">
        <v>-10</v>
      </c>
      <c r="P47" s="36">
        <v>-23.5</v>
      </c>
      <c r="Q47" s="36">
        <v>-2.9</v>
      </c>
      <c r="R47" s="36">
        <v>-4.9000000000000004</v>
      </c>
      <c r="S47" s="36">
        <v>1.8</v>
      </c>
      <c r="T47" s="36">
        <v>76.8</v>
      </c>
      <c r="U47" s="36">
        <v>-1.4</v>
      </c>
      <c r="W47" s="39">
        <f t="shared" si="1"/>
        <v>0</v>
      </c>
      <c r="X47" s="39">
        <f t="shared" si="2"/>
        <v>0</v>
      </c>
      <c r="Y47" s="39">
        <f t="shared" si="3"/>
        <v>0</v>
      </c>
      <c r="Z47" s="39">
        <f t="shared" si="4"/>
        <v>0</v>
      </c>
      <c r="AA47" s="39">
        <f t="shared" si="5"/>
        <v>0</v>
      </c>
      <c r="AB47" s="39">
        <f t="shared" si="6"/>
        <v>0</v>
      </c>
      <c r="AC47" s="39">
        <f t="shared" si="7"/>
        <v>0</v>
      </c>
      <c r="AD47" s="39">
        <f t="shared" si="8"/>
        <v>0</v>
      </c>
      <c r="AE47" s="39">
        <f t="shared" si="9"/>
        <v>0</v>
      </c>
    </row>
    <row r="48" spans="1:31" ht="15.75">
      <c r="A48" s="3" t="s">
        <v>86</v>
      </c>
      <c r="B48" s="4" t="s">
        <v>87</v>
      </c>
      <c r="C48" s="13">
        <v>-23.6</v>
      </c>
      <c r="D48" s="13">
        <v>-27.3</v>
      </c>
      <c r="E48" s="13">
        <v>-176.6</v>
      </c>
      <c r="F48" s="13">
        <v>-57.9</v>
      </c>
      <c r="G48" s="13">
        <v>-134.9</v>
      </c>
      <c r="H48" s="13">
        <v>-19.100000000000001</v>
      </c>
      <c r="I48" s="13">
        <v>23.6</v>
      </c>
      <c r="J48" s="13" t="s">
        <v>34</v>
      </c>
      <c r="K48" s="13">
        <v>-27.1</v>
      </c>
      <c r="M48" s="35">
        <v>-23.6</v>
      </c>
      <c r="N48" s="36">
        <v>-27.3</v>
      </c>
      <c r="O48" s="36">
        <v>-176.6</v>
      </c>
      <c r="P48" s="36">
        <v>-57.9</v>
      </c>
      <c r="Q48" s="36">
        <v>-134.9</v>
      </c>
      <c r="R48" s="36">
        <v>-19.100000000000001</v>
      </c>
      <c r="S48" s="36">
        <v>23.6</v>
      </c>
      <c r="T48" s="36" t="s">
        <v>34</v>
      </c>
      <c r="U48" s="36">
        <v>-27.1</v>
      </c>
      <c r="W48" s="39">
        <f t="shared" si="1"/>
        <v>0</v>
      </c>
      <c r="X48" s="39">
        <f t="shared" si="2"/>
        <v>0</v>
      </c>
      <c r="Y48" s="39">
        <f t="shared" si="3"/>
        <v>0</v>
      </c>
      <c r="Z48" s="39">
        <f t="shared" si="4"/>
        <v>0</v>
      </c>
      <c r="AA48" s="39">
        <f t="shared" si="5"/>
        <v>0</v>
      </c>
      <c r="AB48" s="39">
        <f t="shared" si="6"/>
        <v>0</v>
      </c>
      <c r="AC48" s="39">
        <f t="shared" si="7"/>
        <v>0</v>
      </c>
      <c r="AD48" s="39" t="e">
        <f t="shared" si="8"/>
        <v>#VALUE!</v>
      </c>
      <c r="AE48" s="39">
        <f t="shared" si="9"/>
        <v>0</v>
      </c>
    </row>
    <row r="49" spans="1:31" s="22" customFormat="1" ht="26.25">
      <c r="A49" s="19" t="s">
        <v>125</v>
      </c>
      <c r="B49" s="20" t="s">
        <v>88</v>
      </c>
      <c r="C49" s="21">
        <v>-0.2</v>
      </c>
      <c r="D49" s="21">
        <v>-0.2</v>
      </c>
      <c r="E49" s="21">
        <v>-1.7</v>
      </c>
      <c r="F49" s="21">
        <v>-0.5</v>
      </c>
      <c r="G49" s="21">
        <v>-2</v>
      </c>
      <c r="H49" s="21">
        <v>-0.3</v>
      </c>
      <c r="I49" s="21">
        <v>4.8</v>
      </c>
      <c r="J49" s="21">
        <v>28.4</v>
      </c>
      <c r="K49" s="21">
        <v>7.4</v>
      </c>
      <c r="M49" s="35">
        <v>-0.2</v>
      </c>
      <c r="N49" s="36">
        <v>-0.2</v>
      </c>
      <c r="O49" s="36">
        <v>-1.7</v>
      </c>
      <c r="P49" s="36">
        <v>-0.5</v>
      </c>
      <c r="Q49" s="36">
        <v>-2</v>
      </c>
      <c r="R49" s="36">
        <v>-0.3</v>
      </c>
      <c r="S49" s="36">
        <v>4.8</v>
      </c>
      <c r="T49" s="36">
        <v>28.4</v>
      </c>
      <c r="U49" s="36">
        <v>7.4</v>
      </c>
      <c r="W49" s="39">
        <f t="shared" si="1"/>
        <v>0</v>
      </c>
      <c r="X49" s="39">
        <f t="shared" si="2"/>
        <v>0</v>
      </c>
      <c r="Y49" s="39">
        <f t="shared" si="3"/>
        <v>0</v>
      </c>
      <c r="Z49" s="39">
        <f t="shared" si="4"/>
        <v>0</v>
      </c>
      <c r="AA49" s="39">
        <f t="shared" si="5"/>
        <v>0</v>
      </c>
      <c r="AB49" s="39">
        <f t="shared" si="6"/>
        <v>0</v>
      </c>
      <c r="AC49" s="39">
        <f t="shared" si="7"/>
        <v>0</v>
      </c>
      <c r="AD49" s="39">
        <f t="shared" si="8"/>
        <v>0</v>
      </c>
      <c r="AE49" s="39">
        <f t="shared" si="9"/>
        <v>0</v>
      </c>
    </row>
    <row r="50" spans="1:31" ht="15.75">
      <c r="A50" s="3" t="s">
        <v>89</v>
      </c>
      <c r="B50" s="4" t="s">
        <v>90</v>
      </c>
      <c r="C50" s="13">
        <v>-2.6</v>
      </c>
      <c r="D50" s="13">
        <v>-2.8</v>
      </c>
      <c r="E50" s="13">
        <v>-32.799999999999997</v>
      </c>
      <c r="F50" s="13">
        <v>-14.2</v>
      </c>
      <c r="G50" s="13">
        <v>-54.9</v>
      </c>
      <c r="H50" s="13">
        <v>-3.4</v>
      </c>
      <c r="I50" s="13">
        <v>3.2</v>
      </c>
      <c r="J50" s="13">
        <v>28.4</v>
      </c>
      <c r="K50" s="13">
        <v>15.8</v>
      </c>
      <c r="M50" s="37">
        <v>-2.6</v>
      </c>
      <c r="N50" s="38">
        <v>-2.8</v>
      </c>
      <c r="O50" s="38">
        <v>-32.799999999999997</v>
      </c>
      <c r="P50" s="38">
        <v>-14.2</v>
      </c>
      <c r="Q50" s="38">
        <v>-54.9</v>
      </c>
      <c r="R50" s="38">
        <v>-3.4</v>
      </c>
      <c r="S50" s="38">
        <v>3.2</v>
      </c>
      <c r="T50" s="38">
        <v>28.4</v>
      </c>
      <c r="U50" s="38">
        <v>15.8</v>
      </c>
      <c r="W50" s="39">
        <f t="shared" si="1"/>
        <v>0</v>
      </c>
      <c r="X50" s="39">
        <f t="shared" si="2"/>
        <v>0</v>
      </c>
      <c r="Y50" s="39">
        <f t="shared" si="3"/>
        <v>0</v>
      </c>
      <c r="Z50" s="39">
        <f t="shared" si="4"/>
        <v>0</v>
      </c>
      <c r="AA50" s="39">
        <f t="shared" si="5"/>
        <v>0</v>
      </c>
      <c r="AB50" s="39">
        <f t="shared" si="6"/>
        <v>0</v>
      </c>
      <c r="AC50" s="39">
        <f t="shared" si="7"/>
        <v>0</v>
      </c>
      <c r="AD50" s="39">
        <f t="shared" si="8"/>
        <v>0</v>
      </c>
      <c r="AE50" s="39">
        <f t="shared" si="9"/>
        <v>0</v>
      </c>
    </row>
    <row r="51" spans="1:31" ht="26.25">
      <c r="A51" s="3" t="s">
        <v>91</v>
      </c>
      <c r="B51" s="4" t="s">
        <v>92</v>
      </c>
      <c r="C51" s="13">
        <v>-9.1</v>
      </c>
      <c r="D51" s="13">
        <v>-9.4</v>
      </c>
      <c r="E51" s="13">
        <v>-376.2</v>
      </c>
      <c r="F51" s="13">
        <v>-12.6</v>
      </c>
      <c r="G51" s="13">
        <v>-35.200000000000003</v>
      </c>
      <c r="H51" s="13">
        <v>-596.70000000000005</v>
      </c>
      <c r="I51" s="13">
        <v>9.1</v>
      </c>
      <c r="J51" s="13">
        <v>0</v>
      </c>
      <c r="K51" s="13">
        <v>-7</v>
      </c>
      <c r="M51" s="35">
        <v>-9.1</v>
      </c>
      <c r="N51" s="36">
        <v>-9.4</v>
      </c>
      <c r="O51" s="36">
        <v>-376.2</v>
      </c>
      <c r="P51" s="36">
        <v>-12.6</v>
      </c>
      <c r="Q51" s="36">
        <v>-35.200000000000003</v>
      </c>
      <c r="R51" s="36">
        <v>-596.70000000000005</v>
      </c>
      <c r="S51" s="36">
        <v>9.1</v>
      </c>
      <c r="T51" s="36">
        <v>0</v>
      </c>
      <c r="U51" s="36">
        <v>-7</v>
      </c>
      <c r="W51" s="39">
        <f t="shared" si="1"/>
        <v>0</v>
      </c>
      <c r="X51" s="39">
        <f t="shared" si="2"/>
        <v>0</v>
      </c>
      <c r="Y51" s="39">
        <f t="shared" si="3"/>
        <v>0</v>
      </c>
      <c r="Z51" s="39">
        <f t="shared" si="4"/>
        <v>0</v>
      </c>
      <c r="AA51" s="39">
        <f t="shared" si="5"/>
        <v>0</v>
      </c>
      <c r="AB51" s="39">
        <f t="shared" si="6"/>
        <v>0</v>
      </c>
      <c r="AC51" s="39">
        <f t="shared" si="7"/>
        <v>0</v>
      </c>
      <c r="AD51" s="39">
        <f t="shared" si="8"/>
        <v>0</v>
      </c>
      <c r="AE51" s="39">
        <f t="shared" si="9"/>
        <v>0</v>
      </c>
    </row>
    <row r="52" spans="1:31" ht="15.75">
      <c r="A52" s="3" t="s">
        <v>93</v>
      </c>
      <c r="B52" s="4" t="s">
        <v>94</v>
      </c>
      <c r="C52" s="13">
        <v>10.5</v>
      </c>
      <c r="D52" s="13">
        <v>13.4</v>
      </c>
      <c r="E52" s="13">
        <v>48.3</v>
      </c>
      <c r="F52" s="13">
        <v>22</v>
      </c>
      <c r="G52" s="13">
        <v>195.4</v>
      </c>
      <c r="H52" s="13">
        <v>22.4</v>
      </c>
      <c r="I52" s="13" t="s">
        <v>34</v>
      </c>
      <c r="J52" s="13" t="s">
        <v>34</v>
      </c>
      <c r="K52" s="13">
        <v>1.5</v>
      </c>
      <c r="M52" s="35">
        <v>10.5</v>
      </c>
      <c r="N52" s="36">
        <v>13.4</v>
      </c>
      <c r="O52" s="36">
        <v>48.3</v>
      </c>
      <c r="P52" s="36">
        <v>22</v>
      </c>
      <c r="Q52" s="36">
        <v>195.4</v>
      </c>
      <c r="R52" s="36">
        <v>22.4</v>
      </c>
      <c r="S52" s="36" t="s">
        <v>34</v>
      </c>
      <c r="T52" s="36" t="s">
        <v>34</v>
      </c>
      <c r="U52" s="36">
        <v>1.5</v>
      </c>
      <c r="W52" s="39">
        <f t="shared" si="1"/>
        <v>0</v>
      </c>
      <c r="X52" s="39">
        <f t="shared" si="2"/>
        <v>0</v>
      </c>
      <c r="Y52" s="39">
        <f t="shared" si="3"/>
        <v>0</v>
      </c>
      <c r="Z52" s="39">
        <f t="shared" si="4"/>
        <v>0</v>
      </c>
      <c r="AA52" s="39">
        <f t="shared" si="5"/>
        <v>0</v>
      </c>
      <c r="AB52" s="39">
        <f t="shared" si="6"/>
        <v>0</v>
      </c>
      <c r="AC52" s="39" t="e">
        <f t="shared" si="7"/>
        <v>#VALUE!</v>
      </c>
      <c r="AD52" s="39" t="e">
        <f t="shared" si="8"/>
        <v>#VALUE!</v>
      </c>
      <c r="AE52" s="39">
        <f t="shared" si="9"/>
        <v>0</v>
      </c>
    </row>
    <row r="53" spans="1:31" ht="51.75">
      <c r="A53" s="3" t="s">
        <v>95</v>
      </c>
      <c r="B53" s="4" t="s">
        <v>96</v>
      </c>
      <c r="C53" s="13">
        <v>4.7</v>
      </c>
      <c r="D53" s="13">
        <v>5.2</v>
      </c>
      <c r="E53" s="13">
        <v>51.3</v>
      </c>
      <c r="F53" s="13">
        <v>11.6</v>
      </c>
      <c r="G53" s="13">
        <v>0</v>
      </c>
      <c r="H53" s="13">
        <v>8</v>
      </c>
      <c r="I53" s="13" t="s">
        <v>34</v>
      </c>
      <c r="J53" s="13" t="s">
        <v>34</v>
      </c>
      <c r="K53" s="13">
        <v>3.9</v>
      </c>
      <c r="M53" s="35">
        <v>4.7</v>
      </c>
      <c r="N53" s="36">
        <v>5.2</v>
      </c>
      <c r="O53" s="36">
        <v>51.3</v>
      </c>
      <c r="P53" s="36">
        <v>11.6</v>
      </c>
      <c r="Q53" s="36">
        <v>0</v>
      </c>
      <c r="R53" s="36">
        <v>8</v>
      </c>
      <c r="S53" s="36" t="s">
        <v>34</v>
      </c>
      <c r="T53" s="36" t="s">
        <v>34</v>
      </c>
      <c r="U53" s="36">
        <v>3.9</v>
      </c>
      <c r="W53" s="39">
        <f t="shared" si="1"/>
        <v>0</v>
      </c>
      <c r="X53" s="39">
        <f t="shared" si="2"/>
        <v>0</v>
      </c>
      <c r="Y53" s="39">
        <f t="shared" si="3"/>
        <v>0</v>
      </c>
      <c r="Z53" s="39">
        <f t="shared" si="4"/>
        <v>0</v>
      </c>
      <c r="AA53" s="39">
        <f t="shared" si="5"/>
        <v>0</v>
      </c>
      <c r="AB53" s="39">
        <f t="shared" si="6"/>
        <v>0</v>
      </c>
      <c r="AC53" s="39" t="e">
        <f t="shared" si="7"/>
        <v>#VALUE!</v>
      </c>
      <c r="AD53" s="39" t="e">
        <f t="shared" si="8"/>
        <v>#VALUE!</v>
      </c>
      <c r="AE53" s="39">
        <f t="shared" si="9"/>
        <v>0</v>
      </c>
    </row>
    <row r="54" spans="1:31" s="22" customFormat="1" ht="39">
      <c r="A54" s="19" t="s">
        <v>126</v>
      </c>
      <c r="B54" s="20" t="s">
        <v>97</v>
      </c>
      <c r="C54" s="21">
        <v>5</v>
      </c>
      <c r="D54" s="21">
        <v>5.7</v>
      </c>
      <c r="E54" s="21">
        <v>38.299999999999997</v>
      </c>
      <c r="F54" s="21">
        <v>45.3</v>
      </c>
      <c r="G54" s="21">
        <v>14.1</v>
      </c>
      <c r="H54" s="21">
        <v>9.1999999999999993</v>
      </c>
      <c r="I54" s="21" t="s">
        <v>34</v>
      </c>
      <c r="J54" s="21" t="s">
        <v>34</v>
      </c>
      <c r="K54" s="21">
        <v>4.5999999999999996</v>
      </c>
      <c r="M54" s="35">
        <v>5</v>
      </c>
      <c r="N54" s="36">
        <v>5.7</v>
      </c>
      <c r="O54" s="36">
        <v>38.299999999999997</v>
      </c>
      <c r="P54" s="36">
        <v>45.3</v>
      </c>
      <c r="Q54" s="36">
        <v>14.1</v>
      </c>
      <c r="R54" s="36">
        <v>9.1999999999999993</v>
      </c>
      <c r="S54" s="36" t="s">
        <v>34</v>
      </c>
      <c r="T54" s="36" t="s">
        <v>34</v>
      </c>
      <c r="U54" s="36">
        <v>4.5999999999999996</v>
      </c>
      <c r="W54" s="39">
        <f t="shared" si="1"/>
        <v>0</v>
      </c>
      <c r="X54" s="39">
        <f t="shared" si="2"/>
        <v>0</v>
      </c>
      <c r="Y54" s="39">
        <f t="shared" si="3"/>
        <v>0</v>
      </c>
      <c r="Z54" s="39">
        <f t="shared" si="4"/>
        <v>0</v>
      </c>
      <c r="AA54" s="39">
        <f t="shared" si="5"/>
        <v>0</v>
      </c>
      <c r="AB54" s="39">
        <f t="shared" si="6"/>
        <v>0</v>
      </c>
      <c r="AC54" s="39" t="e">
        <f t="shared" si="7"/>
        <v>#VALUE!</v>
      </c>
      <c r="AD54" s="39" t="e">
        <f t="shared" si="8"/>
        <v>#VALUE!</v>
      </c>
      <c r="AE54" s="39">
        <f t="shared" si="9"/>
        <v>0</v>
      </c>
    </row>
    <row r="55" spans="1:31" ht="39">
      <c r="A55" s="3" t="s">
        <v>98</v>
      </c>
      <c r="B55" s="4" t="s">
        <v>99</v>
      </c>
      <c r="C55" s="13">
        <v>5</v>
      </c>
      <c r="D55" s="13">
        <v>5.7</v>
      </c>
      <c r="E55" s="13">
        <v>38.299999999999997</v>
      </c>
      <c r="F55" s="13">
        <v>45.3</v>
      </c>
      <c r="G55" s="13">
        <v>14.1</v>
      </c>
      <c r="H55" s="13">
        <v>9.1999999999999993</v>
      </c>
      <c r="I55" s="13" t="s">
        <v>34</v>
      </c>
      <c r="J55" s="13" t="s">
        <v>34</v>
      </c>
      <c r="K55" s="13">
        <v>4.5999999999999996</v>
      </c>
      <c r="M55" s="37">
        <v>5</v>
      </c>
      <c r="N55" s="38">
        <v>5.7</v>
      </c>
      <c r="O55" s="38">
        <v>38.299999999999997</v>
      </c>
      <c r="P55" s="38">
        <v>45.3</v>
      </c>
      <c r="Q55" s="38">
        <v>14.1</v>
      </c>
      <c r="R55" s="38">
        <v>9.1999999999999993</v>
      </c>
      <c r="S55" s="38" t="s">
        <v>34</v>
      </c>
      <c r="T55" s="38" t="s">
        <v>34</v>
      </c>
      <c r="U55" s="38">
        <v>4.5999999999999996</v>
      </c>
      <c r="W55" s="39">
        <f t="shared" si="1"/>
        <v>0</v>
      </c>
      <c r="X55" s="39">
        <f t="shared" si="2"/>
        <v>0</v>
      </c>
      <c r="Y55" s="39">
        <f t="shared" si="3"/>
        <v>0</v>
      </c>
      <c r="Z55" s="39">
        <f t="shared" si="4"/>
        <v>0</v>
      </c>
      <c r="AA55" s="39">
        <f t="shared" si="5"/>
        <v>0</v>
      </c>
      <c r="AB55" s="39">
        <f t="shared" si="6"/>
        <v>0</v>
      </c>
      <c r="AC55" s="39" t="e">
        <f t="shared" si="7"/>
        <v>#VALUE!</v>
      </c>
      <c r="AD55" s="39" t="e">
        <f t="shared" si="8"/>
        <v>#VALUE!</v>
      </c>
      <c r="AE55" s="39">
        <f t="shared" si="9"/>
        <v>0</v>
      </c>
    </row>
    <row r="56" spans="1:31" s="22" customFormat="1" ht="15.75">
      <c r="A56" s="19" t="s">
        <v>127</v>
      </c>
      <c r="B56" s="20" t="s">
        <v>100</v>
      </c>
      <c r="C56" s="21">
        <v>43.8</v>
      </c>
      <c r="D56" s="21">
        <v>0</v>
      </c>
      <c r="E56" s="21">
        <v>43.8</v>
      </c>
      <c r="F56" s="21">
        <v>60.1</v>
      </c>
      <c r="G56" s="21">
        <v>0</v>
      </c>
      <c r="H56" s="21">
        <v>161.6</v>
      </c>
      <c r="I56" s="21" t="s">
        <v>34</v>
      </c>
      <c r="J56" s="21" t="s">
        <v>34</v>
      </c>
      <c r="K56" s="21">
        <v>26</v>
      </c>
      <c r="M56" s="35">
        <v>43.8</v>
      </c>
      <c r="N56" s="36">
        <v>0</v>
      </c>
      <c r="O56" s="36">
        <v>43.8</v>
      </c>
      <c r="P56" s="36">
        <v>60.1</v>
      </c>
      <c r="Q56" s="36">
        <v>0</v>
      </c>
      <c r="R56" s="36">
        <v>161.6</v>
      </c>
      <c r="S56" s="36" t="s">
        <v>34</v>
      </c>
      <c r="T56" s="36" t="s">
        <v>34</v>
      </c>
      <c r="U56" s="36">
        <v>26</v>
      </c>
      <c r="W56" s="39">
        <f t="shared" si="1"/>
        <v>0</v>
      </c>
      <c r="X56" s="39">
        <f t="shared" si="2"/>
        <v>0</v>
      </c>
      <c r="Y56" s="39">
        <f t="shared" si="3"/>
        <v>0</v>
      </c>
      <c r="Z56" s="39">
        <f t="shared" si="4"/>
        <v>0</v>
      </c>
      <c r="AA56" s="39">
        <f t="shared" si="5"/>
        <v>0</v>
      </c>
      <c r="AB56" s="39">
        <f t="shared" si="6"/>
        <v>0</v>
      </c>
      <c r="AC56" s="39" t="e">
        <f t="shared" si="7"/>
        <v>#VALUE!</v>
      </c>
      <c r="AD56" s="39" t="e">
        <f t="shared" si="8"/>
        <v>#VALUE!</v>
      </c>
      <c r="AE56" s="39">
        <f t="shared" si="9"/>
        <v>0</v>
      </c>
    </row>
    <row r="57" spans="1:31" ht="15.75">
      <c r="A57" s="3" t="s">
        <v>101</v>
      </c>
      <c r="B57" s="4" t="s">
        <v>102</v>
      </c>
      <c r="C57" s="13">
        <v>43.8</v>
      </c>
      <c r="D57" s="13">
        <v>0</v>
      </c>
      <c r="E57" s="13">
        <v>43.8</v>
      </c>
      <c r="F57" s="13">
        <v>60.1</v>
      </c>
      <c r="G57" s="13">
        <v>0</v>
      </c>
      <c r="H57" s="13">
        <v>161.6</v>
      </c>
      <c r="I57" s="13" t="s">
        <v>34</v>
      </c>
      <c r="J57" s="13" t="s">
        <v>34</v>
      </c>
      <c r="K57" s="13">
        <v>26</v>
      </c>
      <c r="M57" s="35">
        <v>43.8</v>
      </c>
      <c r="N57" s="36">
        <v>0</v>
      </c>
      <c r="O57" s="36">
        <v>43.8</v>
      </c>
      <c r="P57" s="36">
        <v>60.1</v>
      </c>
      <c r="Q57" s="36">
        <v>0</v>
      </c>
      <c r="R57" s="36">
        <v>161.6</v>
      </c>
      <c r="S57" s="36" t="s">
        <v>34</v>
      </c>
      <c r="T57" s="36" t="s">
        <v>34</v>
      </c>
      <c r="U57" s="36">
        <v>26</v>
      </c>
      <c r="W57" s="39">
        <f t="shared" si="1"/>
        <v>0</v>
      </c>
      <c r="X57" s="39">
        <f t="shared" si="2"/>
        <v>0</v>
      </c>
      <c r="Y57" s="39">
        <f t="shared" si="3"/>
        <v>0</v>
      </c>
      <c r="Z57" s="39">
        <f t="shared" si="4"/>
        <v>0</v>
      </c>
      <c r="AA57" s="39">
        <f t="shared" si="5"/>
        <v>0</v>
      </c>
      <c r="AB57" s="39">
        <f t="shared" si="6"/>
        <v>0</v>
      </c>
      <c r="AC57" s="39" t="e">
        <f t="shared" si="7"/>
        <v>#VALUE!</v>
      </c>
      <c r="AD57" s="39" t="e">
        <f t="shared" si="8"/>
        <v>#VALUE!</v>
      </c>
      <c r="AE57" s="39">
        <f t="shared" si="9"/>
        <v>0</v>
      </c>
    </row>
    <row r="58" spans="1:31" s="22" customFormat="1" ht="26.25">
      <c r="A58" s="19" t="s">
        <v>128</v>
      </c>
      <c r="B58" s="20" t="s">
        <v>103</v>
      </c>
      <c r="C58" s="21">
        <v>194.1</v>
      </c>
      <c r="D58" s="21">
        <v>0</v>
      </c>
      <c r="E58" s="21">
        <v>194.1</v>
      </c>
      <c r="F58" s="21">
        <v>208.8</v>
      </c>
      <c r="G58" s="21">
        <v>0</v>
      </c>
      <c r="H58" s="21">
        <v>2761.3</v>
      </c>
      <c r="I58" s="21" t="s">
        <v>34</v>
      </c>
      <c r="J58" s="21" t="s">
        <v>34</v>
      </c>
      <c r="K58" s="21">
        <v>194.1</v>
      </c>
      <c r="M58" s="35">
        <v>194.1</v>
      </c>
      <c r="N58" s="36">
        <v>0</v>
      </c>
      <c r="O58" s="36">
        <v>194.1</v>
      </c>
      <c r="P58" s="36">
        <v>208.8</v>
      </c>
      <c r="Q58" s="36">
        <v>0</v>
      </c>
      <c r="R58" s="36">
        <v>2761.3</v>
      </c>
      <c r="S58" s="36" t="s">
        <v>34</v>
      </c>
      <c r="T58" s="36" t="s">
        <v>34</v>
      </c>
      <c r="U58" s="36">
        <v>194.1</v>
      </c>
      <c r="W58" s="39">
        <f t="shared" si="1"/>
        <v>0</v>
      </c>
      <c r="X58" s="39">
        <f t="shared" si="2"/>
        <v>0</v>
      </c>
      <c r="Y58" s="39">
        <f t="shared" si="3"/>
        <v>0</v>
      </c>
      <c r="Z58" s="39">
        <f t="shared" si="4"/>
        <v>0</v>
      </c>
      <c r="AA58" s="39">
        <f t="shared" si="5"/>
        <v>0</v>
      </c>
      <c r="AB58" s="39">
        <f t="shared" si="6"/>
        <v>0</v>
      </c>
      <c r="AC58" s="39" t="e">
        <f t="shared" si="7"/>
        <v>#VALUE!</v>
      </c>
      <c r="AD58" s="39" t="e">
        <f t="shared" si="8"/>
        <v>#VALUE!</v>
      </c>
      <c r="AE58" s="39">
        <f t="shared" si="9"/>
        <v>0</v>
      </c>
    </row>
    <row r="59" spans="1:31" ht="15.75">
      <c r="A59" s="3" t="s">
        <v>104</v>
      </c>
      <c r="B59" s="4" t="s">
        <v>105</v>
      </c>
      <c r="C59" s="13">
        <v>194.1</v>
      </c>
      <c r="D59" s="13">
        <v>0</v>
      </c>
      <c r="E59" s="13">
        <v>194.1</v>
      </c>
      <c r="F59" s="13">
        <v>208.8</v>
      </c>
      <c r="G59" s="13">
        <v>0</v>
      </c>
      <c r="H59" s="13">
        <v>2761.3</v>
      </c>
      <c r="I59" s="13" t="s">
        <v>34</v>
      </c>
      <c r="J59" s="13" t="s">
        <v>34</v>
      </c>
      <c r="K59" s="13">
        <v>194.1</v>
      </c>
      <c r="M59" s="35">
        <v>194.1</v>
      </c>
      <c r="N59" s="36">
        <v>0</v>
      </c>
      <c r="O59" s="36">
        <v>194.1</v>
      </c>
      <c r="P59" s="36">
        <v>208.8</v>
      </c>
      <c r="Q59" s="36">
        <v>0</v>
      </c>
      <c r="R59" s="36">
        <v>2761.3</v>
      </c>
      <c r="S59" s="36" t="s">
        <v>34</v>
      </c>
      <c r="T59" s="36" t="s">
        <v>34</v>
      </c>
      <c r="U59" s="36">
        <v>194.1</v>
      </c>
      <c r="W59" s="39">
        <f t="shared" si="1"/>
        <v>0</v>
      </c>
      <c r="X59" s="39">
        <f t="shared" si="2"/>
        <v>0</v>
      </c>
      <c r="Y59" s="39">
        <f t="shared" si="3"/>
        <v>0</v>
      </c>
      <c r="Z59" s="39">
        <f t="shared" si="4"/>
        <v>0</v>
      </c>
      <c r="AA59" s="39">
        <f t="shared" si="5"/>
        <v>0</v>
      </c>
      <c r="AB59" s="39">
        <f t="shared" si="6"/>
        <v>0</v>
      </c>
      <c r="AC59" s="39" t="e">
        <f t="shared" si="7"/>
        <v>#VALUE!</v>
      </c>
      <c r="AD59" s="39" t="e">
        <f t="shared" si="8"/>
        <v>#VALUE!</v>
      </c>
      <c r="AE59" s="39">
        <f t="shared" si="9"/>
        <v>0</v>
      </c>
    </row>
    <row r="60" spans="1:31" s="22" customFormat="1" ht="15.75">
      <c r="A60" s="23" t="s">
        <v>129</v>
      </c>
      <c r="B60" s="24" t="s">
        <v>106</v>
      </c>
      <c r="C60" s="12">
        <v>9.4</v>
      </c>
      <c r="D60" s="12">
        <v>274.3</v>
      </c>
      <c r="E60" s="12">
        <v>9.6999999999999993</v>
      </c>
      <c r="F60" s="12">
        <v>10.8</v>
      </c>
      <c r="G60" s="12">
        <v>29026.799999999999</v>
      </c>
      <c r="H60" s="12">
        <v>73.2</v>
      </c>
      <c r="I60" s="12">
        <v>32.700000000000003</v>
      </c>
      <c r="J60" s="12">
        <v>73.900000000000006</v>
      </c>
      <c r="K60" s="12">
        <v>7.6</v>
      </c>
      <c r="M60" s="35">
        <v>9.4</v>
      </c>
      <c r="N60" s="36">
        <v>274.3</v>
      </c>
      <c r="O60" s="36">
        <v>9.6999999999999993</v>
      </c>
      <c r="P60" s="36">
        <v>10.8</v>
      </c>
      <c r="Q60" s="36">
        <v>29026.799999999999</v>
      </c>
      <c r="R60" s="36">
        <v>73.2</v>
      </c>
      <c r="S60" s="36">
        <v>32.700000000000003</v>
      </c>
      <c r="T60" s="36">
        <v>73.900000000000006</v>
      </c>
      <c r="U60" s="36">
        <v>7.6</v>
      </c>
      <c r="W60" s="39">
        <f t="shared" si="1"/>
        <v>0</v>
      </c>
      <c r="X60" s="39">
        <f t="shared" si="2"/>
        <v>0</v>
      </c>
      <c r="Y60" s="39">
        <f t="shared" si="3"/>
        <v>0</v>
      </c>
      <c r="Z60" s="39">
        <f t="shared" si="4"/>
        <v>0</v>
      </c>
      <c r="AA60" s="39">
        <f t="shared" si="5"/>
        <v>0</v>
      </c>
      <c r="AB60" s="39">
        <f t="shared" si="6"/>
        <v>0</v>
      </c>
      <c r="AC60" s="39">
        <f t="shared" si="7"/>
        <v>0</v>
      </c>
      <c r="AD60" s="39">
        <f t="shared" si="8"/>
        <v>0</v>
      </c>
      <c r="AE60" s="39">
        <f t="shared" si="9"/>
        <v>0</v>
      </c>
    </row>
    <row r="61" spans="1:31" ht="26.25">
      <c r="A61" s="3" t="s">
        <v>107</v>
      </c>
      <c r="B61" s="4" t="s">
        <v>108</v>
      </c>
      <c r="C61" s="13">
        <v>10.4</v>
      </c>
      <c r="D61" s="13">
        <v>335.8</v>
      </c>
      <c r="E61" s="13">
        <v>10.7</v>
      </c>
      <c r="F61" s="13">
        <v>11.5</v>
      </c>
      <c r="G61" s="13">
        <v>31387.8</v>
      </c>
      <c r="H61" s="13">
        <v>106.8</v>
      </c>
      <c r="I61" s="13" t="s">
        <v>34</v>
      </c>
      <c r="J61" s="13">
        <v>73.900000000000006</v>
      </c>
      <c r="K61" s="13">
        <v>8.6</v>
      </c>
      <c r="M61" s="35">
        <v>10.4</v>
      </c>
      <c r="N61" s="36">
        <v>335.8</v>
      </c>
      <c r="O61" s="36">
        <v>10.7</v>
      </c>
      <c r="P61" s="36">
        <v>11.5</v>
      </c>
      <c r="Q61" s="36">
        <v>31387.8</v>
      </c>
      <c r="R61" s="36">
        <v>106.8</v>
      </c>
      <c r="S61" s="36" t="s">
        <v>34</v>
      </c>
      <c r="T61" s="36">
        <v>73.900000000000006</v>
      </c>
      <c r="U61" s="36">
        <v>8.6</v>
      </c>
      <c r="W61" s="39">
        <f t="shared" si="1"/>
        <v>0</v>
      </c>
      <c r="X61" s="39">
        <f t="shared" si="2"/>
        <v>0</v>
      </c>
      <c r="Y61" s="39">
        <f t="shared" si="3"/>
        <v>0</v>
      </c>
      <c r="Z61" s="39">
        <f t="shared" si="4"/>
        <v>0</v>
      </c>
      <c r="AA61" s="39">
        <f t="shared" si="5"/>
        <v>0</v>
      </c>
      <c r="AB61" s="39">
        <f t="shared" si="6"/>
        <v>0</v>
      </c>
      <c r="AC61" s="39" t="e">
        <f t="shared" si="7"/>
        <v>#VALUE!</v>
      </c>
      <c r="AD61" s="39">
        <f t="shared" si="8"/>
        <v>0</v>
      </c>
      <c r="AE61" s="39">
        <f t="shared" si="9"/>
        <v>0</v>
      </c>
    </row>
    <row r="62" spans="1:31" ht="15.75">
      <c r="A62" s="3" t="s">
        <v>109</v>
      </c>
      <c r="B62" s="4" t="s">
        <v>110</v>
      </c>
      <c r="C62" s="13">
        <v>-32.299999999999997</v>
      </c>
      <c r="D62" s="13">
        <v>-191.5</v>
      </c>
      <c r="E62" s="13">
        <v>-38.799999999999997</v>
      </c>
      <c r="F62" s="13">
        <v>-79.900000000000006</v>
      </c>
      <c r="G62" s="13">
        <v>0</v>
      </c>
      <c r="H62" s="13">
        <v>-23</v>
      </c>
      <c r="I62" s="13">
        <v>32.700000000000003</v>
      </c>
      <c r="J62" s="13" t="s">
        <v>34</v>
      </c>
      <c r="K62" s="13">
        <v>-32.700000000000003</v>
      </c>
      <c r="M62" s="35">
        <v>-32.299999999999997</v>
      </c>
      <c r="N62" s="36">
        <v>-191.5</v>
      </c>
      <c r="O62" s="36">
        <v>-38.799999999999997</v>
      </c>
      <c r="P62" s="36">
        <v>-79.900000000000006</v>
      </c>
      <c r="Q62" s="36">
        <v>0</v>
      </c>
      <c r="R62" s="36">
        <v>-23</v>
      </c>
      <c r="S62" s="36">
        <v>32.700000000000003</v>
      </c>
      <c r="T62" s="36" t="s">
        <v>34</v>
      </c>
      <c r="U62" s="36">
        <v>-32.700000000000003</v>
      </c>
      <c r="W62" s="39">
        <f t="shared" si="1"/>
        <v>0</v>
      </c>
      <c r="X62" s="39">
        <f t="shared" si="2"/>
        <v>0</v>
      </c>
      <c r="Y62" s="39">
        <f t="shared" si="3"/>
        <v>0</v>
      </c>
      <c r="Z62" s="39">
        <f t="shared" si="4"/>
        <v>0</v>
      </c>
      <c r="AA62" s="39">
        <f t="shared" si="5"/>
        <v>0</v>
      </c>
      <c r="AB62" s="39">
        <f t="shared" si="6"/>
        <v>0</v>
      </c>
      <c r="AC62" s="39">
        <f t="shared" si="7"/>
        <v>0</v>
      </c>
      <c r="AD62" s="39" t="e">
        <f t="shared" si="8"/>
        <v>#VALUE!</v>
      </c>
      <c r="AE62" s="39">
        <f t="shared" si="9"/>
        <v>0</v>
      </c>
    </row>
  </sheetData>
  <autoFilter ref="A7:AE7"/>
  <mergeCells count="9">
    <mergeCell ref="J5:J6"/>
    <mergeCell ref="C1:I1"/>
    <mergeCell ref="C2:I2"/>
    <mergeCell ref="C3:I3"/>
    <mergeCell ref="B5:B6"/>
    <mergeCell ref="A5:A6"/>
    <mergeCell ref="H4:I4"/>
    <mergeCell ref="C5:H5"/>
    <mergeCell ref="I5:I6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27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T27</vt:lpstr>
      <vt:lpstr>'T27'!ExternalData_1</vt:lpstr>
      <vt:lpstr>'T27'!Заголовки_для_печати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2023-05-18T06:49:51Z</cp:lastPrinted>
  <dcterms:created xsi:type="dcterms:W3CDTF">2006-03-10T07:08:15Z</dcterms:created>
  <dcterms:modified xsi:type="dcterms:W3CDTF">2025-09-14T23:32:59Z</dcterms:modified>
</cp:coreProperties>
</file>