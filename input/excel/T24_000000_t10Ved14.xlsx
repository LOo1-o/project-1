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90" yWindow="30" windowWidth="8445" windowHeight="4875" tabRatio="359"/>
  </bookViews>
  <sheets>
    <sheet name="T10" sheetId="1" r:id="rId1"/>
  </sheets>
  <definedNames>
    <definedName name="ExternalData_1" localSheetId="0">'T10'!$A$10:$P$68</definedName>
    <definedName name="_xlnm.Print_Titles" localSheetId="0">'T10'!$A:$B,'T10'!$4:$9</definedName>
  </definedNames>
  <calcPr calcId="125725"/>
</workbook>
</file>

<file path=xl/calcChain.xml><?xml version="1.0" encoding="utf-8"?>
<calcChain xmlns="http://schemas.openxmlformats.org/spreadsheetml/2006/main">
  <c r="AH66" i="1"/>
  <c r="AH65"/>
  <c r="AH67"/>
  <c r="AH12"/>
  <c r="AI12"/>
  <c r="AJ12"/>
  <c r="AK12"/>
  <c r="AL12"/>
  <c r="AM12"/>
  <c r="AN12"/>
  <c r="AO12"/>
  <c r="AP12"/>
  <c r="AQ12"/>
  <c r="AR12"/>
  <c r="AS12"/>
  <c r="AT12"/>
  <c r="AU12"/>
  <c r="AH13"/>
  <c r="AI13"/>
  <c r="AJ13"/>
  <c r="AK13"/>
  <c r="AL13"/>
  <c r="AM13"/>
  <c r="AN13"/>
  <c r="AO13"/>
  <c r="AP13"/>
  <c r="AQ13"/>
  <c r="AR13"/>
  <c r="AS13"/>
  <c r="AT13"/>
  <c r="AU13"/>
  <c r="AH14"/>
  <c r="AI14"/>
  <c r="AJ14"/>
  <c r="AK14"/>
  <c r="AL14"/>
  <c r="AM14"/>
  <c r="AN14"/>
  <c r="AO14"/>
  <c r="AP14"/>
  <c r="AQ14"/>
  <c r="AR14"/>
  <c r="AS14"/>
  <c r="AT14"/>
  <c r="AU14"/>
  <c r="AH15"/>
  <c r="AI15"/>
  <c r="AJ15"/>
  <c r="AK15"/>
  <c r="AL15"/>
  <c r="AM15"/>
  <c r="AN15"/>
  <c r="AO15"/>
  <c r="AP15"/>
  <c r="AQ15"/>
  <c r="AR15"/>
  <c r="AS15"/>
  <c r="AT15"/>
  <c r="AU15"/>
  <c r="AH16"/>
  <c r="AI16"/>
  <c r="AJ16"/>
  <c r="AK16"/>
  <c r="AL16"/>
  <c r="AM16"/>
  <c r="AN16"/>
  <c r="AO16"/>
  <c r="AP16"/>
  <c r="AQ16"/>
  <c r="AR16"/>
  <c r="AS16"/>
  <c r="AT16"/>
  <c r="AU16"/>
  <c r="AH17"/>
  <c r="AI17"/>
  <c r="AJ17"/>
  <c r="AK17"/>
  <c r="AL17"/>
  <c r="AM17"/>
  <c r="AN17"/>
  <c r="AO17"/>
  <c r="AP17"/>
  <c r="AQ17"/>
  <c r="AR17"/>
  <c r="AS17"/>
  <c r="AT17"/>
  <c r="AU17"/>
  <c r="AH18"/>
  <c r="AI18"/>
  <c r="AJ18"/>
  <c r="AK18"/>
  <c r="AL18"/>
  <c r="AM18"/>
  <c r="AN18"/>
  <c r="AO18"/>
  <c r="AP18"/>
  <c r="AQ18"/>
  <c r="AR18"/>
  <c r="AS18"/>
  <c r="AT18"/>
  <c r="AU18"/>
  <c r="AH19"/>
  <c r="AI19"/>
  <c r="AJ19"/>
  <c r="AK19"/>
  <c r="AL19"/>
  <c r="AM19"/>
  <c r="AN19"/>
  <c r="AO19"/>
  <c r="AP19"/>
  <c r="AQ19"/>
  <c r="AR19"/>
  <c r="AS19"/>
  <c r="AT19"/>
  <c r="AU19"/>
  <c r="AH20"/>
  <c r="AI20"/>
  <c r="AJ20"/>
  <c r="AK20"/>
  <c r="AL20"/>
  <c r="AM20"/>
  <c r="AN20"/>
  <c r="AO20"/>
  <c r="AP20"/>
  <c r="AQ20"/>
  <c r="AR20"/>
  <c r="AS20"/>
  <c r="AT20"/>
  <c r="AU20"/>
  <c r="AH21"/>
  <c r="AI21"/>
  <c r="AJ21"/>
  <c r="AK21"/>
  <c r="AL21"/>
  <c r="AM21"/>
  <c r="AN21"/>
  <c r="AO21"/>
  <c r="AP21"/>
  <c r="AQ21"/>
  <c r="AR21"/>
  <c r="AS21"/>
  <c r="AT21"/>
  <c r="AU21"/>
  <c r="AH22"/>
  <c r="AI22"/>
  <c r="AJ22"/>
  <c r="AK22"/>
  <c r="AL22"/>
  <c r="AM22"/>
  <c r="AN22"/>
  <c r="AO22"/>
  <c r="AP22"/>
  <c r="AQ22"/>
  <c r="AR22"/>
  <c r="AS22"/>
  <c r="AT22"/>
  <c r="AU22"/>
  <c r="AH23"/>
  <c r="AI23"/>
  <c r="AJ23"/>
  <c r="AK23"/>
  <c r="AL23"/>
  <c r="AM23"/>
  <c r="AN23"/>
  <c r="AO23"/>
  <c r="AP23"/>
  <c r="AQ23"/>
  <c r="AR23"/>
  <c r="AS23"/>
  <c r="AT23"/>
  <c r="AU23"/>
  <c r="AH24"/>
  <c r="AI24"/>
  <c r="AJ24"/>
  <c r="AK24"/>
  <c r="AL24"/>
  <c r="AM24"/>
  <c r="AN24"/>
  <c r="AO24"/>
  <c r="AP24"/>
  <c r="AQ24"/>
  <c r="AR24"/>
  <c r="AS24"/>
  <c r="AT24"/>
  <c r="AU24"/>
  <c r="AH25"/>
  <c r="AI25"/>
  <c r="AJ25"/>
  <c r="AK25"/>
  <c r="AL25"/>
  <c r="AM25"/>
  <c r="AN25"/>
  <c r="AO25"/>
  <c r="AP25"/>
  <c r="AQ25"/>
  <c r="AR25"/>
  <c r="AS25"/>
  <c r="AT25"/>
  <c r="AU25"/>
  <c r="AH26"/>
  <c r="AI26"/>
  <c r="AJ26"/>
  <c r="AK26"/>
  <c r="AL26"/>
  <c r="AM26"/>
  <c r="AN26"/>
  <c r="AO26"/>
  <c r="AP26"/>
  <c r="AQ26"/>
  <c r="AR26"/>
  <c r="AS26"/>
  <c r="AT26"/>
  <c r="AU26"/>
  <c r="AH27"/>
  <c r="AI27"/>
  <c r="AJ27"/>
  <c r="AK27"/>
  <c r="AL27"/>
  <c r="AM27"/>
  <c r="AN27"/>
  <c r="AO27"/>
  <c r="AP27"/>
  <c r="AQ27"/>
  <c r="AR27"/>
  <c r="AS27"/>
  <c r="AT27"/>
  <c r="AU27"/>
  <c r="AH28"/>
  <c r="AI28"/>
  <c r="AJ28"/>
  <c r="AK28"/>
  <c r="AL28"/>
  <c r="AM28"/>
  <c r="AN28"/>
  <c r="AO28"/>
  <c r="AP28"/>
  <c r="AQ28"/>
  <c r="AR28"/>
  <c r="AS28"/>
  <c r="AT28"/>
  <c r="AU28"/>
  <c r="AH29"/>
  <c r="AI29"/>
  <c r="AJ29"/>
  <c r="AK29"/>
  <c r="AL29"/>
  <c r="AM29"/>
  <c r="AN29"/>
  <c r="AO29"/>
  <c r="AP29"/>
  <c r="AQ29"/>
  <c r="AR29"/>
  <c r="AS29"/>
  <c r="AT29"/>
  <c r="AU29"/>
  <c r="AH30"/>
  <c r="AI30"/>
  <c r="AJ30"/>
  <c r="AK30"/>
  <c r="AL30"/>
  <c r="AM30"/>
  <c r="AN30"/>
  <c r="AO30"/>
  <c r="AP30"/>
  <c r="AQ30"/>
  <c r="AR30"/>
  <c r="AS30"/>
  <c r="AT30"/>
  <c r="AU30"/>
  <c r="AH31"/>
  <c r="AI31"/>
  <c r="AJ31"/>
  <c r="AK31"/>
  <c r="AL31"/>
  <c r="AM31"/>
  <c r="AN31"/>
  <c r="AO31"/>
  <c r="AP31"/>
  <c r="AQ31"/>
  <c r="AR31"/>
  <c r="AS31"/>
  <c r="AT31"/>
  <c r="AU31"/>
  <c r="AH32"/>
  <c r="AI32"/>
  <c r="AJ32"/>
  <c r="AK32"/>
  <c r="AL32"/>
  <c r="AM32"/>
  <c r="AN32"/>
  <c r="AO32"/>
  <c r="AP32"/>
  <c r="AQ32"/>
  <c r="AR32"/>
  <c r="AS32"/>
  <c r="AT32"/>
  <c r="AU32"/>
  <c r="AH33"/>
  <c r="AI33"/>
  <c r="AJ33"/>
  <c r="AK33"/>
  <c r="AL33"/>
  <c r="AM33"/>
  <c r="AN33"/>
  <c r="AO33"/>
  <c r="AP33"/>
  <c r="AQ33"/>
  <c r="AR33"/>
  <c r="AS33"/>
  <c r="AT33"/>
  <c r="AU33"/>
  <c r="AH34"/>
  <c r="AI34"/>
  <c r="AJ34"/>
  <c r="AK34"/>
  <c r="AL34"/>
  <c r="AM34"/>
  <c r="AN34"/>
  <c r="AO34"/>
  <c r="AP34"/>
  <c r="AQ34"/>
  <c r="AR34"/>
  <c r="AS34"/>
  <c r="AT34"/>
  <c r="AU34"/>
  <c r="AH35"/>
  <c r="AI35"/>
  <c r="AJ35"/>
  <c r="AK35"/>
  <c r="AL35"/>
  <c r="AM35"/>
  <c r="AN35"/>
  <c r="AO35"/>
  <c r="AP35"/>
  <c r="AQ35"/>
  <c r="AR35"/>
  <c r="AS35"/>
  <c r="AT35"/>
  <c r="AU35"/>
  <c r="AH36"/>
  <c r="AI36"/>
  <c r="AJ36"/>
  <c r="AK36"/>
  <c r="AL36"/>
  <c r="AM36"/>
  <c r="AN36"/>
  <c r="AO36"/>
  <c r="AP36"/>
  <c r="AQ36"/>
  <c r="AR36"/>
  <c r="AS36"/>
  <c r="AT36"/>
  <c r="AU36"/>
  <c r="AH37"/>
  <c r="AI37"/>
  <c r="AJ37"/>
  <c r="AK37"/>
  <c r="AL37"/>
  <c r="AM37"/>
  <c r="AN37"/>
  <c r="AO37"/>
  <c r="AP37"/>
  <c r="AQ37"/>
  <c r="AR37"/>
  <c r="AS37"/>
  <c r="AT37"/>
  <c r="AU37"/>
  <c r="AH38"/>
  <c r="AI38"/>
  <c r="AJ38"/>
  <c r="AK38"/>
  <c r="AL38"/>
  <c r="AM38"/>
  <c r="AN38"/>
  <c r="AO38"/>
  <c r="AP38"/>
  <c r="AQ38"/>
  <c r="AR38"/>
  <c r="AS38"/>
  <c r="AT38"/>
  <c r="AU38"/>
  <c r="AH39"/>
  <c r="AI39"/>
  <c r="AJ39"/>
  <c r="AK39"/>
  <c r="AL39"/>
  <c r="AM39"/>
  <c r="AN39"/>
  <c r="AO39"/>
  <c r="AP39"/>
  <c r="AQ39"/>
  <c r="AR39"/>
  <c r="AS39"/>
  <c r="AT39"/>
  <c r="AU39"/>
  <c r="AH40"/>
  <c r="AI40"/>
  <c r="AJ40"/>
  <c r="AK40"/>
  <c r="AL40"/>
  <c r="AM40"/>
  <c r="AN40"/>
  <c r="AO40"/>
  <c r="AP40"/>
  <c r="AQ40"/>
  <c r="AR40"/>
  <c r="AS40"/>
  <c r="AT40"/>
  <c r="AU40"/>
  <c r="AH41"/>
  <c r="AI41"/>
  <c r="AJ41"/>
  <c r="AK41"/>
  <c r="AL41"/>
  <c r="AM41"/>
  <c r="AN41"/>
  <c r="AO41"/>
  <c r="AP41"/>
  <c r="AQ41"/>
  <c r="AR41"/>
  <c r="AS41"/>
  <c r="AT41"/>
  <c r="AU41"/>
  <c r="AH42"/>
  <c r="AI42"/>
  <c r="AJ42"/>
  <c r="AK42"/>
  <c r="AL42"/>
  <c r="AM42"/>
  <c r="AN42"/>
  <c r="AO42"/>
  <c r="AP42"/>
  <c r="AQ42"/>
  <c r="AR42"/>
  <c r="AS42"/>
  <c r="AT42"/>
  <c r="AU42"/>
  <c r="AH43"/>
  <c r="AI43"/>
  <c r="AJ43"/>
  <c r="AK43"/>
  <c r="AL43"/>
  <c r="AM43"/>
  <c r="AN43"/>
  <c r="AO43"/>
  <c r="AP43"/>
  <c r="AQ43"/>
  <c r="AR43"/>
  <c r="AS43"/>
  <c r="AT43"/>
  <c r="AU43"/>
  <c r="AH44"/>
  <c r="AI44"/>
  <c r="AJ44"/>
  <c r="AK44"/>
  <c r="AL44"/>
  <c r="AM44"/>
  <c r="AN44"/>
  <c r="AO44"/>
  <c r="AP44"/>
  <c r="AQ44"/>
  <c r="AR44"/>
  <c r="AS44"/>
  <c r="AT44"/>
  <c r="AU44"/>
  <c r="AH45"/>
  <c r="AI45"/>
  <c r="AJ45"/>
  <c r="AK45"/>
  <c r="AL45"/>
  <c r="AM45"/>
  <c r="AN45"/>
  <c r="AO45"/>
  <c r="AP45"/>
  <c r="AQ45"/>
  <c r="AR45"/>
  <c r="AS45"/>
  <c r="AT45"/>
  <c r="AU45"/>
  <c r="AH46"/>
  <c r="AI46"/>
  <c r="AJ46"/>
  <c r="AK46"/>
  <c r="AL46"/>
  <c r="AM46"/>
  <c r="AN46"/>
  <c r="AO46"/>
  <c r="AP46"/>
  <c r="AQ46"/>
  <c r="AR46"/>
  <c r="AS46"/>
  <c r="AT46"/>
  <c r="AU46"/>
  <c r="AH47"/>
  <c r="AI47"/>
  <c r="AJ47"/>
  <c r="AK47"/>
  <c r="AL47"/>
  <c r="AM47"/>
  <c r="AN47"/>
  <c r="AO47"/>
  <c r="AP47"/>
  <c r="AQ47"/>
  <c r="AR47"/>
  <c r="AS47"/>
  <c r="AT47"/>
  <c r="AU47"/>
  <c r="AH48"/>
  <c r="AI48"/>
  <c r="AJ48"/>
  <c r="AK48"/>
  <c r="AL48"/>
  <c r="AM48"/>
  <c r="AN48"/>
  <c r="AO48"/>
  <c r="AP48"/>
  <c r="AQ48"/>
  <c r="AR48"/>
  <c r="AS48"/>
  <c r="AT48"/>
  <c r="AU48"/>
  <c r="AH49"/>
  <c r="AI49"/>
  <c r="AJ49"/>
  <c r="AK49"/>
  <c r="AL49"/>
  <c r="AM49"/>
  <c r="AN49"/>
  <c r="AO49"/>
  <c r="AP49"/>
  <c r="AQ49"/>
  <c r="AR49"/>
  <c r="AS49"/>
  <c r="AT49"/>
  <c r="AU49"/>
  <c r="AH50"/>
  <c r="AI50"/>
  <c r="AJ50"/>
  <c r="AK50"/>
  <c r="AL50"/>
  <c r="AM50"/>
  <c r="AN50"/>
  <c r="AO50"/>
  <c r="AP50"/>
  <c r="AQ50"/>
  <c r="AR50"/>
  <c r="AS50"/>
  <c r="AT50"/>
  <c r="AU50"/>
  <c r="AH51"/>
  <c r="AI51"/>
  <c r="AJ51"/>
  <c r="AK51"/>
  <c r="AL51"/>
  <c r="AM51"/>
  <c r="AN51"/>
  <c r="AO51"/>
  <c r="AP51"/>
  <c r="AQ51"/>
  <c r="AR51"/>
  <c r="AS51"/>
  <c r="AT51"/>
  <c r="AU51"/>
  <c r="AH52"/>
  <c r="AI52"/>
  <c r="AJ52"/>
  <c r="AK52"/>
  <c r="AL52"/>
  <c r="AM52"/>
  <c r="AN52"/>
  <c r="AO52"/>
  <c r="AP52"/>
  <c r="AQ52"/>
  <c r="AR52"/>
  <c r="AS52"/>
  <c r="AT52"/>
  <c r="AU52"/>
  <c r="AH53"/>
  <c r="AI53"/>
  <c r="AJ53"/>
  <c r="AK53"/>
  <c r="AL53"/>
  <c r="AM53"/>
  <c r="AN53"/>
  <c r="AO53"/>
  <c r="AP53"/>
  <c r="AQ53"/>
  <c r="AR53"/>
  <c r="AS53"/>
  <c r="AT53"/>
  <c r="AU53"/>
  <c r="AH54"/>
  <c r="AI54"/>
  <c r="AJ54"/>
  <c r="AK54"/>
  <c r="AL54"/>
  <c r="AM54"/>
  <c r="AN54"/>
  <c r="AO54"/>
  <c r="AP54"/>
  <c r="AQ54"/>
  <c r="AR54"/>
  <c r="AS54"/>
  <c r="AT54"/>
  <c r="AU54"/>
  <c r="AH55"/>
  <c r="AI55"/>
  <c r="AJ55"/>
  <c r="AK55"/>
  <c r="AL55"/>
  <c r="AM55"/>
  <c r="AN55"/>
  <c r="AO55"/>
  <c r="AP55"/>
  <c r="AQ55"/>
  <c r="AR55"/>
  <c r="AS55"/>
  <c r="AT55"/>
  <c r="AU55"/>
  <c r="AH56"/>
  <c r="AI56"/>
  <c r="AJ56"/>
  <c r="AK56"/>
  <c r="AL56"/>
  <c r="AM56"/>
  <c r="AN56"/>
  <c r="AO56"/>
  <c r="AP56"/>
  <c r="AQ56"/>
  <c r="AR56"/>
  <c r="AS56"/>
  <c r="AT56"/>
  <c r="AU56"/>
  <c r="AH57"/>
  <c r="AI57"/>
  <c r="AJ57"/>
  <c r="AK57"/>
  <c r="AL57"/>
  <c r="AM57"/>
  <c r="AN57"/>
  <c r="AO57"/>
  <c r="AP57"/>
  <c r="AQ57"/>
  <c r="AR57"/>
  <c r="AS57"/>
  <c r="AT57"/>
  <c r="AU57"/>
  <c r="AH58"/>
  <c r="AI58"/>
  <c r="AJ58"/>
  <c r="AK58"/>
  <c r="AL58"/>
  <c r="AM58"/>
  <c r="AN58"/>
  <c r="AO58"/>
  <c r="AP58"/>
  <c r="AQ58"/>
  <c r="AR58"/>
  <c r="AS58"/>
  <c r="AT58"/>
  <c r="AU58"/>
  <c r="AH59"/>
  <c r="AI59"/>
  <c r="AJ59"/>
  <c r="AK59"/>
  <c r="AL59"/>
  <c r="AM59"/>
  <c r="AN59"/>
  <c r="AO59"/>
  <c r="AP59"/>
  <c r="AQ59"/>
  <c r="AR59"/>
  <c r="AS59"/>
  <c r="AT59"/>
  <c r="AU59"/>
  <c r="AH60"/>
  <c r="AI60"/>
  <c r="AJ60"/>
  <c r="AK60"/>
  <c r="AL60"/>
  <c r="AM60"/>
  <c r="AN60"/>
  <c r="AO60"/>
  <c r="AP60"/>
  <c r="AQ60"/>
  <c r="AR60"/>
  <c r="AS60"/>
  <c r="AT60"/>
  <c r="AU60"/>
  <c r="AH61"/>
  <c r="AI61"/>
  <c r="AJ61"/>
  <c r="AK61"/>
  <c r="AL61"/>
  <c r="AM61"/>
  <c r="AN61"/>
  <c r="AO61"/>
  <c r="AP61"/>
  <c r="AQ61"/>
  <c r="AR61"/>
  <c r="AS61"/>
  <c r="AT61"/>
  <c r="AU61"/>
  <c r="AH62"/>
  <c r="AI62"/>
  <c r="AJ62"/>
  <c r="AK62"/>
  <c r="AL62"/>
  <c r="AM62"/>
  <c r="AN62"/>
  <c r="AO62"/>
  <c r="AP62"/>
  <c r="AQ62"/>
  <c r="AR62"/>
  <c r="AS62"/>
  <c r="AT62"/>
  <c r="AU62"/>
  <c r="AH63"/>
  <c r="AI63"/>
  <c r="AJ63"/>
  <c r="AK63"/>
  <c r="AL63"/>
  <c r="AM63"/>
  <c r="AN63"/>
  <c r="AO63"/>
  <c r="AP63"/>
  <c r="AQ63"/>
  <c r="AR63"/>
  <c r="AS63"/>
  <c r="AT63"/>
  <c r="AU63"/>
  <c r="AH64"/>
  <c r="AI64"/>
  <c r="AJ64"/>
  <c r="AK64"/>
  <c r="AL64"/>
  <c r="AM64"/>
  <c r="AN64"/>
  <c r="AO64"/>
  <c r="AP64"/>
  <c r="AQ64"/>
  <c r="AR64"/>
  <c r="AS64"/>
  <c r="AT64"/>
  <c r="AU64"/>
  <c r="AI65"/>
  <c r="AJ65"/>
  <c r="AK65"/>
  <c r="AL65"/>
  <c r="AM65"/>
  <c r="AN65"/>
  <c r="AO65"/>
  <c r="AP65"/>
  <c r="AQ65"/>
  <c r="AR65"/>
  <c r="AS65"/>
  <c r="AT65"/>
  <c r="AU65"/>
  <c r="AI66"/>
  <c r="AJ66"/>
  <c r="AK66"/>
  <c r="AL66"/>
  <c r="AM66"/>
  <c r="AN66"/>
  <c r="AO66"/>
  <c r="AP66"/>
  <c r="AQ66"/>
  <c r="AR66"/>
  <c r="AS66"/>
  <c r="AT66"/>
  <c r="AU66"/>
  <c r="AI67"/>
  <c r="AJ67"/>
  <c r="AK67"/>
  <c r="AL67"/>
  <c r="AM67"/>
  <c r="AN67"/>
  <c r="AO67"/>
  <c r="AP67"/>
  <c r="AQ67"/>
  <c r="AR67"/>
  <c r="AS67"/>
  <c r="AT67"/>
  <c r="AU67"/>
  <c r="AH68"/>
  <c r="AI68"/>
  <c r="AJ68"/>
  <c r="AK68"/>
  <c r="AL68"/>
  <c r="AM68"/>
  <c r="AN68"/>
  <c r="AO68"/>
  <c r="AP68"/>
  <c r="AQ68"/>
  <c r="AR68"/>
  <c r="AS68"/>
  <c r="AT68"/>
  <c r="AU68"/>
  <c r="AU11"/>
  <c r="AI11"/>
  <c r="AJ11"/>
  <c r="AK11"/>
  <c r="AL11"/>
  <c r="AM11"/>
  <c r="AN11"/>
  <c r="AO11"/>
  <c r="AP11"/>
  <c r="AQ11"/>
  <c r="AR11"/>
  <c r="AS11"/>
  <c r="AT11"/>
  <c r="AH11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<sst xmlns="http://schemas.openxmlformats.org/spreadsheetml/2006/main" count="443" uniqueCount="137">
  <si>
    <t>тыс.руб.</t>
  </si>
  <si>
    <t>А</t>
  </si>
  <si>
    <t>в том числе из оборотных активов:</t>
  </si>
  <si>
    <t>Запасы</t>
  </si>
  <si>
    <t>Оборотные активы</t>
  </si>
  <si>
    <t>Продолжение</t>
  </si>
  <si>
    <t>налог на добавленную стоимость по приобретенным ценностям</t>
  </si>
  <si>
    <t>дебиторская задолженность</t>
  </si>
  <si>
    <t>прочие оборотные активы</t>
  </si>
  <si>
    <t>Наименование</t>
  </si>
  <si>
    <t>Код</t>
  </si>
  <si>
    <t>Б</t>
  </si>
  <si>
    <t>на конец предыдущего года</t>
  </si>
  <si>
    <t>на конец отчетного года</t>
  </si>
  <si>
    <t>краткосрочные финансовые вложения (за исключением денежных эквивалентов)</t>
  </si>
  <si>
    <t>денежные средства и денежные эквиваленты</t>
  </si>
  <si>
    <t>Оборотные активы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</si>
  <si>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</si>
  <si>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</si>
  <si>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</si>
  <si>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</si>
  <si>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</si>
  <si>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</si>
  <si>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</si>
  <si>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</si>
  <si>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</si>
  <si>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</si>
  <si>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</si>
  <si>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</si>
  <si>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</si>
  <si>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</si>
  <si>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</si>
  <si>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</si>
  <si>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-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</si>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</sst>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fonts count="13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11" fillId="0" borderId="9" xfId="0" applyFont="1" applyBorder="1" applyAlignment="1">
      <alignment horizontal="right"/>
    </xf>
    <xf numFmtId="0" fontId="11" fillId="0" borderId="10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1" fillId="0" borderId="9" xfId="0" applyFont="1" applyBorder="1" applyAlignment="1">
      <alignment horizontal="right" wrapText="1"/>
    </xf>
    <xf numFmtId="0" fontId="11" fillId="0" borderId="10" xfId="0" applyFont="1" applyBorder="1" applyAlignment="1">
      <alignment horizontal="right" wrapText="1"/>
    </xf>
    <xf numFmtId="0" fontId="12" fillId="0" borderId="11" xfId="0" applyFont="1" applyBorder="1" applyAlignment="1">
      <alignment horizontal="right" wrapText="1"/>
    </xf>
    <xf numFmtId="0" fontId="12" fillId="0" borderId="12" xfId="0" applyFont="1" applyBorder="1" applyAlignment="1">
      <alignment horizontal="right" wrapText="1"/>
    </xf>
    <xf numFmtId="1" fontId="8" fillId="0" borderId="0" xfId="0" applyNumberFormat="1" applyFont="1"/>
    <xf numFmtId="1" fontId="11" fillId="0" borderId="9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8"/>
  <sheetViews>
    <sheetView tabSelected="1" zoomScaleNormal="100" zoomScaleSheetLayoutView="75" workbookViewId="0">
      <pane xSplit="2" ySplit="9" topLeftCell="Q43" activePane="bottomRight" state="frozen"/>
      <selection pane="topRight" activeCell="C1" sqref="C1"/>
      <selection pane="bottomLeft" activeCell="A10" sqref="A10"/>
      <selection pane="bottomRight" activeCell="A49" sqref="A49:XFD49"/>
    </sheetView>
  </sheetViews>
  <sheetFormatPr defaultColWidth="8.85546875" defaultRowHeight="12.75"/>
  <cols>
    <col min="1" max="1" width="10.7109375" style="16" customWidth="1"/>
    <col min="2" max="2" width="28.7109375" style="11" customWidth="1"/>
    <col min="3" max="6" width="12.7109375" style="2" customWidth="1"/>
    <col min="7" max="10" width="12.140625" style="2" customWidth="1"/>
    <col min="11" max="16" width="12.85546875" style="2" customWidth="1"/>
    <col min="17" max="16384" width="8.85546875" style="1"/>
  </cols>
  <sheetData>
    <row r="1" spans="1:47" s="4" customFormat="1" ht="16.899999999999999" customHeight="1">
      <c r="A1" s="15"/>
      <c r="B1" s="11"/>
      <c r="C1" s="35" t="s">
        <v>16</v>
      </c>
      <c r="D1" s="35"/>
      <c r="E1" s="35"/>
      <c r="F1" s="35"/>
      <c r="G1" s="35"/>
      <c r="H1" s="35"/>
      <c r="I1" s="3"/>
      <c r="J1" s="3"/>
      <c r="K1" s="35" t="s">
        <v>16</v>
      </c>
      <c r="L1" s="34"/>
      <c r="M1" s="34"/>
      <c r="N1" s="34"/>
      <c r="O1" s="34"/>
      <c r="P1" s="13"/>
      <c r="Q1" s="5"/>
      <c r="R1" s="5"/>
    </row>
    <row r="2" spans="1:47" s="4" customFormat="1" ht="27" customHeight="1">
      <c r="A2" s="15"/>
      <c r="B2" s="11"/>
      <c r="C2" s="27" t="s">
        <v>18</v>
      </c>
      <c r="D2" s="27"/>
      <c r="E2" s="28"/>
      <c r="F2" s="27"/>
      <c r="G2" s="27"/>
      <c r="H2" s="27"/>
      <c r="I2" s="3"/>
      <c r="J2" s="3"/>
      <c r="K2" s="27" t="s">
        <v>18</v>
      </c>
      <c r="L2" s="34"/>
      <c r="M2" s="34"/>
      <c r="N2" s="34"/>
      <c r="O2" s="34"/>
      <c r="P2" s="14"/>
      <c r="Q2" s="5"/>
      <c r="R2" s="5"/>
    </row>
    <row r="3" spans="1:47" s="4" customFormat="1" ht="16.149999999999999" customHeight="1">
      <c r="A3" s="15"/>
      <c r="B3" s="11"/>
      <c r="C3" s="27" t="s">
        <v>17</v>
      </c>
      <c r="D3" s="27"/>
      <c r="E3" s="28"/>
      <c r="F3" s="27"/>
      <c r="G3" s="27"/>
      <c r="H3" s="27"/>
      <c r="I3" s="3"/>
      <c r="J3" s="3"/>
      <c r="K3" s="27" t="s">
        <v>17</v>
      </c>
      <c r="L3" s="34"/>
      <c r="M3" s="34"/>
      <c r="N3" s="34"/>
      <c r="O3" s="34"/>
      <c r="P3" s="14"/>
      <c r="Q3" s="5"/>
      <c r="R3" s="5"/>
    </row>
    <row r="4" spans="1:47" s="4" customFormat="1" ht="13.15" customHeight="1">
      <c r="A4" s="15"/>
      <c r="B4" s="11"/>
      <c r="C4" s="3"/>
      <c r="D4" s="3"/>
      <c r="E4" s="3"/>
      <c r="F4" s="3"/>
      <c r="G4" s="3"/>
      <c r="H4" s="3"/>
      <c r="I4" s="3"/>
      <c r="J4" s="7" t="s">
        <v>0</v>
      </c>
      <c r="K4" s="3"/>
      <c r="L4" s="3"/>
      <c r="M4" s="3"/>
      <c r="N4" s="3"/>
      <c r="O4" s="43" t="s">
        <v>5</v>
      </c>
      <c r="P4" s="43"/>
      <c r="Q4" s="5"/>
      <c r="R4" s="5"/>
    </row>
    <row r="5" spans="1:47" s="4" customFormat="1" ht="13.15" customHeight="1">
      <c r="A5" s="26" t="s">
        <v>10</v>
      </c>
      <c r="B5" s="29" t="s">
        <v>9</v>
      </c>
      <c r="C5" s="32" t="s">
        <v>4</v>
      </c>
      <c r="D5" s="33"/>
      <c r="E5" s="32" t="s">
        <v>2</v>
      </c>
      <c r="F5" s="33"/>
      <c r="G5" s="33"/>
      <c r="H5" s="33"/>
      <c r="I5" s="33"/>
      <c r="J5" s="33"/>
      <c r="K5" s="32" t="s">
        <v>2</v>
      </c>
      <c r="L5" s="33"/>
      <c r="M5" s="33"/>
      <c r="N5" s="33"/>
      <c r="O5" s="33"/>
      <c r="P5" s="33"/>
    </row>
    <row r="6" spans="1:47" s="4" customFormat="1" ht="13.15" customHeight="1">
      <c r="A6" s="26"/>
      <c r="B6" s="30"/>
      <c r="C6" s="33"/>
      <c r="D6" s="33"/>
      <c r="E6" s="32" t="s">
        <v>3</v>
      </c>
      <c r="F6" s="33"/>
      <c r="G6" s="36" t="s">
        <v>6</v>
      </c>
      <c r="H6" s="37"/>
      <c r="I6" s="36" t="s">
        <v>7</v>
      </c>
      <c r="J6" s="40"/>
      <c r="K6" s="32" t="s">
        <v>14</v>
      </c>
      <c r="L6" s="33"/>
      <c r="M6" s="32" t="s">
        <v>15</v>
      </c>
      <c r="N6" s="33"/>
      <c r="O6" s="32" t="s">
        <v>8</v>
      </c>
      <c r="P6" s="33"/>
    </row>
    <row r="7" spans="1:47" s="4" customFormat="1" ht="28.15" customHeight="1">
      <c r="A7" s="26"/>
      <c r="B7" s="30"/>
      <c r="C7" s="33"/>
      <c r="D7" s="33"/>
      <c r="E7" s="33"/>
      <c r="F7" s="33"/>
      <c r="G7" s="38"/>
      <c r="H7" s="39"/>
      <c r="I7" s="41"/>
      <c r="J7" s="42"/>
      <c r="K7" s="33"/>
      <c r="L7" s="33"/>
      <c r="M7" s="33"/>
      <c r="N7" s="33"/>
      <c r="O7" s="33"/>
      <c r="P7" s="33"/>
    </row>
    <row r="8" spans="1:47" s="4" customFormat="1" ht="39.6" customHeight="1">
      <c r="A8" s="26"/>
      <c r="B8" s="31"/>
      <c r="C8" s="6" t="s">
        <v>12</v>
      </c>
      <c r="D8" s="6" t="s">
        <v>13</v>
      </c>
      <c r="E8" s="6" t="s">
        <v>12</v>
      </c>
      <c r="F8" s="6" t="s">
        <v>13</v>
      </c>
      <c r="G8" s="6" t="s">
        <v>12</v>
      </c>
      <c r="H8" s="6" t="s">
        <v>13</v>
      </c>
      <c r="I8" s="6" t="s">
        <v>12</v>
      </c>
      <c r="J8" s="6" t="s">
        <v>13</v>
      </c>
      <c r="K8" s="6" t="s">
        <v>12</v>
      </c>
      <c r="L8" s="6" t="s">
        <v>13</v>
      </c>
      <c r="M8" s="6" t="s">
        <v>12</v>
      </c>
      <c r="N8" s="6" t="s">
        <v>13</v>
      </c>
      <c r="O8" s="6" t="s">
        <v>12</v>
      </c>
      <c r="P8" s="6" t="s">
        <v>13</v>
      </c>
    </row>
    <row r="9" spans="1:47" s="10" customFormat="1" ht="11.25">
      <c r="A9" s="8" t="s">
        <v>1</v>
      </c>
      <c r="B9" s="12" t="s">
        <v>11</v>
      </c>
      <c r="C9" s="9">
        <v>1</v>
      </c>
      <c r="D9" s="9">
        <v>2</v>
      </c>
      <c r="E9" s="9">
        <v>3</v>
      </c>
      <c r="F9" s="9">
        <v>4</v>
      </c>
      <c r="G9" s="9">
        <v>5</v>
      </c>
      <c r="H9" s="9">
        <v>6</v>
      </c>
      <c r="I9" s="9">
        <v>7</v>
      </c>
      <c r="J9" s="9">
        <v>8</v>
      </c>
      <c r="K9" s="9">
        <v>9</v>
      </c>
      <c r="L9" s="9">
        <v>10</v>
      </c>
      <c r="M9" s="9">
        <v>11</v>
      </c>
      <c r="N9" s="9">
        <v>12</v>
      </c>
      <c r="O9" s="9">
        <v>13</v>
      </c>
      <c r="P9" s="9">
        <v>14</v>
      </c>
    </row>
    <row r="10" spans="1:47" s="21" customFormat="1" ht="13.5" thickBot="1">
      <c r="A10" s="18" t="s">
        <v>116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47" s="21" customFormat="1" ht="26.25">
      <c r="A11" s="18" t="s">
        <v>117</v>
      </c>
      <c r="B11" s="22" t="s">
        <v>19</v>
      </c>
      <c r="C11" s="20">
        <v>309904524</v>
      </c>
      <c r="D11" s="20">
        <v>439238414</v>
      </c>
      <c r="E11" s="20">
        <v>79364974</v>
      </c>
      <c r="F11" s="20">
        <v>89626197</v>
      </c>
      <c r="G11" s="20">
        <v>1648541</v>
      </c>
      <c r="H11" s="20">
        <v>1568346</v>
      </c>
      <c r="I11" s="20">
        <v>120094130</v>
      </c>
      <c r="J11" s="20">
        <v>130257405</v>
      </c>
      <c r="K11" s="20">
        <v>17335043</v>
      </c>
      <c r="L11" s="20">
        <v>30346595</v>
      </c>
      <c r="M11" s="20">
        <v>82123572</v>
      </c>
      <c r="N11" s="20">
        <v>176153762</v>
      </c>
      <c r="O11" s="20">
        <v>9338264</v>
      </c>
      <c r="P11" s="20">
        <v>11286109</v>
      </c>
      <c r="S11" s="44">
        <v>309904524</v>
      </c>
      <c r="T11" s="45">
        <v>439238414</v>
      </c>
      <c r="U11" s="45">
        <v>79364974</v>
      </c>
      <c r="V11" s="45">
        <v>89626197</v>
      </c>
      <c r="W11" s="45">
        <v>1648541</v>
      </c>
      <c r="X11" s="45">
        <v>1568346</v>
      </c>
      <c r="Y11" s="45">
        <v>120094130</v>
      </c>
      <c r="Z11" s="45">
        <v>130257405</v>
      </c>
      <c r="AA11" s="44">
        <v>17335043</v>
      </c>
      <c r="AB11" s="45">
        <v>30346595</v>
      </c>
      <c r="AC11" s="45">
        <v>82123572</v>
      </c>
      <c r="AD11" s="45">
        <v>176153762</v>
      </c>
      <c r="AE11" s="45">
        <v>9338264</v>
      </c>
      <c r="AF11" s="45">
        <v>11286109</v>
      </c>
      <c r="AH11" s="56">
        <f>C11-S11</f>
        <v>0</v>
      </c>
      <c r="AI11" s="56">
        <f t="shared" ref="AI11:AU11" si="0">D11-T11</f>
        <v>0</v>
      </c>
      <c r="AJ11" s="56">
        <f t="shared" si="0"/>
        <v>0</v>
      </c>
      <c r="AK11" s="56">
        <f t="shared" si="0"/>
        <v>0</v>
      </c>
      <c r="AL11" s="56">
        <f t="shared" si="0"/>
        <v>0</v>
      </c>
      <c r="AM11" s="56">
        <f t="shared" si="0"/>
        <v>0</v>
      </c>
      <c r="AN11" s="56">
        <f t="shared" si="0"/>
        <v>0</v>
      </c>
      <c r="AO11" s="56">
        <f t="shared" si="0"/>
        <v>0</v>
      </c>
      <c r="AP11" s="56">
        <f t="shared" si="0"/>
        <v>0</v>
      </c>
      <c r="AQ11" s="56">
        <f t="shared" si="0"/>
        <v>0</v>
      </c>
      <c r="AR11" s="56">
        <f t="shared" si="0"/>
        <v>0</v>
      </c>
      <c r="AS11" s="56">
        <f t="shared" si="0"/>
        <v>0</v>
      </c>
      <c r="AT11" s="56">
        <f t="shared" si="0"/>
        <v>0</v>
      </c>
      <c r="AU11" s="56">
        <f t="shared" si="0"/>
        <v>0</v>
      </c>
    </row>
    <row r="12" spans="1:47" s="21" customFormat="1" ht="51.75">
      <c r="A12" s="18" t="s">
        <v>118</v>
      </c>
      <c r="B12" s="22" t="s">
        <v>20</v>
      </c>
      <c r="C12" s="20">
        <v>152704235</v>
      </c>
      <c r="D12" s="20">
        <v>150538897</v>
      </c>
      <c r="E12" s="20">
        <v>30238361</v>
      </c>
      <c r="F12" s="20">
        <v>31198622</v>
      </c>
      <c r="G12" s="20">
        <v>189354</v>
      </c>
      <c r="H12" s="20">
        <v>169927</v>
      </c>
      <c r="I12" s="20">
        <v>54687899</v>
      </c>
      <c r="J12" s="20">
        <v>46450549</v>
      </c>
      <c r="K12" s="20">
        <v>10600455</v>
      </c>
      <c r="L12" s="20">
        <v>10271944</v>
      </c>
      <c r="M12" s="20">
        <v>55599871</v>
      </c>
      <c r="N12" s="20">
        <v>59722269</v>
      </c>
      <c r="O12" s="20">
        <v>1388295</v>
      </c>
      <c r="P12" s="20">
        <v>2725586</v>
      </c>
      <c r="S12" s="46">
        <v>152704235</v>
      </c>
      <c r="T12" s="47">
        <v>150538897</v>
      </c>
      <c r="U12" s="47">
        <v>30238361</v>
      </c>
      <c r="V12" s="47">
        <v>31198622</v>
      </c>
      <c r="W12" s="47">
        <v>189354</v>
      </c>
      <c r="X12" s="47">
        <v>169927</v>
      </c>
      <c r="Y12" s="47">
        <v>54687899</v>
      </c>
      <c r="Z12" s="47">
        <v>46450549</v>
      </c>
      <c r="AA12" s="46">
        <v>10600455</v>
      </c>
      <c r="AB12" s="47">
        <v>10271944</v>
      </c>
      <c r="AC12" s="47">
        <v>55599871</v>
      </c>
      <c r="AD12" s="47">
        <v>59722269</v>
      </c>
      <c r="AE12" s="47">
        <v>1388295</v>
      </c>
      <c r="AF12" s="47">
        <v>2725586</v>
      </c>
      <c r="AH12" s="56">
        <f t="shared" ref="AH12:AH68" si="1">C12-S12</f>
        <v>0</v>
      </c>
      <c r="AI12" s="56">
        <f t="shared" ref="AI12:AI68" si="2">D12-T12</f>
        <v>0</v>
      </c>
      <c r="AJ12" s="56">
        <f t="shared" ref="AJ12:AJ68" si="3">E12-U12</f>
        <v>0</v>
      </c>
      <c r="AK12" s="56">
        <f t="shared" ref="AK12:AK68" si="4">F12-V12</f>
        <v>0</v>
      </c>
      <c r="AL12" s="56">
        <f t="shared" ref="AL12:AL68" si="5">G12-W12</f>
        <v>0</v>
      </c>
      <c r="AM12" s="56">
        <f t="shared" ref="AM12:AM68" si="6">H12-X12</f>
        <v>0</v>
      </c>
      <c r="AN12" s="56">
        <f t="shared" ref="AN12:AN68" si="7">I12-Y12</f>
        <v>0</v>
      </c>
      <c r="AO12" s="56">
        <f t="shared" ref="AO12:AO68" si="8">J12-Z12</f>
        <v>0</v>
      </c>
      <c r="AP12" s="56">
        <f t="shared" ref="AP12:AP68" si="9">K12-AA12</f>
        <v>0</v>
      </c>
      <c r="AQ12" s="56">
        <f t="shared" ref="AQ12:AQ68" si="10">L12-AB12</f>
        <v>0</v>
      </c>
      <c r="AR12" s="56">
        <f t="shared" ref="AR12:AR68" si="11">M12-AC12</f>
        <v>0</v>
      </c>
      <c r="AS12" s="56">
        <f t="shared" ref="AS12:AS68" si="12">N12-AD12</f>
        <v>0</v>
      </c>
      <c r="AT12" s="56">
        <f t="shared" ref="AT12:AT68" si="13">O12-AE12</f>
        <v>0</v>
      </c>
      <c r="AU12" s="56">
        <f t="shared" ref="AU12:AU68" si="14">P12-AF12</f>
        <v>0</v>
      </c>
    </row>
    <row r="13" spans="1:47" ht="51.75">
      <c r="A13" s="16" t="s">
        <v>21</v>
      </c>
      <c r="B13" s="17" t="s">
        <v>22</v>
      </c>
      <c r="C13" s="2">
        <v>2780760</v>
      </c>
      <c r="D13" s="2">
        <v>2479963</v>
      </c>
      <c r="E13" s="2">
        <v>1307087</v>
      </c>
      <c r="F13" s="2">
        <v>1324134</v>
      </c>
      <c r="G13" s="2">
        <v>8499</v>
      </c>
      <c r="H13" s="2">
        <v>11323</v>
      </c>
      <c r="I13" s="2">
        <v>973621</v>
      </c>
      <c r="J13" s="2">
        <v>926157</v>
      </c>
      <c r="K13" s="2">
        <v>27211</v>
      </c>
      <c r="L13" s="2">
        <v>1220</v>
      </c>
      <c r="M13" s="2">
        <v>428347</v>
      </c>
      <c r="N13" s="2">
        <v>185119</v>
      </c>
      <c r="O13" s="2">
        <v>35995</v>
      </c>
      <c r="P13" s="2">
        <v>32010</v>
      </c>
      <c r="S13" s="48">
        <v>2780760</v>
      </c>
      <c r="T13" s="49">
        <v>2479963</v>
      </c>
      <c r="U13" s="49">
        <v>1307087</v>
      </c>
      <c r="V13" s="49">
        <v>1324134</v>
      </c>
      <c r="W13" s="49">
        <v>8499</v>
      </c>
      <c r="X13" s="49">
        <v>11323</v>
      </c>
      <c r="Y13" s="49">
        <v>973621</v>
      </c>
      <c r="Z13" s="49">
        <v>926157</v>
      </c>
      <c r="AA13" s="48">
        <v>27211</v>
      </c>
      <c r="AB13" s="49">
        <v>1220</v>
      </c>
      <c r="AC13" s="49">
        <v>428347</v>
      </c>
      <c r="AD13" s="49">
        <v>185119</v>
      </c>
      <c r="AE13" s="49">
        <v>35995</v>
      </c>
      <c r="AF13" s="49">
        <v>32010</v>
      </c>
      <c r="AH13" s="56">
        <f t="shared" si="1"/>
        <v>0</v>
      </c>
      <c r="AI13" s="56">
        <f t="shared" si="2"/>
        <v>0</v>
      </c>
      <c r="AJ13" s="56">
        <f t="shared" si="3"/>
        <v>0</v>
      </c>
      <c r="AK13" s="56">
        <f t="shared" si="4"/>
        <v>0</v>
      </c>
      <c r="AL13" s="56">
        <f t="shared" si="5"/>
        <v>0</v>
      </c>
      <c r="AM13" s="56">
        <f t="shared" si="6"/>
        <v>0</v>
      </c>
      <c r="AN13" s="56">
        <f t="shared" si="7"/>
        <v>0</v>
      </c>
      <c r="AO13" s="56">
        <f t="shared" si="8"/>
        <v>0</v>
      </c>
      <c r="AP13" s="56">
        <f t="shared" si="9"/>
        <v>0</v>
      </c>
      <c r="AQ13" s="56">
        <f t="shared" si="10"/>
        <v>0</v>
      </c>
      <c r="AR13" s="56">
        <f t="shared" si="11"/>
        <v>0</v>
      </c>
      <c r="AS13" s="56">
        <f t="shared" si="12"/>
        <v>0</v>
      </c>
      <c r="AT13" s="56">
        <f t="shared" si="13"/>
        <v>0</v>
      </c>
      <c r="AU13" s="56">
        <f t="shared" si="14"/>
        <v>0</v>
      </c>
    </row>
    <row r="14" spans="1:47" ht="15.75">
      <c r="A14" s="16" t="s">
        <v>23</v>
      </c>
      <c r="B14" s="17" t="s">
        <v>24</v>
      </c>
      <c r="C14" s="2">
        <v>149923475</v>
      </c>
      <c r="D14" s="2">
        <v>148058934</v>
      </c>
      <c r="E14" s="2">
        <v>28931274</v>
      </c>
      <c r="F14" s="2">
        <v>29874488</v>
      </c>
      <c r="G14" s="2">
        <v>180855</v>
      </c>
      <c r="H14" s="2">
        <v>158604</v>
      </c>
      <c r="I14" s="2">
        <v>53714278</v>
      </c>
      <c r="J14" s="2">
        <v>45524392</v>
      </c>
      <c r="K14" s="2">
        <v>10573244</v>
      </c>
      <c r="L14" s="2">
        <v>10270724</v>
      </c>
      <c r="M14" s="2">
        <v>55171524</v>
      </c>
      <c r="N14" s="2">
        <v>59537150</v>
      </c>
      <c r="O14" s="2">
        <v>1352300</v>
      </c>
      <c r="P14" s="2">
        <v>2693576</v>
      </c>
      <c r="S14" s="48">
        <v>149923475</v>
      </c>
      <c r="T14" s="49">
        <v>148058934</v>
      </c>
      <c r="U14" s="49">
        <v>28931274</v>
      </c>
      <c r="V14" s="49">
        <v>29874488</v>
      </c>
      <c r="W14" s="49">
        <v>180855</v>
      </c>
      <c r="X14" s="49">
        <v>158604</v>
      </c>
      <c r="Y14" s="49">
        <v>53714278</v>
      </c>
      <c r="Z14" s="49">
        <v>45524392</v>
      </c>
      <c r="AA14" s="48">
        <v>10573244</v>
      </c>
      <c r="AB14" s="49">
        <v>10270724</v>
      </c>
      <c r="AC14" s="49">
        <v>55171524</v>
      </c>
      <c r="AD14" s="49">
        <v>59537150</v>
      </c>
      <c r="AE14" s="49">
        <v>1352300</v>
      </c>
      <c r="AF14" s="49">
        <v>2693576</v>
      </c>
      <c r="AH14" s="56">
        <f t="shared" si="1"/>
        <v>0</v>
      </c>
      <c r="AI14" s="56">
        <f t="shared" si="2"/>
        <v>0</v>
      </c>
      <c r="AJ14" s="56">
        <f t="shared" si="3"/>
        <v>0</v>
      </c>
      <c r="AK14" s="56">
        <f t="shared" si="4"/>
        <v>0</v>
      </c>
      <c r="AL14" s="56">
        <f t="shared" si="5"/>
        <v>0</v>
      </c>
      <c r="AM14" s="56">
        <f t="shared" si="6"/>
        <v>0</v>
      </c>
      <c r="AN14" s="56">
        <f t="shared" si="7"/>
        <v>0</v>
      </c>
      <c r="AO14" s="56">
        <f t="shared" si="8"/>
        <v>0</v>
      </c>
      <c r="AP14" s="56">
        <f t="shared" si="9"/>
        <v>0</v>
      </c>
      <c r="AQ14" s="56">
        <f t="shared" si="10"/>
        <v>0</v>
      </c>
      <c r="AR14" s="56">
        <f t="shared" si="11"/>
        <v>0</v>
      </c>
      <c r="AS14" s="56">
        <f t="shared" si="12"/>
        <v>0</v>
      </c>
      <c r="AT14" s="56">
        <f t="shared" si="13"/>
        <v>0</v>
      </c>
      <c r="AU14" s="56">
        <f t="shared" si="14"/>
        <v>0</v>
      </c>
    </row>
    <row r="15" spans="1:47" s="21" customFormat="1" ht="26.25">
      <c r="A15" s="18" t="s">
        <v>119</v>
      </c>
      <c r="B15" s="22" t="s">
        <v>25</v>
      </c>
      <c r="C15" s="20">
        <v>29890887</v>
      </c>
      <c r="D15" s="20">
        <v>35346264</v>
      </c>
      <c r="E15" s="20">
        <v>15954230</v>
      </c>
      <c r="F15" s="20">
        <v>18686258</v>
      </c>
      <c r="G15" s="20">
        <v>10653</v>
      </c>
      <c r="H15" s="20">
        <v>95577</v>
      </c>
      <c r="I15" s="20">
        <v>10511421</v>
      </c>
      <c r="J15" s="20">
        <v>13015888</v>
      </c>
      <c r="K15" s="20">
        <v>677383</v>
      </c>
      <c r="L15" s="20">
        <v>1745961</v>
      </c>
      <c r="M15" s="20">
        <v>140802</v>
      </c>
      <c r="N15" s="20">
        <v>253091</v>
      </c>
      <c r="O15" s="20">
        <v>2596398</v>
      </c>
      <c r="P15" s="20">
        <v>1549489</v>
      </c>
      <c r="S15" s="46">
        <v>29890887</v>
      </c>
      <c r="T15" s="47">
        <v>35346264</v>
      </c>
      <c r="U15" s="47">
        <v>15954230</v>
      </c>
      <c r="V15" s="47">
        <v>18686258</v>
      </c>
      <c r="W15" s="47">
        <v>10653</v>
      </c>
      <c r="X15" s="47">
        <v>95577</v>
      </c>
      <c r="Y15" s="47">
        <v>10511421</v>
      </c>
      <c r="Z15" s="47">
        <v>13015888</v>
      </c>
      <c r="AA15" s="46">
        <v>677383</v>
      </c>
      <c r="AB15" s="47">
        <v>1745961</v>
      </c>
      <c r="AC15" s="47">
        <v>140802</v>
      </c>
      <c r="AD15" s="47">
        <v>253091</v>
      </c>
      <c r="AE15" s="47">
        <v>2596398</v>
      </c>
      <c r="AF15" s="47">
        <v>1549489</v>
      </c>
      <c r="AH15" s="56">
        <f t="shared" si="1"/>
        <v>0</v>
      </c>
      <c r="AI15" s="56">
        <f t="shared" si="2"/>
        <v>0</v>
      </c>
      <c r="AJ15" s="56">
        <f t="shared" si="3"/>
        <v>0</v>
      </c>
      <c r="AK15" s="56">
        <f t="shared" si="4"/>
        <v>0</v>
      </c>
      <c r="AL15" s="56">
        <f t="shared" si="5"/>
        <v>0</v>
      </c>
      <c r="AM15" s="56">
        <f t="shared" si="6"/>
        <v>0</v>
      </c>
      <c r="AN15" s="56">
        <f t="shared" si="7"/>
        <v>0</v>
      </c>
      <c r="AO15" s="56">
        <f t="shared" si="8"/>
        <v>0</v>
      </c>
      <c r="AP15" s="56">
        <f t="shared" si="9"/>
        <v>0</v>
      </c>
      <c r="AQ15" s="56">
        <f t="shared" si="10"/>
        <v>0</v>
      </c>
      <c r="AR15" s="56">
        <f t="shared" si="11"/>
        <v>0</v>
      </c>
      <c r="AS15" s="56">
        <f t="shared" si="12"/>
        <v>0</v>
      </c>
      <c r="AT15" s="56">
        <f t="shared" si="13"/>
        <v>0</v>
      </c>
      <c r="AU15" s="56">
        <f t="shared" si="14"/>
        <v>0</v>
      </c>
    </row>
    <row r="16" spans="1:47" ht="15.75">
      <c r="A16" s="16" t="s">
        <v>26</v>
      </c>
      <c r="B16" s="17" t="s">
        <v>27</v>
      </c>
      <c r="C16" s="2">
        <v>29890887</v>
      </c>
      <c r="D16" s="2">
        <v>35346264</v>
      </c>
      <c r="E16" s="2">
        <v>15954230</v>
      </c>
      <c r="F16" s="2">
        <v>18686258</v>
      </c>
      <c r="G16" s="2">
        <v>10653</v>
      </c>
      <c r="H16" s="2">
        <v>95577</v>
      </c>
      <c r="I16" s="2">
        <v>10511421</v>
      </c>
      <c r="J16" s="2">
        <v>13015888</v>
      </c>
      <c r="K16" s="2">
        <v>677383</v>
      </c>
      <c r="L16" s="2">
        <v>1745961</v>
      </c>
      <c r="M16" s="2">
        <v>140802</v>
      </c>
      <c r="N16" s="2">
        <v>253091</v>
      </c>
      <c r="O16" s="2">
        <v>2596398</v>
      </c>
      <c r="P16" s="2">
        <v>1549489</v>
      </c>
      <c r="S16" s="48">
        <v>29890887</v>
      </c>
      <c r="T16" s="49">
        <v>35346264</v>
      </c>
      <c r="U16" s="49">
        <v>15954230</v>
      </c>
      <c r="V16" s="49">
        <v>18686258</v>
      </c>
      <c r="W16" s="49">
        <v>10653</v>
      </c>
      <c r="X16" s="49">
        <v>95577</v>
      </c>
      <c r="Y16" s="49">
        <v>10511421</v>
      </c>
      <c r="Z16" s="49">
        <v>13015888</v>
      </c>
      <c r="AA16" s="48">
        <v>677383</v>
      </c>
      <c r="AB16" s="49">
        <v>1745961</v>
      </c>
      <c r="AC16" s="49">
        <v>140802</v>
      </c>
      <c r="AD16" s="49">
        <v>253091</v>
      </c>
      <c r="AE16" s="49">
        <v>2596398</v>
      </c>
      <c r="AF16" s="49">
        <v>1549489</v>
      </c>
      <c r="AH16" s="56">
        <f t="shared" si="1"/>
        <v>0</v>
      </c>
      <c r="AI16" s="56">
        <f t="shared" si="2"/>
        <v>0</v>
      </c>
      <c r="AJ16" s="56">
        <f t="shared" si="3"/>
        <v>0</v>
      </c>
      <c r="AK16" s="56">
        <f t="shared" si="4"/>
        <v>0</v>
      </c>
      <c r="AL16" s="56">
        <f t="shared" si="5"/>
        <v>0</v>
      </c>
      <c r="AM16" s="56">
        <f t="shared" si="6"/>
        <v>0</v>
      </c>
      <c r="AN16" s="56">
        <f t="shared" si="7"/>
        <v>0</v>
      </c>
      <c r="AO16" s="56">
        <f t="shared" si="8"/>
        <v>0</v>
      </c>
      <c r="AP16" s="56">
        <f t="shared" si="9"/>
        <v>0</v>
      </c>
      <c r="AQ16" s="56">
        <f t="shared" si="10"/>
        <v>0</v>
      </c>
      <c r="AR16" s="56">
        <f t="shared" si="11"/>
        <v>0</v>
      </c>
      <c r="AS16" s="56">
        <f t="shared" si="12"/>
        <v>0</v>
      </c>
      <c r="AT16" s="56">
        <f t="shared" si="13"/>
        <v>0</v>
      </c>
      <c r="AU16" s="56">
        <f t="shared" si="14"/>
        <v>0</v>
      </c>
    </row>
    <row r="17" spans="1:47" s="21" customFormat="1" ht="26.25">
      <c r="A17" s="18" t="s">
        <v>120</v>
      </c>
      <c r="B17" s="22" t="s">
        <v>28</v>
      </c>
      <c r="C17" s="20">
        <v>22868804</v>
      </c>
      <c r="D17" s="20">
        <v>25445714</v>
      </c>
      <c r="E17" s="20">
        <v>5367863</v>
      </c>
      <c r="F17" s="20">
        <v>5561159</v>
      </c>
      <c r="G17" s="20">
        <v>148532</v>
      </c>
      <c r="H17" s="20">
        <v>104728</v>
      </c>
      <c r="I17" s="20">
        <v>8670267</v>
      </c>
      <c r="J17" s="20">
        <v>10153374</v>
      </c>
      <c r="K17" s="20">
        <v>1640384</v>
      </c>
      <c r="L17" s="20">
        <v>1497138</v>
      </c>
      <c r="M17" s="20">
        <v>3966757</v>
      </c>
      <c r="N17" s="20">
        <v>3907208</v>
      </c>
      <c r="O17" s="20">
        <v>3075001</v>
      </c>
      <c r="P17" s="20">
        <v>4222107</v>
      </c>
      <c r="S17" s="46">
        <v>22868804</v>
      </c>
      <c r="T17" s="47">
        <v>25445714</v>
      </c>
      <c r="U17" s="47">
        <v>5367863</v>
      </c>
      <c r="V17" s="47">
        <v>5561159</v>
      </c>
      <c r="W17" s="47">
        <v>148532</v>
      </c>
      <c r="X17" s="47">
        <v>104728</v>
      </c>
      <c r="Y17" s="47">
        <v>8670267</v>
      </c>
      <c r="Z17" s="47">
        <v>10153374</v>
      </c>
      <c r="AA17" s="46">
        <v>1640384</v>
      </c>
      <c r="AB17" s="47">
        <v>1497138</v>
      </c>
      <c r="AC17" s="47">
        <v>3966757</v>
      </c>
      <c r="AD17" s="47">
        <v>3907208</v>
      </c>
      <c r="AE17" s="47">
        <v>3075001</v>
      </c>
      <c r="AF17" s="47">
        <v>4222107</v>
      </c>
      <c r="AH17" s="56">
        <f t="shared" si="1"/>
        <v>0</v>
      </c>
      <c r="AI17" s="56">
        <f t="shared" si="2"/>
        <v>0</v>
      </c>
      <c r="AJ17" s="56">
        <f t="shared" si="3"/>
        <v>0</v>
      </c>
      <c r="AK17" s="56">
        <f t="shared" si="4"/>
        <v>0</v>
      </c>
      <c r="AL17" s="56">
        <f t="shared" si="5"/>
        <v>0</v>
      </c>
      <c r="AM17" s="56">
        <f t="shared" si="6"/>
        <v>0</v>
      </c>
      <c r="AN17" s="56">
        <f t="shared" si="7"/>
        <v>0</v>
      </c>
      <c r="AO17" s="56">
        <f t="shared" si="8"/>
        <v>0</v>
      </c>
      <c r="AP17" s="56">
        <f t="shared" si="9"/>
        <v>0</v>
      </c>
      <c r="AQ17" s="56">
        <f t="shared" si="10"/>
        <v>0</v>
      </c>
      <c r="AR17" s="56">
        <f t="shared" si="11"/>
        <v>0</v>
      </c>
      <c r="AS17" s="56">
        <f t="shared" si="12"/>
        <v>0</v>
      </c>
      <c r="AT17" s="56">
        <f t="shared" si="13"/>
        <v>0</v>
      </c>
      <c r="AU17" s="56">
        <f t="shared" si="14"/>
        <v>0</v>
      </c>
    </row>
    <row r="18" spans="1:47" ht="26.25">
      <c r="A18" s="16" t="s">
        <v>29</v>
      </c>
      <c r="B18" s="17" t="s">
        <v>30</v>
      </c>
      <c r="C18" s="2">
        <v>17486138</v>
      </c>
      <c r="D18" s="2">
        <v>18813137</v>
      </c>
      <c r="E18" s="2">
        <v>3871378</v>
      </c>
      <c r="F18" s="2">
        <v>4274807</v>
      </c>
      <c r="G18" s="2">
        <v>19857</v>
      </c>
      <c r="H18" s="2">
        <v>7682</v>
      </c>
      <c r="I18" s="2">
        <v>8118141</v>
      </c>
      <c r="J18" s="2">
        <v>9690570</v>
      </c>
      <c r="K18" s="2">
        <v>1589188</v>
      </c>
      <c r="L18" s="2">
        <v>1350848</v>
      </c>
      <c r="M18" s="2">
        <v>3718768</v>
      </c>
      <c r="N18" s="2">
        <v>3323362</v>
      </c>
      <c r="O18" s="2">
        <v>168806</v>
      </c>
      <c r="P18" s="2">
        <v>165868</v>
      </c>
      <c r="S18" s="48">
        <v>17486138</v>
      </c>
      <c r="T18" s="49">
        <v>18813137</v>
      </c>
      <c r="U18" s="49">
        <v>3871378</v>
      </c>
      <c r="V18" s="49">
        <v>4274807</v>
      </c>
      <c r="W18" s="49">
        <v>19857</v>
      </c>
      <c r="X18" s="49">
        <v>7682</v>
      </c>
      <c r="Y18" s="49">
        <v>8118141</v>
      </c>
      <c r="Z18" s="49">
        <v>9690570</v>
      </c>
      <c r="AA18" s="48">
        <v>1589188</v>
      </c>
      <c r="AB18" s="49">
        <v>1350848</v>
      </c>
      <c r="AC18" s="49">
        <v>3718768</v>
      </c>
      <c r="AD18" s="49">
        <v>3323362</v>
      </c>
      <c r="AE18" s="49">
        <v>168806</v>
      </c>
      <c r="AF18" s="49">
        <v>165868</v>
      </c>
      <c r="AH18" s="56">
        <f t="shared" si="1"/>
        <v>0</v>
      </c>
      <c r="AI18" s="56">
        <f t="shared" si="2"/>
        <v>0</v>
      </c>
      <c r="AJ18" s="56">
        <f t="shared" si="3"/>
        <v>0</v>
      </c>
      <c r="AK18" s="56">
        <f t="shared" si="4"/>
        <v>0</v>
      </c>
      <c r="AL18" s="56">
        <f t="shared" si="5"/>
        <v>0</v>
      </c>
      <c r="AM18" s="56">
        <f t="shared" si="6"/>
        <v>0</v>
      </c>
      <c r="AN18" s="56">
        <f t="shared" si="7"/>
        <v>0</v>
      </c>
      <c r="AO18" s="56">
        <f t="shared" si="8"/>
        <v>0</v>
      </c>
      <c r="AP18" s="56">
        <f t="shared" si="9"/>
        <v>0</v>
      </c>
      <c r="AQ18" s="56">
        <f t="shared" si="10"/>
        <v>0</v>
      </c>
      <c r="AR18" s="56">
        <f t="shared" si="11"/>
        <v>0</v>
      </c>
      <c r="AS18" s="56">
        <f t="shared" si="12"/>
        <v>0</v>
      </c>
      <c r="AT18" s="56">
        <f t="shared" si="13"/>
        <v>0</v>
      </c>
      <c r="AU18" s="56">
        <f t="shared" si="14"/>
        <v>0</v>
      </c>
    </row>
    <row r="19" spans="1:47" ht="15.75">
      <c r="A19" s="16" t="s">
        <v>31</v>
      </c>
      <c r="B19" s="17" t="s">
        <v>32</v>
      </c>
      <c r="C19" s="2">
        <v>510917</v>
      </c>
      <c r="D19" s="2">
        <v>653628</v>
      </c>
      <c r="E19" s="2">
        <v>135323</v>
      </c>
      <c r="F19" s="2">
        <v>149849</v>
      </c>
      <c r="G19" s="2" t="s">
        <v>33</v>
      </c>
      <c r="H19" s="2" t="s">
        <v>33</v>
      </c>
      <c r="I19" s="2">
        <v>126855</v>
      </c>
      <c r="J19" s="2">
        <v>193526</v>
      </c>
      <c r="K19" s="2">
        <v>51196</v>
      </c>
      <c r="L19" s="2">
        <v>56840</v>
      </c>
      <c r="M19" s="2">
        <v>197543</v>
      </c>
      <c r="N19" s="2">
        <v>253413</v>
      </c>
      <c r="O19" s="2" t="s">
        <v>33</v>
      </c>
      <c r="P19" s="2" t="s">
        <v>33</v>
      </c>
      <c r="S19" s="48">
        <v>510917</v>
      </c>
      <c r="T19" s="49">
        <v>653628</v>
      </c>
      <c r="U19" s="49">
        <v>135323</v>
      </c>
      <c r="V19" s="49">
        <v>149849</v>
      </c>
      <c r="W19" s="49" t="s">
        <v>33</v>
      </c>
      <c r="X19" s="49" t="s">
        <v>33</v>
      </c>
      <c r="Y19" s="49">
        <v>126855</v>
      </c>
      <c r="Z19" s="49">
        <v>193526</v>
      </c>
      <c r="AA19" s="48">
        <v>51196</v>
      </c>
      <c r="AB19" s="49">
        <v>56840</v>
      </c>
      <c r="AC19" s="49">
        <v>197543</v>
      </c>
      <c r="AD19" s="49">
        <v>253413</v>
      </c>
      <c r="AE19" s="49" t="s">
        <v>33</v>
      </c>
      <c r="AF19" s="49" t="s">
        <v>33</v>
      </c>
      <c r="AH19" s="56">
        <f t="shared" si="1"/>
        <v>0</v>
      </c>
      <c r="AI19" s="56">
        <f t="shared" si="2"/>
        <v>0</v>
      </c>
      <c r="AJ19" s="56">
        <f t="shared" si="3"/>
        <v>0</v>
      </c>
      <c r="AK19" s="56">
        <f t="shared" si="4"/>
        <v>0</v>
      </c>
      <c r="AL19" s="56" t="e">
        <f t="shared" si="5"/>
        <v>#VALUE!</v>
      </c>
      <c r="AM19" s="56" t="e">
        <f t="shared" si="6"/>
        <v>#VALUE!</v>
      </c>
      <c r="AN19" s="56">
        <f t="shared" si="7"/>
        <v>0</v>
      </c>
      <c r="AO19" s="56">
        <f t="shared" si="8"/>
        <v>0</v>
      </c>
      <c r="AP19" s="56">
        <f t="shared" si="9"/>
        <v>0</v>
      </c>
      <c r="AQ19" s="56">
        <f t="shared" si="10"/>
        <v>0</v>
      </c>
      <c r="AR19" s="56">
        <f t="shared" si="11"/>
        <v>0</v>
      </c>
      <c r="AS19" s="56">
        <f t="shared" si="12"/>
        <v>0</v>
      </c>
      <c r="AT19" s="56" t="e">
        <f t="shared" si="13"/>
        <v>#VALUE!</v>
      </c>
      <c r="AU19" s="56" t="e">
        <f t="shared" si="14"/>
        <v>#VALUE!</v>
      </c>
    </row>
    <row r="20" spans="1:47" ht="27" thickBot="1">
      <c r="A20" s="16" t="s">
        <v>34</v>
      </c>
      <c r="B20" s="17" t="s">
        <v>35</v>
      </c>
      <c r="C20" s="2">
        <v>23002</v>
      </c>
      <c r="D20" s="2">
        <v>28666</v>
      </c>
      <c r="E20" s="2">
        <v>20296</v>
      </c>
      <c r="F20" s="2">
        <v>21145</v>
      </c>
      <c r="G20" s="2" t="s">
        <v>33</v>
      </c>
      <c r="H20" s="2" t="s">
        <v>33</v>
      </c>
      <c r="I20" s="2">
        <v>2229</v>
      </c>
      <c r="J20" s="2">
        <v>6507</v>
      </c>
      <c r="K20" s="2" t="s">
        <v>33</v>
      </c>
      <c r="L20" s="2" t="s">
        <v>33</v>
      </c>
      <c r="M20" s="2">
        <v>477</v>
      </c>
      <c r="N20" s="2">
        <v>1014</v>
      </c>
      <c r="O20" s="2" t="s">
        <v>33</v>
      </c>
      <c r="P20" s="2" t="s">
        <v>33</v>
      </c>
      <c r="S20" s="48">
        <v>23002</v>
      </c>
      <c r="T20" s="49">
        <v>28666</v>
      </c>
      <c r="U20" s="49">
        <v>20296</v>
      </c>
      <c r="V20" s="49">
        <v>21145</v>
      </c>
      <c r="W20" s="49" t="s">
        <v>33</v>
      </c>
      <c r="X20" s="49" t="s">
        <v>33</v>
      </c>
      <c r="Y20" s="49">
        <v>2229</v>
      </c>
      <c r="Z20" s="49">
        <v>6507</v>
      </c>
      <c r="AA20" s="48" t="s">
        <v>33</v>
      </c>
      <c r="AB20" s="49" t="s">
        <v>33</v>
      </c>
      <c r="AC20" s="49">
        <v>477</v>
      </c>
      <c r="AD20" s="49">
        <v>1014</v>
      </c>
      <c r="AE20" s="49" t="s">
        <v>33</v>
      </c>
      <c r="AF20" s="49" t="s">
        <v>33</v>
      </c>
      <c r="AH20" s="56">
        <f t="shared" si="1"/>
        <v>0</v>
      </c>
      <c r="AI20" s="56">
        <f t="shared" si="2"/>
        <v>0</v>
      </c>
      <c r="AJ20" s="56">
        <f t="shared" si="3"/>
        <v>0</v>
      </c>
      <c r="AK20" s="56">
        <f t="shared" si="4"/>
        <v>0</v>
      </c>
      <c r="AL20" s="56" t="e">
        <f t="shared" si="5"/>
        <v>#VALUE!</v>
      </c>
      <c r="AM20" s="56" t="e">
        <f t="shared" si="6"/>
        <v>#VALUE!</v>
      </c>
      <c r="AN20" s="56">
        <f t="shared" si="7"/>
        <v>0</v>
      </c>
      <c r="AO20" s="56">
        <f t="shared" si="8"/>
        <v>0</v>
      </c>
      <c r="AP20" s="56" t="e">
        <f t="shared" si="9"/>
        <v>#VALUE!</v>
      </c>
      <c r="AQ20" s="56" t="e">
        <f t="shared" si="10"/>
        <v>#VALUE!</v>
      </c>
      <c r="AR20" s="56">
        <f t="shared" si="11"/>
        <v>0</v>
      </c>
      <c r="AS20" s="56">
        <f t="shared" si="12"/>
        <v>0</v>
      </c>
      <c r="AT20" s="56" t="e">
        <f t="shared" si="13"/>
        <v>#VALUE!</v>
      </c>
      <c r="AU20" s="56" t="e">
        <f t="shared" si="14"/>
        <v>#VALUE!</v>
      </c>
    </row>
    <row r="21" spans="1:47" ht="26.25">
      <c r="A21" s="16" t="s">
        <v>36</v>
      </c>
      <c r="B21" s="17" t="s">
        <v>37</v>
      </c>
      <c r="C21" s="2">
        <v>4848747</v>
      </c>
      <c r="D21" s="2">
        <v>5950283</v>
      </c>
      <c r="E21" s="2">
        <v>1340866</v>
      </c>
      <c r="F21" s="2">
        <v>1115358</v>
      </c>
      <c r="G21" s="2">
        <v>128675</v>
      </c>
      <c r="H21" s="2">
        <v>97046</v>
      </c>
      <c r="I21" s="2">
        <v>423042</v>
      </c>
      <c r="J21" s="2">
        <v>262771</v>
      </c>
      <c r="K21" s="2" t="s">
        <v>33</v>
      </c>
      <c r="L21" s="2">
        <v>89450</v>
      </c>
      <c r="M21" s="2">
        <v>49969</v>
      </c>
      <c r="N21" s="2">
        <v>329419</v>
      </c>
      <c r="O21" s="2">
        <v>2906195</v>
      </c>
      <c r="P21" s="2">
        <v>4056239</v>
      </c>
      <c r="S21" s="50">
        <v>4848747</v>
      </c>
      <c r="T21" s="51">
        <v>5950283</v>
      </c>
      <c r="U21" s="51">
        <v>1340866</v>
      </c>
      <c r="V21" s="51">
        <v>1115358</v>
      </c>
      <c r="W21" s="51">
        <v>128675</v>
      </c>
      <c r="X21" s="51">
        <v>97046</v>
      </c>
      <c r="Y21" s="51">
        <v>423042</v>
      </c>
      <c r="Z21" s="51">
        <v>262771</v>
      </c>
      <c r="AA21" s="48" t="s">
        <v>33</v>
      </c>
      <c r="AB21" s="49">
        <v>89450</v>
      </c>
      <c r="AC21" s="49">
        <v>49969</v>
      </c>
      <c r="AD21" s="49">
        <v>329419</v>
      </c>
      <c r="AE21" s="49">
        <v>2906195</v>
      </c>
      <c r="AF21" s="49">
        <v>4056239</v>
      </c>
      <c r="AH21" s="56">
        <f t="shared" si="1"/>
        <v>0</v>
      </c>
      <c r="AI21" s="56">
        <f t="shared" si="2"/>
        <v>0</v>
      </c>
      <c r="AJ21" s="56">
        <f t="shared" si="3"/>
        <v>0</v>
      </c>
      <c r="AK21" s="56">
        <f t="shared" si="4"/>
        <v>0</v>
      </c>
      <c r="AL21" s="56">
        <f t="shared" si="5"/>
        <v>0</v>
      </c>
      <c r="AM21" s="56">
        <f t="shared" si="6"/>
        <v>0</v>
      </c>
      <c r="AN21" s="56">
        <f t="shared" si="7"/>
        <v>0</v>
      </c>
      <c r="AO21" s="56">
        <f t="shared" si="8"/>
        <v>0</v>
      </c>
      <c r="AP21" s="56" t="e">
        <f t="shared" si="9"/>
        <v>#VALUE!</v>
      </c>
      <c r="AQ21" s="56">
        <f t="shared" si="10"/>
        <v>0</v>
      </c>
      <c r="AR21" s="56">
        <f t="shared" si="11"/>
        <v>0</v>
      </c>
      <c r="AS21" s="56">
        <f t="shared" si="12"/>
        <v>0</v>
      </c>
      <c r="AT21" s="56">
        <f t="shared" si="13"/>
        <v>0</v>
      </c>
      <c r="AU21" s="56">
        <f t="shared" si="14"/>
        <v>0</v>
      </c>
    </row>
    <row r="22" spans="1:47" s="21" customFormat="1" ht="64.5">
      <c r="A22" s="18" t="s">
        <v>121</v>
      </c>
      <c r="B22" s="22" t="s">
        <v>38</v>
      </c>
      <c r="C22" s="20">
        <v>29591139</v>
      </c>
      <c r="D22" s="20">
        <v>36387013</v>
      </c>
      <c r="E22" s="20">
        <v>8059361</v>
      </c>
      <c r="F22" s="20">
        <v>10430632</v>
      </c>
      <c r="G22" s="20">
        <v>21276</v>
      </c>
      <c r="H22" s="20">
        <v>24119</v>
      </c>
      <c r="I22" s="20">
        <v>14417871</v>
      </c>
      <c r="J22" s="20">
        <v>17889698</v>
      </c>
      <c r="K22" s="20">
        <v>835900</v>
      </c>
      <c r="L22" s="20">
        <v>805200</v>
      </c>
      <c r="M22" s="20">
        <v>5278187</v>
      </c>
      <c r="N22" s="20">
        <v>6217651</v>
      </c>
      <c r="O22" s="20">
        <v>978544</v>
      </c>
      <c r="P22" s="20">
        <v>1019713</v>
      </c>
      <c r="S22" s="46">
        <v>29591139</v>
      </c>
      <c r="T22" s="47">
        <v>36387013</v>
      </c>
      <c r="U22" s="47">
        <v>8059361</v>
      </c>
      <c r="V22" s="47">
        <v>10430632</v>
      </c>
      <c r="W22" s="47">
        <v>21276</v>
      </c>
      <c r="X22" s="47">
        <v>24119</v>
      </c>
      <c r="Y22" s="47">
        <v>14417871</v>
      </c>
      <c r="Z22" s="47">
        <v>17889698</v>
      </c>
      <c r="AA22" s="46">
        <v>835900</v>
      </c>
      <c r="AB22" s="47">
        <v>805200</v>
      </c>
      <c r="AC22" s="47">
        <v>5278187</v>
      </c>
      <c r="AD22" s="47">
        <v>6217651</v>
      </c>
      <c r="AE22" s="47">
        <v>978544</v>
      </c>
      <c r="AF22" s="47">
        <v>1019713</v>
      </c>
      <c r="AH22" s="56">
        <f t="shared" si="1"/>
        <v>0</v>
      </c>
      <c r="AI22" s="56">
        <f t="shared" si="2"/>
        <v>0</v>
      </c>
      <c r="AJ22" s="56">
        <f t="shared" si="3"/>
        <v>0</v>
      </c>
      <c r="AK22" s="56">
        <f t="shared" si="4"/>
        <v>0</v>
      </c>
      <c r="AL22" s="56">
        <f t="shared" si="5"/>
        <v>0</v>
      </c>
      <c r="AM22" s="56">
        <f t="shared" si="6"/>
        <v>0</v>
      </c>
      <c r="AN22" s="56">
        <f t="shared" si="7"/>
        <v>0</v>
      </c>
      <c r="AO22" s="56">
        <f t="shared" si="8"/>
        <v>0</v>
      </c>
      <c r="AP22" s="56">
        <f t="shared" si="9"/>
        <v>0</v>
      </c>
      <c r="AQ22" s="56">
        <f t="shared" si="10"/>
        <v>0</v>
      </c>
      <c r="AR22" s="56">
        <f t="shared" si="11"/>
        <v>0</v>
      </c>
      <c r="AS22" s="56">
        <f t="shared" si="12"/>
        <v>0</v>
      </c>
      <c r="AT22" s="56">
        <f t="shared" si="13"/>
        <v>0</v>
      </c>
      <c r="AU22" s="56">
        <f t="shared" si="14"/>
        <v>0</v>
      </c>
    </row>
    <row r="23" spans="1:47" ht="39">
      <c r="A23" s="16" t="s">
        <v>39</v>
      </c>
      <c r="B23" s="17" t="s">
        <v>40</v>
      </c>
      <c r="C23" s="2">
        <v>29591139</v>
      </c>
      <c r="D23" s="2">
        <v>36387013</v>
      </c>
      <c r="E23" s="2">
        <v>8059361</v>
      </c>
      <c r="F23" s="2">
        <v>10430632</v>
      </c>
      <c r="G23" s="2">
        <v>21276</v>
      </c>
      <c r="H23" s="2">
        <v>24119</v>
      </c>
      <c r="I23" s="2">
        <v>14417871</v>
      </c>
      <c r="J23" s="2">
        <v>17889698</v>
      </c>
      <c r="K23" s="2">
        <v>835900</v>
      </c>
      <c r="L23" s="2">
        <v>805200</v>
      </c>
      <c r="M23" s="2">
        <v>5278187</v>
      </c>
      <c r="N23" s="2">
        <v>6217651</v>
      </c>
      <c r="O23" s="2">
        <v>978544</v>
      </c>
      <c r="P23" s="2">
        <v>1019713</v>
      </c>
      <c r="S23" s="48">
        <v>29591139</v>
      </c>
      <c r="T23" s="49">
        <v>36387013</v>
      </c>
      <c r="U23" s="49">
        <v>8059361</v>
      </c>
      <c r="V23" s="49">
        <v>10430632</v>
      </c>
      <c r="W23" s="49">
        <v>21276</v>
      </c>
      <c r="X23" s="49">
        <v>24119</v>
      </c>
      <c r="Y23" s="49">
        <v>14417871</v>
      </c>
      <c r="Z23" s="49">
        <v>17889698</v>
      </c>
      <c r="AA23" s="48">
        <v>835900</v>
      </c>
      <c r="AB23" s="49">
        <v>805200</v>
      </c>
      <c r="AC23" s="49">
        <v>5278187</v>
      </c>
      <c r="AD23" s="49">
        <v>6217651</v>
      </c>
      <c r="AE23" s="49">
        <v>978544</v>
      </c>
      <c r="AF23" s="49">
        <v>1019713</v>
      </c>
      <c r="AH23" s="56">
        <f t="shared" si="1"/>
        <v>0</v>
      </c>
      <c r="AI23" s="56">
        <f t="shared" si="2"/>
        <v>0</v>
      </c>
      <c r="AJ23" s="56">
        <f t="shared" si="3"/>
        <v>0</v>
      </c>
      <c r="AK23" s="56">
        <f t="shared" si="4"/>
        <v>0</v>
      </c>
      <c r="AL23" s="56">
        <f t="shared" si="5"/>
        <v>0</v>
      </c>
      <c r="AM23" s="56">
        <f t="shared" si="6"/>
        <v>0</v>
      </c>
      <c r="AN23" s="56">
        <f t="shared" si="7"/>
        <v>0</v>
      </c>
      <c r="AO23" s="56">
        <f t="shared" si="8"/>
        <v>0</v>
      </c>
      <c r="AP23" s="56">
        <f t="shared" si="9"/>
        <v>0</v>
      </c>
      <c r="AQ23" s="56">
        <f t="shared" si="10"/>
        <v>0</v>
      </c>
      <c r="AR23" s="56">
        <f t="shared" si="11"/>
        <v>0</v>
      </c>
      <c r="AS23" s="56">
        <f t="shared" si="12"/>
        <v>0</v>
      </c>
      <c r="AT23" s="56">
        <f t="shared" si="13"/>
        <v>0</v>
      </c>
      <c r="AU23" s="56">
        <f t="shared" si="14"/>
        <v>0</v>
      </c>
    </row>
    <row r="24" spans="1:47" s="21" customFormat="1" ht="78" thickBot="1">
      <c r="A24" s="18" t="s">
        <v>122</v>
      </c>
      <c r="B24" s="22" t="s">
        <v>41</v>
      </c>
      <c r="C24" s="20">
        <v>2319165</v>
      </c>
      <c r="D24" s="20">
        <v>3586177</v>
      </c>
      <c r="E24" s="20">
        <v>654860</v>
      </c>
      <c r="F24" s="20">
        <v>731826</v>
      </c>
      <c r="G24" s="20">
        <v>3583</v>
      </c>
      <c r="H24" s="20">
        <v>1962</v>
      </c>
      <c r="I24" s="20">
        <v>1403381</v>
      </c>
      <c r="J24" s="20">
        <v>2371822</v>
      </c>
      <c r="K24" s="20" t="s">
        <v>33</v>
      </c>
      <c r="L24" s="20">
        <v>500</v>
      </c>
      <c r="M24" s="20">
        <v>252442</v>
      </c>
      <c r="N24" s="20">
        <v>435572</v>
      </c>
      <c r="O24" s="20">
        <v>4899</v>
      </c>
      <c r="P24" s="20">
        <v>44495</v>
      </c>
      <c r="S24" s="46">
        <v>2319165</v>
      </c>
      <c r="T24" s="47">
        <v>3586177</v>
      </c>
      <c r="U24" s="47">
        <v>654860</v>
      </c>
      <c r="V24" s="47">
        <v>731826</v>
      </c>
      <c r="W24" s="47">
        <v>3583</v>
      </c>
      <c r="X24" s="47">
        <v>1962</v>
      </c>
      <c r="Y24" s="47">
        <v>1403381</v>
      </c>
      <c r="Z24" s="47">
        <v>2371822</v>
      </c>
      <c r="AA24" s="46" t="s">
        <v>33</v>
      </c>
      <c r="AB24" s="47">
        <v>500</v>
      </c>
      <c r="AC24" s="47">
        <v>252442</v>
      </c>
      <c r="AD24" s="47">
        <v>435572</v>
      </c>
      <c r="AE24" s="47">
        <v>4899</v>
      </c>
      <c r="AF24" s="47">
        <v>44495</v>
      </c>
      <c r="AH24" s="56">
        <f t="shared" si="1"/>
        <v>0</v>
      </c>
      <c r="AI24" s="56">
        <f t="shared" si="2"/>
        <v>0</v>
      </c>
      <c r="AJ24" s="56">
        <f t="shared" si="3"/>
        <v>0</v>
      </c>
      <c r="AK24" s="56">
        <f t="shared" si="4"/>
        <v>0</v>
      </c>
      <c r="AL24" s="56">
        <f t="shared" si="5"/>
        <v>0</v>
      </c>
      <c r="AM24" s="56">
        <f t="shared" si="6"/>
        <v>0</v>
      </c>
      <c r="AN24" s="56">
        <f t="shared" si="7"/>
        <v>0</v>
      </c>
      <c r="AO24" s="56">
        <f t="shared" si="8"/>
        <v>0</v>
      </c>
      <c r="AP24" s="56" t="e">
        <f t="shared" si="9"/>
        <v>#VALUE!</v>
      </c>
      <c r="AQ24" s="56">
        <f t="shared" si="10"/>
        <v>0</v>
      </c>
      <c r="AR24" s="56">
        <f t="shared" si="11"/>
        <v>0</v>
      </c>
      <c r="AS24" s="56">
        <f t="shared" si="12"/>
        <v>0</v>
      </c>
      <c r="AT24" s="56">
        <f t="shared" si="13"/>
        <v>0</v>
      </c>
      <c r="AU24" s="56">
        <f t="shared" si="14"/>
        <v>0</v>
      </c>
    </row>
    <row r="25" spans="1:47" ht="26.25">
      <c r="A25" s="16" t="s">
        <v>42</v>
      </c>
      <c r="B25" s="17" t="s">
        <v>43</v>
      </c>
      <c r="C25" s="2">
        <v>2000602</v>
      </c>
      <c r="D25" s="2">
        <v>3120150</v>
      </c>
      <c r="E25" s="2">
        <v>619843</v>
      </c>
      <c r="F25" s="2">
        <v>691708</v>
      </c>
      <c r="G25" s="2">
        <v>3583</v>
      </c>
      <c r="H25" s="2">
        <v>1962</v>
      </c>
      <c r="I25" s="2">
        <v>1145937</v>
      </c>
      <c r="J25" s="2">
        <v>2113799</v>
      </c>
      <c r="K25" s="2" t="s">
        <v>33</v>
      </c>
      <c r="L25" s="2" t="s">
        <v>33</v>
      </c>
      <c r="M25" s="2">
        <v>228859</v>
      </c>
      <c r="N25" s="2">
        <v>306205</v>
      </c>
      <c r="O25" s="2">
        <v>2380</v>
      </c>
      <c r="P25" s="2">
        <v>6476</v>
      </c>
      <c r="S25" s="48">
        <v>2000602</v>
      </c>
      <c r="T25" s="49">
        <v>3120150</v>
      </c>
      <c r="U25" s="49">
        <v>619843</v>
      </c>
      <c r="V25" s="49">
        <v>691708</v>
      </c>
      <c r="W25" s="49">
        <v>3583</v>
      </c>
      <c r="X25" s="49">
        <v>1962</v>
      </c>
      <c r="Y25" s="49">
        <v>1145937</v>
      </c>
      <c r="Z25" s="49">
        <v>2113799</v>
      </c>
      <c r="AA25" s="50" t="s">
        <v>33</v>
      </c>
      <c r="AB25" s="51" t="s">
        <v>33</v>
      </c>
      <c r="AC25" s="51">
        <v>228859</v>
      </c>
      <c r="AD25" s="51">
        <v>306205</v>
      </c>
      <c r="AE25" s="51">
        <v>2380</v>
      </c>
      <c r="AF25" s="51">
        <v>6476</v>
      </c>
      <c r="AH25" s="56">
        <f t="shared" si="1"/>
        <v>0</v>
      </c>
      <c r="AI25" s="56">
        <f t="shared" si="2"/>
        <v>0</v>
      </c>
      <c r="AJ25" s="56">
        <f t="shared" si="3"/>
        <v>0</v>
      </c>
      <c r="AK25" s="56">
        <f t="shared" si="4"/>
        <v>0</v>
      </c>
      <c r="AL25" s="56">
        <f t="shared" si="5"/>
        <v>0</v>
      </c>
      <c r="AM25" s="56">
        <f t="shared" si="6"/>
        <v>0</v>
      </c>
      <c r="AN25" s="56">
        <f t="shared" si="7"/>
        <v>0</v>
      </c>
      <c r="AO25" s="56">
        <f t="shared" si="8"/>
        <v>0</v>
      </c>
      <c r="AP25" s="56" t="e">
        <f t="shared" si="9"/>
        <v>#VALUE!</v>
      </c>
      <c r="AQ25" s="56" t="e">
        <f t="shared" si="10"/>
        <v>#VALUE!</v>
      </c>
      <c r="AR25" s="56">
        <f t="shared" si="11"/>
        <v>0</v>
      </c>
      <c r="AS25" s="56">
        <f t="shared" si="12"/>
        <v>0</v>
      </c>
      <c r="AT25" s="56">
        <f t="shared" si="13"/>
        <v>0</v>
      </c>
      <c r="AU25" s="56">
        <f t="shared" si="14"/>
        <v>0</v>
      </c>
    </row>
    <row r="26" spans="1:47" ht="39">
      <c r="A26" s="16" t="s">
        <v>44</v>
      </c>
      <c r="B26" s="17" t="s">
        <v>45</v>
      </c>
      <c r="C26" s="2">
        <v>318563</v>
      </c>
      <c r="D26" s="2">
        <v>466027</v>
      </c>
      <c r="E26" s="2">
        <v>35017</v>
      </c>
      <c r="F26" s="2">
        <v>40118</v>
      </c>
      <c r="G26" s="2" t="s">
        <v>33</v>
      </c>
      <c r="H26" s="2" t="s">
        <v>33</v>
      </c>
      <c r="I26" s="2">
        <v>257444</v>
      </c>
      <c r="J26" s="2">
        <v>258023</v>
      </c>
      <c r="K26" s="2" t="s">
        <v>33</v>
      </c>
      <c r="L26" s="2">
        <v>500</v>
      </c>
      <c r="M26" s="2">
        <v>23583</v>
      </c>
      <c r="N26" s="2">
        <v>129367</v>
      </c>
      <c r="O26" s="2">
        <v>2519</v>
      </c>
      <c r="P26" s="2">
        <v>38019</v>
      </c>
      <c r="S26" s="48">
        <v>318563</v>
      </c>
      <c r="T26" s="49">
        <v>466027</v>
      </c>
      <c r="U26" s="49">
        <v>35017</v>
      </c>
      <c r="V26" s="49">
        <v>40118</v>
      </c>
      <c r="W26" s="49" t="s">
        <v>33</v>
      </c>
      <c r="X26" s="49" t="s">
        <v>33</v>
      </c>
      <c r="Y26" s="49">
        <v>257444</v>
      </c>
      <c r="Z26" s="49">
        <v>258023</v>
      </c>
      <c r="AA26" s="48" t="s">
        <v>33</v>
      </c>
      <c r="AB26" s="49">
        <v>500</v>
      </c>
      <c r="AC26" s="49">
        <v>23583</v>
      </c>
      <c r="AD26" s="49">
        <v>129367</v>
      </c>
      <c r="AE26" s="49">
        <v>2519</v>
      </c>
      <c r="AF26" s="49">
        <v>38019</v>
      </c>
      <c r="AH26" s="56">
        <f t="shared" si="1"/>
        <v>0</v>
      </c>
      <c r="AI26" s="56">
        <f t="shared" si="2"/>
        <v>0</v>
      </c>
      <c r="AJ26" s="56">
        <f t="shared" si="3"/>
        <v>0</v>
      </c>
      <c r="AK26" s="56">
        <f t="shared" si="4"/>
        <v>0</v>
      </c>
      <c r="AL26" s="56" t="e">
        <f t="shared" si="5"/>
        <v>#VALUE!</v>
      </c>
      <c r="AM26" s="56" t="e">
        <f t="shared" si="6"/>
        <v>#VALUE!</v>
      </c>
      <c r="AN26" s="56">
        <f t="shared" si="7"/>
        <v>0</v>
      </c>
      <c r="AO26" s="56">
        <f t="shared" si="8"/>
        <v>0</v>
      </c>
      <c r="AP26" s="56" t="e">
        <f t="shared" si="9"/>
        <v>#VALUE!</v>
      </c>
      <c r="AQ26" s="56">
        <f t="shared" si="10"/>
        <v>0</v>
      </c>
      <c r="AR26" s="56">
        <f t="shared" si="11"/>
        <v>0</v>
      </c>
      <c r="AS26" s="56">
        <f t="shared" si="12"/>
        <v>0</v>
      </c>
      <c r="AT26" s="56">
        <f t="shared" si="13"/>
        <v>0</v>
      </c>
      <c r="AU26" s="56">
        <f t="shared" si="14"/>
        <v>0</v>
      </c>
    </row>
    <row r="27" spans="1:47" s="21" customFormat="1" ht="15.75">
      <c r="A27" s="18" t="s">
        <v>123</v>
      </c>
      <c r="B27" s="22" t="s">
        <v>46</v>
      </c>
      <c r="C27" s="20">
        <v>21700984</v>
      </c>
      <c r="D27" s="20">
        <v>32257135</v>
      </c>
      <c r="E27" s="20">
        <v>10394295</v>
      </c>
      <c r="F27" s="20">
        <v>12221670</v>
      </c>
      <c r="G27" s="20">
        <v>598251</v>
      </c>
      <c r="H27" s="20">
        <v>688095</v>
      </c>
      <c r="I27" s="20">
        <v>4961884</v>
      </c>
      <c r="J27" s="20">
        <v>11643575</v>
      </c>
      <c r="K27" s="20">
        <v>814532</v>
      </c>
      <c r="L27" s="20">
        <v>1079472</v>
      </c>
      <c r="M27" s="20">
        <v>4849953</v>
      </c>
      <c r="N27" s="20">
        <v>6595276</v>
      </c>
      <c r="O27" s="20">
        <v>82069</v>
      </c>
      <c r="P27" s="20">
        <v>29047</v>
      </c>
      <c r="S27" s="46">
        <v>21700984</v>
      </c>
      <c r="T27" s="47">
        <v>32257135</v>
      </c>
      <c r="U27" s="47">
        <v>10394295</v>
      </c>
      <c r="V27" s="47">
        <v>12221670</v>
      </c>
      <c r="W27" s="47">
        <v>598251</v>
      </c>
      <c r="X27" s="47">
        <v>688095</v>
      </c>
      <c r="Y27" s="47">
        <v>4961884</v>
      </c>
      <c r="Z27" s="47">
        <v>11643575</v>
      </c>
      <c r="AA27" s="46">
        <v>814532</v>
      </c>
      <c r="AB27" s="47">
        <v>1079472</v>
      </c>
      <c r="AC27" s="47">
        <v>4849953</v>
      </c>
      <c r="AD27" s="47">
        <v>6595276</v>
      </c>
      <c r="AE27" s="47">
        <v>82069</v>
      </c>
      <c r="AF27" s="47">
        <v>29047</v>
      </c>
      <c r="AH27" s="56">
        <f t="shared" si="1"/>
        <v>0</v>
      </c>
      <c r="AI27" s="56">
        <f t="shared" si="2"/>
        <v>0</v>
      </c>
      <c r="AJ27" s="56">
        <f t="shared" si="3"/>
        <v>0</v>
      </c>
      <c r="AK27" s="56">
        <f t="shared" si="4"/>
        <v>0</v>
      </c>
      <c r="AL27" s="56">
        <f t="shared" si="5"/>
        <v>0</v>
      </c>
      <c r="AM27" s="56">
        <f t="shared" si="6"/>
        <v>0</v>
      </c>
      <c r="AN27" s="56">
        <f t="shared" si="7"/>
        <v>0</v>
      </c>
      <c r="AO27" s="56">
        <f t="shared" si="8"/>
        <v>0</v>
      </c>
      <c r="AP27" s="56">
        <f t="shared" si="9"/>
        <v>0</v>
      </c>
      <c r="AQ27" s="56">
        <f t="shared" si="10"/>
        <v>0</v>
      </c>
      <c r="AR27" s="56">
        <f t="shared" si="11"/>
        <v>0</v>
      </c>
      <c r="AS27" s="56">
        <f t="shared" si="12"/>
        <v>0</v>
      </c>
      <c r="AT27" s="56">
        <f t="shared" si="13"/>
        <v>0</v>
      </c>
      <c r="AU27" s="56">
        <f t="shared" si="14"/>
        <v>0</v>
      </c>
    </row>
    <row r="28" spans="1:47" ht="16.5" thickBot="1">
      <c r="A28" s="16" t="s">
        <v>47</v>
      </c>
      <c r="B28" s="17" t="s">
        <v>48</v>
      </c>
      <c r="C28" s="2">
        <v>16585419</v>
      </c>
      <c r="D28" s="2">
        <v>27219227</v>
      </c>
      <c r="E28" s="2">
        <v>8751364</v>
      </c>
      <c r="F28" s="2">
        <v>10107352</v>
      </c>
      <c r="G28" s="2">
        <v>598251</v>
      </c>
      <c r="H28" s="2">
        <v>683467</v>
      </c>
      <c r="I28" s="2">
        <v>3992824</v>
      </c>
      <c r="J28" s="2">
        <v>10585311</v>
      </c>
      <c r="K28" s="2">
        <v>166532</v>
      </c>
      <c r="L28" s="2">
        <v>882472</v>
      </c>
      <c r="M28" s="2">
        <v>3011155</v>
      </c>
      <c r="N28" s="2">
        <v>4948690</v>
      </c>
      <c r="O28" s="2">
        <v>65293</v>
      </c>
      <c r="P28" s="2">
        <v>11935</v>
      </c>
      <c r="S28" s="48">
        <v>16585419</v>
      </c>
      <c r="T28" s="49">
        <v>27219227</v>
      </c>
      <c r="U28" s="49">
        <v>8751364</v>
      </c>
      <c r="V28" s="49">
        <v>10107352</v>
      </c>
      <c r="W28" s="49">
        <v>598251</v>
      </c>
      <c r="X28" s="49">
        <v>683467</v>
      </c>
      <c r="Y28" s="49">
        <v>3992824</v>
      </c>
      <c r="Z28" s="49">
        <v>10585311</v>
      </c>
      <c r="AA28" s="48">
        <v>166532</v>
      </c>
      <c r="AB28" s="49">
        <v>882472</v>
      </c>
      <c r="AC28" s="49">
        <v>3011155</v>
      </c>
      <c r="AD28" s="49">
        <v>4948690</v>
      </c>
      <c r="AE28" s="49">
        <v>65293</v>
      </c>
      <c r="AF28" s="49">
        <v>11935</v>
      </c>
      <c r="AH28" s="56">
        <f t="shared" si="1"/>
        <v>0</v>
      </c>
      <c r="AI28" s="56">
        <f t="shared" si="2"/>
        <v>0</v>
      </c>
      <c r="AJ28" s="56">
        <f t="shared" si="3"/>
        <v>0</v>
      </c>
      <c r="AK28" s="56">
        <f t="shared" si="4"/>
        <v>0</v>
      </c>
      <c r="AL28" s="56">
        <f t="shared" si="5"/>
        <v>0</v>
      </c>
      <c r="AM28" s="56">
        <f t="shared" si="6"/>
        <v>0</v>
      </c>
      <c r="AN28" s="56">
        <f t="shared" si="7"/>
        <v>0</v>
      </c>
      <c r="AO28" s="56">
        <f t="shared" si="8"/>
        <v>0</v>
      </c>
      <c r="AP28" s="56">
        <f t="shared" si="9"/>
        <v>0</v>
      </c>
      <c r="AQ28" s="56">
        <f t="shared" si="10"/>
        <v>0</v>
      </c>
      <c r="AR28" s="56">
        <f t="shared" si="11"/>
        <v>0</v>
      </c>
      <c r="AS28" s="56">
        <f t="shared" si="12"/>
        <v>0</v>
      </c>
      <c r="AT28" s="56">
        <f t="shared" si="13"/>
        <v>0</v>
      </c>
      <c r="AU28" s="56">
        <f t="shared" si="14"/>
        <v>0</v>
      </c>
    </row>
    <row r="29" spans="1:47" ht="26.25">
      <c r="A29" s="16" t="s">
        <v>49</v>
      </c>
      <c r="B29" s="17" t="s">
        <v>50</v>
      </c>
      <c r="C29" s="2">
        <v>511556.5</v>
      </c>
      <c r="D29" s="2">
        <v>4971381</v>
      </c>
      <c r="E29" s="2">
        <v>1642931</v>
      </c>
      <c r="F29" s="2">
        <v>2072742</v>
      </c>
      <c r="G29" s="2" t="s">
        <v>33</v>
      </c>
      <c r="H29" s="2">
        <v>132</v>
      </c>
      <c r="I29" s="2">
        <v>969060</v>
      </c>
      <c r="J29" s="2">
        <v>1038059</v>
      </c>
      <c r="K29" s="2">
        <v>648000</v>
      </c>
      <c r="L29" s="2">
        <v>197000</v>
      </c>
      <c r="M29" s="2">
        <v>1838798</v>
      </c>
      <c r="N29" s="2">
        <v>1646337</v>
      </c>
      <c r="O29" s="2">
        <v>16776</v>
      </c>
      <c r="P29" s="2">
        <v>17111</v>
      </c>
      <c r="S29" s="50">
        <v>511557</v>
      </c>
      <c r="T29" s="51">
        <v>4971381</v>
      </c>
      <c r="U29" s="51">
        <v>1642931</v>
      </c>
      <c r="V29" s="51">
        <v>2072742</v>
      </c>
      <c r="W29" s="51" t="s">
        <v>33</v>
      </c>
      <c r="X29" s="51">
        <v>132</v>
      </c>
      <c r="Y29" s="51">
        <v>969060</v>
      </c>
      <c r="Z29" s="51">
        <v>1038059</v>
      </c>
      <c r="AA29" s="48">
        <v>648000</v>
      </c>
      <c r="AB29" s="49">
        <v>197000</v>
      </c>
      <c r="AC29" s="49">
        <v>1838798</v>
      </c>
      <c r="AD29" s="49">
        <v>1646337</v>
      </c>
      <c r="AE29" s="49">
        <v>16776</v>
      </c>
      <c r="AF29" s="49">
        <v>17111</v>
      </c>
      <c r="AH29" s="56">
        <f t="shared" si="1"/>
        <v>-0.5</v>
      </c>
      <c r="AI29" s="56">
        <f t="shared" si="2"/>
        <v>0</v>
      </c>
      <c r="AJ29" s="56">
        <f t="shared" si="3"/>
        <v>0</v>
      </c>
      <c r="AK29" s="56">
        <f t="shared" si="4"/>
        <v>0</v>
      </c>
      <c r="AL29" s="56" t="e">
        <f t="shared" si="5"/>
        <v>#VALUE!</v>
      </c>
      <c r="AM29" s="56">
        <f t="shared" si="6"/>
        <v>0</v>
      </c>
      <c r="AN29" s="56">
        <f t="shared" si="7"/>
        <v>0</v>
      </c>
      <c r="AO29" s="56">
        <f t="shared" si="8"/>
        <v>0</v>
      </c>
      <c r="AP29" s="56">
        <f t="shared" si="9"/>
        <v>0</v>
      </c>
      <c r="AQ29" s="56">
        <f t="shared" si="10"/>
        <v>0</v>
      </c>
      <c r="AR29" s="56">
        <f t="shared" si="11"/>
        <v>0</v>
      </c>
      <c r="AS29" s="56">
        <f t="shared" si="12"/>
        <v>0</v>
      </c>
      <c r="AT29" s="56">
        <f t="shared" si="13"/>
        <v>0</v>
      </c>
      <c r="AU29" s="56">
        <f t="shared" si="14"/>
        <v>0</v>
      </c>
    </row>
    <row r="30" spans="1:47" ht="26.25">
      <c r="A30" s="16" t="s">
        <v>51</v>
      </c>
      <c r="B30" s="17" t="s">
        <v>52</v>
      </c>
      <c r="C30" s="2" t="s">
        <v>33</v>
      </c>
      <c r="D30" s="2">
        <v>66527</v>
      </c>
      <c r="E30" s="2" t="s">
        <v>33</v>
      </c>
      <c r="F30" s="2">
        <v>41576</v>
      </c>
      <c r="G30" s="2" t="s">
        <v>33</v>
      </c>
      <c r="H30" s="2">
        <v>4496</v>
      </c>
      <c r="I30" s="2" t="s">
        <v>33</v>
      </c>
      <c r="J30" s="2">
        <v>20205</v>
      </c>
      <c r="K30" s="2" t="s">
        <v>33</v>
      </c>
      <c r="L30" s="2" t="s">
        <v>33</v>
      </c>
      <c r="M30" s="2" t="s">
        <v>33</v>
      </c>
      <c r="N30" s="2">
        <v>249</v>
      </c>
      <c r="O30" s="2" t="s">
        <v>33</v>
      </c>
      <c r="P30" s="2">
        <v>1</v>
      </c>
      <c r="S30" s="48" t="s">
        <v>33</v>
      </c>
      <c r="T30" s="49">
        <v>66527</v>
      </c>
      <c r="U30" s="49" t="s">
        <v>33</v>
      </c>
      <c r="V30" s="49">
        <v>41576</v>
      </c>
      <c r="W30" s="49" t="s">
        <v>33</v>
      </c>
      <c r="X30" s="49">
        <v>4496</v>
      </c>
      <c r="Y30" s="49" t="s">
        <v>33</v>
      </c>
      <c r="Z30" s="49">
        <v>20205</v>
      </c>
      <c r="AA30" s="48" t="s">
        <v>33</v>
      </c>
      <c r="AB30" s="49" t="s">
        <v>33</v>
      </c>
      <c r="AC30" s="49" t="s">
        <v>33</v>
      </c>
      <c r="AD30" s="49">
        <v>249</v>
      </c>
      <c r="AE30" s="49" t="s">
        <v>33</v>
      </c>
      <c r="AF30" s="49">
        <v>1</v>
      </c>
      <c r="AH30" s="56" t="e">
        <f t="shared" si="1"/>
        <v>#VALUE!</v>
      </c>
      <c r="AI30" s="56">
        <f t="shared" si="2"/>
        <v>0</v>
      </c>
      <c r="AJ30" s="56" t="e">
        <f t="shared" si="3"/>
        <v>#VALUE!</v>
      </c>
      <c r="AK30" s="56">
        <f t="shared" si="4"/>
        <v>0</v>
      </c>
      <c r="AL30" s="56" t="e">
        <f t="shared" si="5"/>
        <v>#VALUE!</v>
      </c>
      <c r="AM30" s="56">
        <f t="shared" si="6"/>
        <v>0</v>
      </c>
      <c r="AN30" s="56" t="e">
        <f t="shared" si="7"/>
        <v>#VALUE!</v>
      </c>
      <c r="AO30" s="56">
        <f t="shared" si="8"/>
        <v>0</v>
      </c>
      <c r="AP30" s="56" t="e">
        <f t="shared" si="9"/>
        <v>#VALUE!</v>
      </c>
      <c r="AQ30" s="56" t="e">
        <f t="shared" si="10"/>
        <v>#VALUE!</v>
      </c>
      <c r="AR30" s="56" t="e">
        <f t="shared" si="11"/>
        <v>#VALUE!</v>
      </c>
      <c r="AS30" s="56">
        <f t="shared" si="12"/>
        <v>0</v>
      </c>
      <c r="AT30" s="56" t="e">
        <f t="shared" si="13"/>
        <v>#VALUE!</v>
      </c>
      <c r="AU30" s="56">
        <f t="shared" si="14"/>
        <v>0</v>
      </c>
    </row>
    <row r="31" spans="1:47" s="21" customFormat="1" ht="51.75">
      <c r="A31" s="18" t="s">
        <v>124</v>
      </c>
      <c r="B31" s="22" t="s">
        <v>53</v>
      </c>
      <c r="C31" s="20">
        <v>27382071</v>
      </c>
      <c r="D31" s="20">
        <v>27292997</v>
      </c>
      <c r="E31" s="20">
        <v>6323713</v>
      </c>
      <c r="F31" s="20">
        <v>5893319</v>
      </c>
      <c r="G31" s="20">
        <v>506054</v>
      </c>
      <c r="H31" s="20">
        <v>285888</v>
      </c>
      <c r="I31" s="20">
        <v>17332332</v>
      </c>
      <c r="J31" s="20">
        <v>15403373</v>
      </c>
      <c r="K31" s="20">
        <v>1519163</v>
      </c>
      <c r="L31" s="20">
        <v>1665669</v>
      </c>
      <c r="M31" s="20">
        <v>754272</v>
      </c>
      <c r="N31" s="20">
        <v>2677182</v>
      </c>
      <c r="O31" s="20">
        <v>946537</v>
      </c>
      <c r="P31" s="20">
        <v>1367566</v>
      </c>
      <c r="S31" s="46">
        <v>27382071</v>
      </c>
      <c r="T31" s="47">
        <v>27292997</v>
      </c>
      <c r="U31" s="47">
        <v>6323713</v>
      </c>
      <c r="V31" s="47">
        <v>5893319</v>
      </c>
      <c r="W31" s="47">
        <v>506054</v>
      </c>
      <c r="X31" s="47">
        <v>285888</v>
      </c>
      <c r="Y31" s="47">
        <v>17332332</v>
      </c>
      <c r="Z31" s="47">
        <v>15403373</v>
      </c>
      <c r="AA31" s="46">
        <v>1519163</v>
      </c>
      <c r="AB31" s="47">
        <v>1665669</v>
      </c>
      <c r="AC31" s="47">
        <v>754272</v>
      </c>
      <c r="AD31" s="47">
        <v>2677182</v>
      </c>
      <c r="AE31" s="47">
        <v>946537</v>
      </c>
      <c r="AF31" s="47">
        <v>1367566</v>
      </c>
      <c r="AH31" s="56">
        <f t="shared" si="1"/>
        <v>0</v>
      </c>
      <c r="AI31" s="56">
        <f t="shared" si="2"/>
        <v>0</v>
      </c>
      <c r="AJ31" s="56">
        <f t="shared" si="3"/>
        <v>0</v>
      </c>
      <c r="AK31" s="56">
        <f t="shared" si="4"/>
        <v>0</v>
      </c>
      <c r="AL31" s="56">
        <f t="shared" si="5"/>
        <v>0</v>
      </c>
      <c r="AM31" s="56">
        <f t="shared" si="6"/>
        <v>0</v>
      </c>
      <c r="AN31" s="56">
        <f t="shared" si="7"/>
        <v>0</v>
      </c>
      <c r="AO31" s="56">
        <f t="shared" si="8"/>
        <v>0</v>
      </c>
      <c r="AP31" s="56">
        <f t="shared" si="9"/>
        <v>0</v>
      </c>
      <c r="AQ31" s="56">
        <f t="shared" si="10"/>
        <v>0</v>
      </c>
      <c r="AR31" s="56">
        <f t="shared" si="11"/>
        <v>0</v>
      </c>
      <c r="AS31" s="56">
        <f t="shared" si="12"/>
        <v>0</v>
      </c>
      <c r="AT31" s="56">
        <f t="shared" si="13"/>
        <v>0</v>
      </c>
      <c r="AU31" s="56">
        <f t="shared" si="14"/>
        <v>0</v>
      </c>
    </row>
    <row r="32" spans="1:47" ht="39">
      <c r="A32" s="16" t="s">
        <v>54</v>
      </c>
      <c r="B32" s="17" t="s">
        <v>55</v>
      </c>
      <c r="C32" s="2">
        <v>25576545</v>
      </c>
      <c r="D32" s="2">
        <v>25376079</v>
      </c>
      <c r="E32" s="2">
        <v>5170562</v>
      </c>
      <c r="F32" s="2">
        <v>4698018</v>
      </c>
      <c r="G32" s="2">
        <v>487109</v>
      </c>
      <c r="H32" s="2">
        <v>274303</v>
      </c>
      <c r="I32" s="2">
        <v>17073829</v>
      </c>
      <c r="J32" s="2">
        <v>15190992</v>
      </c>
      <c r="K32" s="2">
        <v>1518298</v>
      </c>
      <c r="L32" s="2">
        <v>1665119</v>
      </c>
      <c r="M32" s="2">
        <v>386198</v>
      </c>
      <c r="N32" s="2">
        <v>2183648</v>
      </c>
      <c r="O32" s="2">
        <v>940549</v>
      </c>
      <c r="P32" s="2">
        <v>1363999</v>
      </c>
      <c r="S32" s="48">
        <v>25576545</v>
      </c>
      <c r="T32" s="49">
        <v>25376079</v>
      </c>
      <c r="U32" s="49">
        <v>5170562</v>
      </c>
      <c r="V32" s="49">
        <v>4698018</v>
      </c>
      <c r="W32" s="49">
        <v>487109</v>
      </c>
      <c r="X32" s="49">
        <v>274303</v>
      </c>
      <c r="Y32" s="49">
        <v>17073829</v>
      </c>
      <c r="Z32" s="49">
        <v>15190992</v>
      </c>
      <c r="AA32" s="48">
        <v>1518298</v>
      </c>
      <c r="AB32" s="49">
        <v>1665119</v>
      </c>
      <c r="AC32" s="49">
        <v>386198</v>
      </c>
      <c r="AD32" s="49">
        <v>2183648</v>
      </c>
      <c r="AE32" s="49">
        <v>940549</v>
      </c>
      <c r="AF32" s="49">
        <v>1363999</v>
      </c>
      <c r="AH32" s="56">
        <f t="shared" si="1"/>
        <v>0</v>
      </c>
      <c r="AI32" s="56">
        <f t="shared" si="2"/>
        <v>0</v>
      </c>
      <c r="AJ32" s="56">
        <f t="shared" si="3"/>
        <v>0</v>
      </c>
      <c r="AK32" s="56">
        <f t="shared" si="4"/>
        <v>0</v>
      </c>
      <c r="AL32" s="56">
        <f t="shared" si="5"/>
        <v>0</v>
      </c>
      <c r="AM32" s="56">
        <f t="shared" si="6"/>
        <v>0</v>
      </c>
      <c r="AN32" s="56">
        <f t="shared" si="7"/>
        <v>0</v>
      </c>
      <c r="AO32" s="56">
        <f t="shared" si="8"/>
        <v>0</v>
      </c>
      <c r="AP32" s="56">
        <f t="shared" si="9"/>
        <v>0</v>
      </c>
      <c r="AQ32" s="56">
        <f t="shared" si="10"/>
        <v>0</v>
      </c>
      <c r="AR32" s="56">
        <f t="shared" si="11"/>
        <v>0</v>
      </c>
      <c r="AS32" s="56">
        <f t="shared" si="12"/>
        <v>0</v>
      </c>
      <c r="AT32" s="56">
        <f t="shared" si="13"/>
        <v>0</v>
      </c>
      <c r="AU32" s="56">
        <f t="shared" si="14"/>
        <v>0</v>
      </c>
    </row>
    <row r="33" spans="1:47" ht="39">
      <c r="A33" s="16" t="s">
        <v>56</v>
      </c>
      <c r="B33" s="17" t="s">
        <v>57</v>
      </c>
      <c r="C33" s="2">
        <v>1805526</v>
      </c>
      <c r="D33" s="2">
        <v>1916918</v>
      </c>
      <c r="E33" s="2">
        <v>1153151</v>
      </c>
      <c r="F33" s="2">
        <v>1195301</v>
      </c>
      <c r="G33" s="2">
        <v>18945</v>
      </c>
      <c r="H33" s="2">
        <v>11585</v>
      </c>
      <c r="I33" s="2">
        <v>258503</v>
      </c>
      <c r="J33" s="2">
        <v>212381</v>
      </c>
      <c r="K33" s="2">
        <v>865</v>
      </c>
      <c r="L33" s="2">
        <v>550</v>
      </c>
      <c r="M33" s="2">
        <v>368074</v>
      </c>
      <c r="N33" s="2">
        <v>493534</v>
      </c>
      <c r="O33" s="2">
        <v>5988</v>
      </c>
      <c r="P33" s="2">
        <v>3567</v>
      </c>
      <c r="S33" s="48">
        <v>1805526</v>
      </c>
      <c r="T33" s="49">
        <v>1916918</v>
      </c>
      <c r="U33" s="49">
        <v>1153151</v>
      </c>
      <c r="V33" s="49">
        <v>1195301</v>
      </c>
      <c r="W33" s="49">
        <v>18945</v>
      </c>
      <c r="X33" s="49">
        <v>11585</v>
      </c>
      <c r="Y33" s="49">
        <v>258503</v>
      </c>
      <c r="Z33" s="49">
        <v>212381</v>
      </c>
      <c r="AA33" s="48">
        <v>865</v>
      </c>
      <c r="AB33" s="49">
        <v>550</v>
      </c>
      <c r="AC33" s="49">
        <v>368074</v>
      </c>
      <c r="AD33" s="49">
        <v>493534</v>
      </c>
      <c r="AE33" s="49">
        <v>5988</v>
      </c>
      <c r="AF33" s="49">
        <v>3567</v>
      </c>
      <c r="AH33" s="56">
        <f t="shared" si="1"/>
        <v>0</v>
      </c>
      <c r="AI33" s="56">
        <f t="shared" si="2"/>
        <v>0</v>
      </c>
      <c r="AJ33" s="56">
        <f t="shared" si="3"/>
        <v>0</v>
      </c>
      <c r="AK33" s="56">
        <f t="shared" si="4"/>
        <v>0</v>
      </c>
      <c r="AL33" s="56">
        <f t="shared" si="5"/>
        <v>0</v>
      </c>
      <c r="AM33" s="56">
        <f t="shared" si="6"/>
        <v>0</v>
      </c>
      <c r="AN33" s="56">
        <f t="shared" si="7"/>
        <v>0</v>
      </c>
      <c r="AO33" s="56">
        <f t="shared" si="8"/>
        <v>0</v>
      </c>
      <c r="AP33" s="56">
        <f t="shared" si="9"/>
        <v>0</v>
      </c>
      <c r="AQ33" s="56">
        <f t="shared" si="10"/>
        <v>0</v>
      </c>
      <c r="AR33" s="56">
        <f t="shared" si="11"/>
        <v>0</v>
      </c>
      <c r="AS33" s="56">
        <f t="shared" si="12"/>
        <v>0</v>
      </c>
      <c r="AT33" s="56">
        <f t="shared" si="13"/>
        <v>0</v>
      </c>
      <c r="AU33" s="56">
        <f t="shared" si="14"/>
        <v>0</v>
      </c>
    </row>
    <row r="34" spans="1:47" s="21" customFormat="1" ht="26.25">
      <c r="A34" s="18" t="s">
        <v>125</v>
      </c>
      <c r="B34" s="22" t="s">
        <v>58</v>
      </c>
      <c r="C34" s="20">
        <v>8183322</v>
      </c>
      <c r="D34" s="20">
        <v>7078316</v>
      </c>
      <c r="E34" s="20">
        <v>762484</v>
      </c>
      <c r="F34" s="20">
        <v>1121939</v>
      </c>
      <c r="G34" s="20">
        <v>97251</v>
      </c>
      <c r="H34" s="20">
        <v>104557</v>
      </c>
      <c r="I34" s="20">
        <v>2332725</v>
      </c>
      <c r="J34" s="20">
        <v>2355124</v>
      </c>
      <c r="K34" s="20">
        <v>223106</v>
      </c>
      <c r="L34" s="20">
        <v>285377</v>
      </c>
      <c r="M34" s="20">
        <v>4757529</v>
      </c>
      <c r="N34" s="20">
        <v>3180686</v>
      </c>
      <c r="O34" s="20">
        <v>10227</v>
      </c>
      <c r="P34" s="20">
        <v>30633</v>
      </c>
      <c r="S34" s="46">
        <v>8183322</v>
      </c>
      <c r="T34" s="47">
        <v>7078316</v>
      </c>
      <c r="U34" s="47">
        <v>762484</v>
      </c>
      <c r="V34" s="47">
        <v>1121939</v>
      </c>
      <c r="W34" s="47">
        <v>97251</v>
      </c>
      <c r="X34" s="47">
        <v>104557</v>
      </c>
      <c r="Y34" s="47">
        <v>2332725</v>
      </c>
      <c r="Z34" s="47">
        <v>2355124</v>
      </c>
      <c r="AA34" s="46">
        <v>223106</v>
      </c>
      <c r="AB34" s="47">
        <v>285377</v>
      </c>
      <c r="AC34" s="47">
        <v>4757529</v>
      </c>
      <c r="AD34" s="47">
        <v>3180686</v>
      </c>
      <c r="AE34" s="47">
        <v>10227</v>
      </c>
      <c r="AF34" s="47">
        <v>30633</v>
      </c>
      <c r="AH34" s="56">
        <f t="shared" si="1"/>
        <v>0</v>
      </c>
      <c r="AI34" s="56">
        <f t="shared" si="2"/>
        <v>0</v>
      </c>
      <c r="AJ34" s="56">
        <f t="shared" si="3"/>
        <v>0</v>
      </c>
      <c r="AK34" s="56">
        <f t="shared" si="4"/>
        <v>0</v>
      </c>
      <c r="AL34" s="56">
        <f t="shared" si="5"/>
        <v>0</v>
      </c>
      <c r="AM34" s="56">
        <f t="shared" si="6"/>
        <v>0</v>
      </c>
      <c r="AN34" s="56">
        <f t="shared" si="7"/>
        <v>0</v>
      </c>
      <c r="AO34" s="56">
        <f t="shared" si="8"/>
        <v>0</v>
      </c>
      <c r="AP34" s="56">
        <f t="shared" si="9"/>
        <v>0</v>
      </c>
      <c r="AQ34" s="56">
        <f t="shared" si="10"/>
        <v>0</v>
      </c>
      <c r="AR34" s="56">
        <f t="shared" si="11"/>
        <v>0</v>
      </c>
      <c r="AS34" s="56">
        <f t="shared" si="12"/>
        <v>0</v>
      </c>
      <c r="AT34" s="56">
        <f t="shared" si="13"/>
        <v>0</v>
      </c>
      <c r="AU34" s="56">
        <f t="shared" si="14"/>
        <v>0</v>
      </c>
    </row>
    <row r="35" spans="1:47" ht="26.25">
      <c r="A35" s="16" t="s">
        <v>59</v>
      </c>
      <c r="B35" s="17" t="s">
        <v>60</v>
      </c>
      <c r="C35" s="2">
        <v>435361</v>
      </c>
      <c r="D35" s="2">
        <v>446720</v>
      </c>
      <c r="E35" s="2">
        <v>10835</v>
      </c>
      <c r="F35" s="2">
        <v>14580</v>
      </c>
      <c r="G35" s="2">
        <v>6</v>
      </c>
      <c r="H35" s="2">
        <v>1837</v>
      </c>
      <c r="I35" s="2">
        <v>47816</v>
      </c>
      <c r="J35" s="2">
        <v>138481</v>
      </c>
      <c r="K35" s="2">
        <v>3</v>
      </c>
      <c r="L35" s="2">
        <v>3</v>
      </c>
      <c r="M35" s="2">
        <v>376259</v>
      </c>
      <c r="N35" s="2">
        <v>290176</v>
      </c>
      <c r="O35" s="2">
        <v>442</v>
      </c>
      <c r="P35" s="2">
        <v>1643</v>
      </c>
      <c r="S35" s="48">
        <v>435361</v>
      </c>
      <c r="T35" s="49">
        <v>446720</v>
      </c>
      <c r="U35" s="49">
        <v>10835</v>
      </c>
      <c r="V35" s="49">
        <v>14580</v>
      </c>
      <c r="W35" s="49">
        <v>6</v>
      </c>
      <c r="X35" s="49">
        <v>1837</v>
      </c>
      <c r="Y35" s="49">
        <v>47816</v>
      </c>
      <c r="Z35" s="49">
        <v>138481</v>
      </c>
      <c r="AA35" s="48">
        <v>3</v>
      </c>
      <c r="AB35" s="49">
        <v>3</v>
      </c>
      <c r="AC35" s="49">
        <v>376259</v>
      </c>
      <c r="AD35" s="49">
        <v>290176</v>
      </c>
      <c r="AE35" s="49">
        <v>442</v>
      </c>
      <c r="AF35" s="49">
        <v>1643</v>
      </c>
      <c r="AH35" s="56">
        <f t="shared" si="1"/>
        <v>0</v>
      </c>
      <c r="AI35" s="56">
        <f t="shared" si="2"/>
        <v>0</v>
      </c>
      <c r="AJ35" s="56">
        <f t="shared" si="3"/>
        <v>0</v>
      </c>
      <c r="AK35" s="56">
        <f t="shared" si="4"/>
        <v>0</v>
      </c>
      <c r="AL35" s="56">
        <f t="shared" si="5"/>
        <v>0</v>
      </c>
      <c r="AM35" s="56">
        <f t="shared" si="6"/>
        <v>0</v>
      </c>
      <c r="AN35" s="56">
        <f t="shared" si="7"/>
        <v>0</v>
      </c>
      <c r="AO35" s="56">
        <f t="shared" si="8"/>
        <v>0</v>
      </c>
      <c r="AP35" s="56">
        <f t="shared" si="9"/>
        <v>0</v>
      </c>
      <c r="AQ35" s="56">
        <f t="shared" si="10"/>
        <v>0</v>
      </c>
      <c r="AR35" s="56">
        <f t="shared" si="11"/>
        <v>0</v>
      </c>
      <c r="AS35" s="56">
        <f t="shared" si="12"/>
        <v>0</v>
      </c>
      <c r="AT35" s="56">
        <f t="shared" si="13"/>
        <v>0</v>
      </c>
      <c r="AU35" s="56">
        <f t="shared" si="14"/>
        <v>0</v>
      </c>
    </row>
    <row r="36" spans="1:47" ht="15.75">
      <c r="A36" s="16" t="s">
        <v>61</v>
      </c>
      <c r="B36" s="17" t="s">
        <v>62</v>
      </c>
      <c r="C36" s="2">
        <v>650977</v>
      </c>
      <c r="D36" s="2">
        <v>636436</v>
      </c>
      <c r="E36" s="2">
        <v>191049</v>
      </c>
      <c r="F36" s="2">
        <v>354556</v>
      </c>
      <c r="G36" s="2">
        <v>24</v>
      </c>
      <c r="H36" s="2">
        <v>21874</v>
      </c>
      <c r="I36" s="2">
        <v>440138</v>
      </c>
      <c r="J36" s="2">
        <v>206024</v>
      </c>
      <c r="K36" s="2" t="s">
        <v>33</v>
      </c>
      <c r="L36" s="2">
        <v>4800</v>
      </c>
      <c r="M36" s="2">
        <v>18106</v>
      </c>
      <c r="N36" s="2">
        <v>22131</v>
      </c>
      <c r="O36" s="2">
        <v>1660</v>
      </c>
      <c r="P36" s="2">
        <v>27051</v>
      </c>
      <c r="S36" s="48">
        <v>650977</v>
      </c>
      <c r="T36" s="49">
        <v>636436</v>
      </c>
      <c r="U36" s="49">
        <v>191049</v>
      </c>
      <c r="V36" s="49">
        <v>354556</v>
      </c>
      <c r="W36" s="49">
        <v>24</v>
      </c>
      <c r="X36" s="49">
        <v>21874</v>
      </c>
      <c r="Y36" s="49">
        <v>440138</v>
      </c>
      <c r="Z36" s="49">
        <v>206024</v>
      </c>
      <c r="AA36" s="48" t="s">
        <v>33</v>
      </c>
      <c r="AB36" s="49">
        <v>4800</v>
      </c>
      <c r="AC36" s="49">
        <v>18106</v>
      </c>
      <c r="AD36" s="49">
        <v>22131</v>
      </c>
      <c r="AE36" s="49">
        <v>1660</v>
      </c>
      <c r="AF36" s="49">
        <v>27051</v>
      </c>
      <c r="AH36" s="56">
        <f t="shared" si="1"/>
        <v>0</v>
      </c>
      <c r="AI36" s="56">
        <f t="shared" si="2"/>
        <v>0</v>
      </c>
      <c r="AJ36" s="56">
        <f t="shared" si="3"/>
        <v>0</v>
      </c>
      <c r="AK36" s="56">
        <f t="shared" si="4"/>
        <v>0</v>
      </c>
      <c r="AL36" s="56">
        <f t="shared" si="5"/>
        <v>0</v>
      </c>
      <c r="AM36" s="56">
        <f t="shared" si="6"/>
        <v>0</v>
      </c>
      <c r="AN36" s="56">
        <f t="shared" si="7"/>
        <v>0</v>
      </c>
      <c r="AO36" s="56">
        <f t="shared" si="8"/>
        <v>0</v>
      </c>
      <c r="AP36" s="56" t="e">
        <f t="shared" si="9"/>
        <v>#VALUE!</v>
      </c>
      <c r="AQ36" s="56">
        <f t="shared" si="10"/>
        <v>0</v>
      </c>
      <c r="AR36" s="56">
        <f t="shared" si="11"/>
        <v>0</v>
      </c>
      <c r="AS36" s="56">
        <f t="shared" si="12"/>
        <v>0</v>
      </c>
      <c r="AT36" s="56">
        <f t="shared" si="13"/>
        <v>0</v>
      </c>
      <c r="AU36" s="56">
        <f t="shared" si="14"/>
        <v>0</v>
      </c>
    </row>
    <row r="37" spans="1:47" ht="26.25">
      <c r="A37" s="16" t="s">
        <v>63</v>
      </c>
      <c r="B37" s="17" t="s">
        <v>64</v>
      </c>
      <c r="C37" s="2">
        <v>1206981</v>
      </c>
      <c r="D37" s="2">
        <v>1521207</v>
      </c>
      <c r="E37" s="2">
        <v>256293</v>
      </c>
      <c r="F37" s="2">
        <v>388741</v>
      </c>
      <c r="G37" s="2">
        <v>73806</v>
      </c>
      <c r="H37" s="2">
        <v>39753</v>
      </c>
      <c r="I37" s="2">
        <v>568717</v>
      </c>
      <c r="J37" s="2">
        <v>914894</v>
      </c>
      <c r="K37" s="2" t="s">
        <v>33</v>
      </c>
      <c r="L37" s="2" t="s">
        <v>33</v>
      </c>
      <c r="M37" s="2">
        <v>300769</v>
      </c>
      <c r="N37" s="2">
        <v>177819</v>
      </c>
      <c r="O37" s="2">
        <v>7396</v>
      </c>
      <c r="P37" s="2" t="s">
        <v>33</v>
      </c>
      <c r="S37" s="48">
        <v>1206981</v>
      </c>
      <c r="T37" s="49">
        <v>1521207</v>
      </c>
      <c r="U37" s="49">
        <v>256293</v>
      </c>
      <c r="V37" s="49">
        <v>388741</v>
      </c>
      <c r="W37" s="49">
        <v>73806</v>
      </c>
      <c r="X37" s="49">
        <v>39753</v>
      </c>
      <c r="Y37" s="49">
        <v>568717</v>
      </c>
      <c r="Z37" s="49">
        <v>914894</v>
      </c>
      <c r="AA37" s="48" t="s">
        <v>33</v>
      </c>
      <c r="AB37" s="49" t="s">
        <v>33</v>
      </c>
      <c r="AC37" s="49">
        <v>300769</v>
      </c>
      <c r="AD37" s="49">
        <v>177819</v>
      </c>
      <c r="AE37" s="49">
        <v>7396</v>
      </c>
      <c r="AF37" s="49" t="s">
        <v>33</v>
      </c>
      <c r="AH37" s="56">
        <f t="shared" si="1"/>
        <v>0</v>
      </c>
      <c r="AI37" s="56">
        <f t="shared" si="2"/>
        <v>0</v>
      </c>
      <c r="AJ37" s="56">
        <f t="shared" si="3"/>
        <v>0</v>
      </c>
      <c r="AK37" s="56">
        <f t="shared" si="4"/>
        <v>0</v>
      </c>
      <c r="AL37" s="56">
        <f t="shared" si="5"/>
        <v>0</v>
      </c>
      <c r="AM37" s="56">
        <f t="shared" si="6"/>
        <v>0</v>
      </c>
      <c r="AN37" s="56">
        <f t="shared" si="7"/>
        <v>0</v>
      </c>
      <c r="AO37" s="56">
        <f t="shared" si="8"/>
        <v>0</v>
      </c>
      <c r="AP37" s="56" t="e">
        <f t="shared" si="9"/>
        <v>#VALUE!</v>
      </c>
      <c r="AQ37" s="56" t="e">
        <f t="shared" si="10"/>
        <v>#VALUE!</v>
      </c>
      <c r="AR37" s="56">
        <f t="shared" si="11"/>
        <v>0</v>
      </c>
      <c r="AS37" s="56">
        <f t="shared" si="12"/>
        <v>0</v>
      </c>
      <c r="AT37" s="56">
        <f t="shared" si="13"/>
        <v>0</v>
      </c>
      <c r="AU37" s="56" t="e">
        <f t="shared" si="14"/>
        <v>#VALUE!</v>
      </c>
    </row>
    <row r="38" spans="1:47" ht="39.75" thickBot="1">
      <c r="A38" s="16" t="s">
        <v>65</v>
      </c>
      <c r="B38" s="17" t="s">
        <v>66</v>
      </c>
      <c r="C38" s="2">
        <v>5890003</v>
      </c>
      <c r="D38" s="2">
        <v>4473953</v>
      </c>
      <c r="E38" s="2">
        <v>304307</v>
      </c>
      <c r="F38" s="2">
        <v>364062</v>
      </c>
      <c r="G38" s="2">
        <v>23415</v>
      </c>
      <c r="H38" s="2">
        <v>41093</v>
      </c>
      <c r="I38" s="2">
        <v>1276054</v>
      </c>
      <c r="J38" s="2">
        <v>1095725</v>
      </c>
      <c r="K38" s="2">
        <v>223103</v>
      </c>
      <c r="L38" s="2">
        <v>280574</v>
      </c>
      <c r="M38" s="2">
        <v>4062395</v>
      </c>
      <c r="N38" s="2">
        <v>2690560</v>
      </c>
      <c r="O38" s="2">
        <v>729</v>
      </c>
      <c r="P38" s="2">
        <v>1939</v>
      </c>
      <c r="S38" s="48">
        <v>5890003</v>
      </c>
      <c r="T38" s="49">
        <v>4473953</v>
      </c>
      <c r="U38" s="49">
        <v>304307</v>
      </c>
      <c r="V38" s="49">
        <v>364062</v>
      </c>
      <c r="W38" s="49">
        <v>23415</v>
      </c>
      <c r="X38" s="49">
        <v>41093</v>
      </c>
      <c r="Y38" s="49">
        <v>1276054</v>
      </c>
      <c r="Z38" s="49">
        <v>1095725</v>
      </c>
      <c r="AA38" s="48">
        <v>223103</v>
      </c>
      <c r="AB38" s="49">
        <v>280574</v>
      </c>
      <c r="AC38" s="49">
        <v>4062395</v>
      </c>
      <c r="AD38" s="49">
        <v>2690560</v>
      </c>
      <c r="AE38" s="49">
        <v>729</v>
      </c>
      <c r="AF38" s="49">
        <v>1939</v>
      </c>
      <c r="AH38" s="56">
        <f t="shared" si="1"/>
        <v>0</v>
      </c>
      <c r="AI38" s="56">
        <f t="shared" si="2"/>
        <v>0</v>
      </c>
      <c r="AJ38" s="56">
        <f t="shared" si="3"/>
        <v>0</v>
      </c>
      <c r="AK38" s="56">
        <f t="shared" si="4"/>
        <v>0</v>
      </c>
      <c r="AL38" s="56">
        <f t="shared" si="5"/>
        <v>0</v>
      </c>
      <c r="AM38" s="56">
        <f t="shared" si="6"/>
        <v>0</v>
      </c>
      <c r="AN38" s="56">
        <f t="shared" si="7"/>
        <v>0</v>
      </c>
      <c r="AO38" s="56">
        <f t="shared" si="8"/>
        <v>0</v>
      </c>
      <c r="AP38" s="56">
        <f t="shared" si="9"/>
        <v>0</v>
      </c>
      <c r="AQ38" s="56">
        <f t="shared" si="10"/>
        <v>0</v>
      </c>
      <c r="AR38" s="56">
        <f t="shared" si="11"/>
        <v>0</v>
      </c>
      <c r="AS38" s="56">
        <f t="shared" si="12"/>
        <v>0</v>
      </c>
      <c r="AT38" s="56">
        <f t="shared" si="13"/>
        <v>0</v>
      </c>
      <c r="AU38" s="56">
        <f t="shared" si="14"/>
        <v>0</v>
      </c>
    </row>
    <row r="39" spans="1:47" s="21" customFormat="1" ht="39">
      <c r="A39" s="18" t="s">
        <v>126</v>
      </c>
      <c r="B39" s="22" t="s">
        <v>67</v>
      </c>
      <c r="C39" s="20">
        <v>965058</v>
      </c>
      <c r="D39" s="20">
        <v>1163125</v>
      </c>
      <c r="E39" s="20">
        <v>198185</v>
      </c>
      <c r="F39" s="20">
        <v>230724</v>
      </c>
      <c r="G39" s="20">
        <v>828</v>
      </c>
      <c r="H39" s="20">
        <v>9478</v>
      </c>
      <c r="I39" s="20">
        <v>502297</v>
      </c>
      <c r="J39" s="20">
        <v>627107</v>
      </c>
      <c r="K39" s="20">
        <v>217622</v>
      </c>
      <c r="L39" s="20">
        <v>187721</v>
      </c>
      <c r="M39" s="20">
        <v>32339</v>
      </c>
      <c r="N39" s="20">
        <v>30767</v>
      </c>
      <c r="O39" s="20">
        <v>13787</v>
      </c>
      <c r="P39" s="20">
        <v>77328</v>
      </c>
      <c r="S39" s="44">
        <v>965058</v>
      </c>
      <c r="T39" s="45">
        <v>1163125</v>
      </c>
      <c r="U39" s="45">
        <v>198185</v>
      </c>
      <c r="V39" s="45">
        <v>230724</v>
      </c>
      <c r="W39" s="45">
        <v>828</v>
      </c>
      <c r="X39" s="45">
        <v>9478</v>
      </c>
      <c r="Y39" s="45">
        <v>502297</v>
      </c>
      <c r="Z39" s="45">
        <v>627107</v>
      </c>
      <c r="AA39" s="46">
        <v>217622</v>
      </c>
      <c r="AB39" s="47">
        <v>187721</v>
      </c>
      <c r="AC39" s="47">
        <v>32339</v>
      </c>
      <c r="AD39" s="47">
        <v>30767</v>
      </c>
      <c r="AE39" s="47">
        <v>13787</v>
      </c>
      <c r="AF39" s="47">
        <v>77328</v>
      </c>
      <c r="AH39" s="56">
        <f t="shared" si="1"/>
        <v>0</v>
      </c>
      <c r="AI39" s="56">
        <f t="shared" si="2"/>
        <v>0</v>
      </c>
      <c r="AJ39" s="56">
        <f t="shared" si="3"/>
        <v>0</v>
      </c>
      <c r="AK39" s="56">
        <f t="shared" si="4"/>
        <v>0</v>
      </c>
      <c r="AL39" s="56">
        <f t="shared" si="5"/>
        <v>0</v>
      </c>
      <c r="AM39" s="56">
        <f t="shared" si="6"/>
        <v>0</v>
      </c>
      <c r="AN39" s="56">
        <f t="shared" si="7"/>
        <v>0</v>
      </c>
      <c r="AO39" s="56">
        <f t="shared" si="8"/>
        <v>0</v>
      </c>
      <c r="AP39" s="56">
        <f t="shared" si="9"/>
        <v>0</v>
      </c>
      <c r="AQ39" s="56">
        <f t="shared" si="10"/>
        <v>0</v>
      </c>
      <c r="AR39" s="56">
        <f t="shared" si="11"/>
        <v>0</v>
      </c>
      <c r="AS39" s="56">
        <f t="shared" si="12"/>
        <v>0</v>
      </c>
      <c r="AT39" s="56">
        <f t="shared" si="13"/>
        <v>0</v>
      </c>
      <c r="AU39" s="56">
        <f t="shared" si="14"/>
        <v>0</v>
      </c>
    </row>
    <row r="40" spans="1:47" ht="27" thickBot="1">
      <c r="A40" s="16" t="s">
        <v>68</v>
      </c>
      <c r="B40" s="17" t="s">
        <v>69</v>
      </c>
      <c r="C40" s="2">
        <v>958417</v>
      </c>
      <c r="D40" s="2">
        <v>1156535</v>
      </c>
      <c r="E40" s="2">
        <v>197656</v>
      </c>
      <c r="F40" s="2">
        <v>230050</v>
      </c>
      <c r="G40" s="2">
        <v>828</v>
      </c>
      <c r="H40" s="2">
        <v>9478</v>
      </c>
      <c r="I40" s="2">
        <v>499523</v>
      </c>
      <c r="J40" s="2">
        <v>621316</v>
      </c>
      <c r="K40" s="2">
        <v>217622</v>
      </c>
      <c r="L40" s="2">
        <v>187721</v>
      </c>
      <c r="M40" s="2">
        <v>29001</v>
      </c>
      <c r="N40" s="2">
        <v>30642</v>
      </c>
      <c r="O40" s="2">
        <v>13787</v>
      </c>
      <c r="P40" s="2">
        <v>77328</v>
      </c>
      <c r="S40" s="48">
        <v>958417</v>
      </c>
      <c r="T40" s="49">
        <v>1156535</v>
      </c>
      <c r="U40" s="49">
        <v>197656</v>
      </c>
      <c r="V40" s="49">
        <v>230050</v>
      </c>
      <c r="W40" s="49">
        <v>828</v>
      </c>
      <c r="X40" s="49">
        <v>9478</v>
      </c>
      <c r="Y40" s="49">
        <v>499523</v>
      </c>
      <c r="Z40" s="49">
        <v>621316</v>
      </c>
      <c r="AA40" s="48">
        <v>217622</v>
      </c>
      <c r="AB40" s="49">
        <v>187721</v>
      </c>
      <c r="AC40" s="49">
        <v>29001</v>
      </c>
      <c r="AD40" s="49">
        <v>30642</v>
      </c>
      <c r="AE40" s="49">
        <v>13787</v>
      </c>
      <c r="AF40" s="49">
        <v>77328</v>
      </c>
      <c r="AH40" s="56">
        <f t="shared" si="1"/>
        <v>0</v>
      </c>
      <c r="AI40" s="56">
        <f t="shared" si="2"/>
        <v>0</v>
      </c>
      <c r="AJ40" s="56">
        <f t="shared" si="3"/>
        <v>0</v>
      </c>
      <c r="AK40" s="56">
        <f t="shared" si="4"/>
        <v>0</v>
      </c>
      <c r="AL40" s="56">
        <f t="shared" si="5"/>
        <v>0</v>
      </c>
      <c r="AM40" s="56">
        <f t="shared" si="6"/>
        <v>0</v>
      </c>
      <c r="AN40" s="56">
        <f t="shared" si="7"/>
        <v>0</v>
      </c>
      <c r="AO40" s="56">
        <f t="shared" si="8"/>
        <v>0</v>
      </c>
      <c r="AP40" s="56">
        <f t="shared" si="9"/>
        <v>0</v>
      </c>
      <c r="AQ40" s="56">
        <f t="shared" si="10"/>
        <v>0</v>
      </c>
      <c r="AR40" s="56">
        <f t="shared" si="11"/>
        <v>0</v>
      </c>
      <c r="AS40" s="56">
        <f t="shared" si="12"/>
        <v>0</v>
      </c>
      <c r="AT40" s="56">
        <f t="shared" si="13"/>
        <v>0</v>
      </c>
      <c r="AU40" s="56">
        <f t="shared" si="14"/>
        <v>0</v>
      </c>
    </row>
    <row r="41" spans="1:47" ht="26.25">
      <c r="A41" s="16" t="s">
        <v>70</v>
      </c>
      <c r="B41" s="17" t="s">
        <v>71</v>
      </c>
      <c r="C41" s="2">
        <v>6641</v>
      </c>
      <c r="D41" s="2">
        <v>6590</v>
      </c>
      <c r="E41" s="2">
        <v>529</v>
      </c>
      <c r="F41" s="2">
        <v>674</v>
      </c>
      <c r="G41" s="2" t="s">
        <v>33</v>
      </c>
      <c r="H41" s="2" t="s">
        <v>33</v>
      </c>
      <c r="I41" s="2">
        <v>2774</v>
      </c>
      <c r="J41" s="2">
        <v>5791</v>
      </c>
      <c r="K41" s="2" t="s">
        <v>33</v>
      </c>
      <c r="L41" s="2" t="s">
        <v>33</v>
      </c>
      <c r="M41" s="2">
        <v>3338</v>
      </c>
      <c r="N41" s="2">
        <v>125</v>
      </c>
      <c r="O41" s="2" t="s">
        <v>33</v>
      </c>
      <c r="P41" s="2" t="s">
        <v>33</v>
      </c>
      <c r="S41" s="48">
        <v>6641</v>
      </c>
      <c r="T41" s="49">
        <v>6590</v>
      </c>
      <c r="U41" s="49">
        <v>529</v>
      </c>
      <c r="V41" s="49">
        <v>674</v>
      </c>
      <c r="W41" s="49" t="s">
        <v>33</v>
      </c>
      <c r="X41" s="49" t="s">
        <v>33</v>
      </c>
      <c r="Y41" s="49">
        <v>2774</v>
      </c>
      <c r="Z41" s="49">
        <v>5791</v>
      </c>
      <c r="AA41" s="50" t="s">
        <v>33</v>
      </c>
      <c r="AB41" s="51" t="s">
        <v>33</v>
      </c>
      <c r="AC41" s="51">
        <v>3338</v>
      </c>
      <c r="AD41" s="51">
        <v>125</v>
      </c>
      <c r="AE41" s="51" t="s">
        <v>33</v>
      </c>
      <c r="AF41" s="51" t="s">
        <v>33</v>
      </c>
      <c r="AH41" s="56">
        <f t="shared" si="1"/>
        <v>0</v>
      </c>
      <c r="AI41" s="56">
        <f t="shared" si="2"/>
        <v>0</v>
      </c>
      <c r="AJ41" s="56">
        <f t="shared" si="3"/>
        <v>0</v>
      </c>
      <c r="AK41" s="56">
        <f t="shared" si="4"/>
        <v>0</v>
      </c>
      <c r="AL41" s="56" t="e">
        <f t="shared" si="5"/>
        <v>#VALUE!</v>
      </c>
      <c r="AM41" s="56" t="e">
        <f t="shared" si="6"/>
        <v>#VALUE!</v>
      </c>
      <c r="AN41" s="56">
        <f t="shared" si="7"/>
        <v>0</v>
      </c>
      <c r="AO41" s="56">
        <f t="shared" si="8"/>
        <v>0</v>
      </c>
      <c r="AP41" s="56" t="e">
        <f t="shared" si="9"/>
        <v>#VALUE!</v>
      </c>
      <c r="AQ41" s="56" t="e">
        <f t="shared" si="10"/>
        <v>#VALUE!</v>
      </c>
      <c r="AR41" s="56">
        <f t="shared" si="11"/>
        <v>0</v>
      </c>
      <c r="AS41" s="56">
        <f t="shared" si="12"/>
        <v>0</v>
      </c>
      <c r="AT41" s="56" t="e">
        <f t="shared" si="13"/>
        <v>#VALUE!</v>
      </c>
      <c r="AU41" s="56" t="e">
        <f t="shared" si="14"/>
        <v>#VALUE!</v>
      </c>
    </row>
    <row r="42" spans="1:47" s="21" customFormat="1" ht="26.25">
      <c r="A42" s="18" t="s">
        <v>127</v>
      </c>
      <c r="B42" s="22" t="s">
        <v>72</v>
      </c>
      <c r="C42" s="20">
        <v>781</v>
      </c>
      <c r="D42" s="20">
        <v>1378</v>
      </c>
      <c r="E42" s="20" t="s">
        <v>33</v>
      </c>
      <c r="F42" s="20" t="s">
        <v>33</v>
      </c>
      <c r="G42" s="20" t="s">
        <v>33</v>
      </c>
      <c r="H42" s="20" t="s">
        <v>33</v>
      </c>
      <c r="I42" s="20">
        <v>764</v>
      </c>
      <c r="J42" s="20">
        <v>1332</v>
      </c>
      <c r="K42" s="20" t="s">
        <v>33</v>
      </c>
      <c r="L42" s="20" t="s">
        <v>33</v>
      </c>
      <c r="M42" s="20">
        <v>17</v>
      </c>
      <c r="N42" s="20">
        <v>46</v>
      </c>
      <c r="O42" s="20" t="s">
        <v>33</v>
      </c>
      <c r="P42" s="20" t="s">
        <v>33</v>
      </c>
      <c r="S42" s="46">
        <v>781</v>
      </c>
      <c r="T42" s="47">
        <v>1378</v>
      </c>
      <c r="U42" s="47" t="s">
        <v>33</v>
      </c>
      <c r="V42" s="47" t="s">
        <v>33</v>
      </c>
      <c r="W42" s="47" t="s">
        <v>33</v>
      </c>
      <c r="X42" s="47" t="s">
        <v>33</v>
      </c>
      <c r="Y42" s="47">
        <v>764</v>
      </c>
      <c r="Z42" s="47">
        <v>1332</v>
      </c>
      <c r="AA42" s="46" t="s">
        <v>33</v>
      </c>
      <c r="AB42" s="47" t="s">
        <v>33</v>
      </c>
      <c r="AC42" s="47">
        <v>17</v>
      </c>
      <c r="AD42" s="47">
        <v>46</v>
      </c>
      <c r="AE42" s="47" t="s">
        <v>33</v>
      </c>
      <c r="AF42" s="47" t="s">
        <v>33</v>
      </c>
      <c r="AH42" s="56">
        <f t="shared" si="1"/>
        <v>0</v>
      </c>
      <c r="AI42" s="56">
        <f t="shared" si="2"/>
        <v>0</v>
      </c>
      <c r="AJ42" s="56" t="e">
        <f t="shared" si="3"/>
        <v>#VALUE!</v>
      </c>
      <c r="AK42" s="56" t="e">
        <f t="shared" si="4"/>
        <v>#VALUE!</v>
      </c>
      <c r="AL42" s="56" t="e">
        <f t="shared" si="5"/>
        <v>#VALUE!</v>
      </c>
      <c r="AM42" s="56" t="e">
        <f t="shared" si="6"/>
        <v>#VALUE!</v>
      </c>
      <c r="AN42" s="56">
        <f t="shared" si="7"/>
        <v>0</v>
      </c>
      <c r="AO42" s="56">
        <f t="shared" si="8"/>
        <v>0</v>
      </c>
      <c r="AP42" s="56" t="e">
        <f t="shared" si="9"/>
        <v>#VALUE!</v>
      </c>
      <c r="AQ42" s="56" t="e">
        <f t="shared" si="10"/>
        <v>#VALUE!</v>
      </c>
      <c r="AR42" s="56">
        <f t="shared" si="11"/>
        <v>0</v>
      </c>
      <c r="AS42" s="56">
        <f t="shared" si="12"/>
        <v>0</v>
      </c>
      <c r="AT42" s="56" t="e">
        <f t="shared" si="13"/>
        <v>#VALUE!</v>
      </c>
      <c r="AU42" s="56" t="e">
        <f t="shared" si="14"/>
        <v>#VALUE!</v>
      </c>
    </row>
    <row r="43" spans="1:47" ht="26.25">
      <c r="A43" s="16" t="s">
        <v>73</v>
      </c>
      <c r="B43" s="17" t="s">
        <v>74</v>
      </c>
      <c r="C43" s="2">
        <v>781</v>
      </c>
      <c r="D43" s="2">
        <v>1378</v>
      </c>
      <c r="E43" s="2" t="s">
        <v>33</v>
      </c>
      <c r="F43" s="2" t="s">
        <v>33</v>
      </c>
      <c r="G43" s="2" t="s">
        <v>33</v>
      </c>
      <c r="H43" s="2" t="s">
        <v>33</v>
      </c>
      <c r="I43" s="2">
        <v>764</v>
      </c>
      <c r="J43" s="2">
        <v>1332</v>
      </c>
      <c r="K43" s="2" t="s">
        <v>33</v>
      </c>
      <c r="L43" s="2" t="s">
        <v>33</v>
      </c>
      <c r="M43" s="2">
        <v>17</v>
      </c>
      <c r="N43" s="2">
        <v>46</v>
      </c>
      <c r="O43" s="2" t="s">
        <v>33</v>
      </c>
      <c r="P43" s="2" t="s">
        <v>33</v>
      </c>
      <c r="S43" s="48">
        <v>781</v>
      </c>
      <c r="T43" s="49">
        <v>1378</v>
      </c>
      <c r="U43" s="49" t="s">
        <v>33</v>
      </c>
      <c r="V43" s="49" t="s">
        <v>33</v>
      </c>
      <c r="W43" s="49" t="s">
        <v>33</v>
      </c>
      <c r="X43" s="49" t="s">
        <v>33</v>
      </c>
      <c r="Y43" s="49">
        <v>764</v>
      </c>
      <c r="Z43" s="49">
        <v>1332</v>
      </c>
      <c r="AA43" s="48" t="s">
        <v>33</v>
      </c>
      <c r="AB43" s="49" t="s">
        <v>33</v>
      </c>
      <c r="AC43" s="49">
        <v>17</v>
      </c>
      <c r="AD43" s="49">
        <v>46</v>
      </c>
      <c r="AE43" s="49" t="s">
        <v>33</v>
      </c>
      <c r="AF43" s="49" t="s">
        <v>33</v>
      </c>
      <c r="AH43" s="56">
        <f t="shared" si="1"/>
        <v>0</v>
      </c>
      <c r="AI43" s="56">
        <f t="shared" si="2"/>
        <v>0</v>
      </c>
      <c r="AJ43" s="56" t="e">
        <f t="shared" si="3"/>
        <v>#VALUE!</v>
      </c>
      <c r="AK43" s="56" t="e">
        <f t="shared" si="4"/>
        <v>#VALUE!</v>
      </c>
      <c r="AL43" s="56" t="e">
        <f t="shared" si="5"/>
        <v>#VALUE!</v>
      </c>
      <c r="AM43" s="56" t="e">
        <f t="shared" si="6"/>
        <v>#VALUE!</v>
      </c>
      <c r="AN43" s="56">
        <f t="shared" si="7"/>
        <v>0</v>
      </c>
      <c r="AO43" s="56">
        <f t="shared" si="8"/>
        <v>0</v>
      </c>
      <c r="AP43" s="56" t="e">
        <f t="shared" si="9"/>
        <v>#VALUE!</v>
      </c>
      <c r="AQ43" s="56" t="e">
        <f t="shared" si="10"/>
        <v>#VALUE!</v>
      </c>
      <c r="AR43" s="56">
        <f t="shared" si="11"/>
        <v>0</v>
      </c>
      <c r="AS43" s="56">
        <f t="shared" si="12"/>
        <v>0</v>
      </c>
      <c r="AT43" s="56" t="e">
        <f t="shared" si="13"/>
        <v>#VALUE!</v>
      </c>
      <c r="AU43" s="56" t="e">
        <f t="shared" si="14"/>
        <v>#VALUE!</v>
      </c>
    </row>
    <row r="44" spans="1:47" s="21" customFormat="1" ht="26.25">
      <c r="A44" s="18" t="s">
        <v>128</v>
      </c>
      <c r="B44" s="22" t="s">
        <v>75</v>
      </c>
      <c r="C44" s="20">
        <v>2387327</v>
      </c>
      <c r="D44" s="20">
        <v>100322003</v>
      </c>
      <c r="E44" s="20">
        <v>6760</v>
      </c>
      <c r="F44" s="20">
        <v>13</v>
      </c>
      <c r="G44" s="20">
        <v>73</v>
      </c>
      <c r="H44" s="20" t="s">
        <v>33</v>
      </c>
      <c r="I44" s="20">
        <v>363714</v>
      </c>
      <c r="J44" s="20">
        <v>1813262</v>
      </c>
      <c r="K44" s="20">
        <v>570000</v>
      </c>
      <c r="L44" s="20">
        <v>12332779</v>
      </c>
      <c r="M44" s="20">
        <v>1446701</v>
      </c>
      <c r="N44" s="20">
        <v>86175675</v>
      </c>
      <c r="O44" s="20">
        <v>79</v>
      </c>
      <c r="P44" s="20">
        <v>274</v>
      </c>
      <c r="S44" s="46">
        <v>2387327</v>
      </c>
      <c r="T44" s="47">
        <v>100322003</v>
      </c>
      <c r="U44" s="47">
        <v>6760</v>
      </c>
      <c r="V44" s="47">
        <v>13</v>
      </c>
      <c r="W44" s="47">
        <v>73</v>
      </c>
      <c r="X44" s="47" t="s">
        <v>33</v>
      </c>
      <c r="Y44" s="47">
        <v>363714</v>
      </c>
      <c r="Z44" s="47">
        <v>1813262</v>
      </c>
      <c r="AA44" s="46">
        <v>570000</v>
      </c>
      <c r="AB44" s="47">
        <v>12332779</v>
      </c>
      <c r="AC44" s="47">
        <v>1446701</v>
      </c>
      <c r="AD44" s="47">
        <v>86175675</v>
      </c>
      <c r="AE44" s="47">
        <v>79</v>
      </c>
      <c r="AF44" s="47">
        <v>274</v>
      </c>
      <c r="AH44" s="56">
        <f t="shared" si="1"/>
        <v>0</v>
      </c>
      <c r="AI44" s="56">
        <f t="shared" si="2"/>
        <v>0</v>
      </c>
      <c r="AJ44" s="56">
        <f t="shared" si="3"/>
        <v>0</v>
      </c>
      <c r="AK44" s="56">
        <f t="shared" si="4"/>
        <v>0</v>
      </c>
      <c r="AL44" s="56">
        <f t="shared" si="5"/>
        <v>0</v>
      </c>
      <c r="AM44" s="56" t="e">
        <f t="shared" si="6"/>
        <v>#VALUE!</v>
      </c>
      <c r="AN44" s="56">
        <f t="shared" si="7"/>
        <v>0</v>
      </c>
      <c r="AO44" s="56">
        <f t="shared" si="8"/>
        <v>0</v>
      </c>
      <c r="AP44" s="56">
        <f t="shared" si="9"/>
        <v>0</v>
      </c>
      <c r="AQ44" s="56">
        <f t="shared" si="10"/>
        <v>0</v>
      </c>
      <c r="AR44" s="56">
        <f t="shared" si="11"/>
        <v>0</v>
      </c>
      <c r="AS44" s="56">
        <f t="shared" si="12"/>
        <v>0</v>
      </c>
      <c r="AT44" s="56">
        <f t="shared" si="13"/>
        <v>0</v>
      </c>
      <c r="AU44" s="56">
        <f t="shared" si="14"/>
        <v>0</v>
      </c>
    </row>
    <row r="45" spans="1:47" ht="52.5" thickBot="1">
      <c r="A45" s="16" t="s">
        <v>76</v>
      </c>
      <c r="B45" s="17" t="s">
        <v>77</v>
      </c>
      <c r="C45" s="2">
        <v>2387327</v>
      </c>
      <c r="D45" s="2">
        <v>100322003</v>
      </c>
      <c r="E45" s="2">
        <v>6760</v>
      </c>
      <c r="F45" s="2">
        <v>13</v>
      </c>
      <c r="G45" s="2">
        <v>73</v>
      </c>
      <c r="H45" s="2" t="s">
        <v>33</v>
      </c>
      <c r="I45" s="2">
        <v>363714</v>
      </c>
      <c r="J45" s="2">
        <v>1813262</v>
      </c>
      <c r="K45" s="2">
        <v>570000</v>
      </c>
      <c r="L45" s="2">
        <v>12332779</v>
      </c>
      <c r="M45" s="2">
        <v>1446701</v>
      </c>
      <c r="N45" s="2">
        <v>86175675</v>
      </c>
      <c r="O45" s="2">
        <v>79</v>
      </c>
      <c r="P45" s="2">
        <v>274</v>
      </c>
      <c r="S45" s="48">
        <v>2387327</v>
      </c>
      <c r="T45" s="49">
        <v>100322003</v>
      </c>
      <c r="U45" s="49">
        <v>6760</v>
      </c>
      <c r="V45" s="49">
        <v>13</v>
      </c>
      <c r="W45" s="49">
        <v>73</v>
      </c>
      <c r="X45" s="49" t="s">
        <v>33</v>
      </c>
      <c r="Y45" s="49">
        <v>363714</v>
      </c>
      <c r="Z45" s="49">
        <v>1813262</v>
      </c>
      <c r="AA45" s="48">
        <v>570000</v>
      </c>
      <c r="AB45" s="49">
        <v>12332779</v>
      </c>
      <c r="AC45" s="49">
        <v>1446701</v>
      </c>
      <c r="AD45" s="49">
        <v>86175675</v>
      </c>
      <c r="AE45" s="49">
        <v>79</v>
      </c>
      <c r="AF45" s="49">
        <v>274</v>
      </c>
      <c r="AH45" s="56">
        <f t="shared" si="1"/>
        <v>0</v>
      </c>
      <c r="AI45" s="56">
        <f t="shared" si="2"/>
        <v>0</v>
      </c>
      <c r="AJ45" s="56">
        <f t="shared" si="3"/>
        <v>0</v>
      </c>
      <c r="AK45" s="56">
        <f t="shared" si="4"/>
        <v>0</v>
      </c>
      <c r="AL45" s="56">
        <f t="shared" si="5"/>
        <v>0</v>
      </c>
      <c r="AM45" s="56" t="e">
        <f t="shared" si="6"/>
        <v>#VALUE!</v>
      </c>
      <c r="AN45" s="56">
        <f t="shared" si="7"/>
        <v>0</v>
      </c>
      <c r="AO45" s="56">
        <f t="shared" si="8"/>
        <v>0</v>
      </c>
      <c r="AP45" s="56">
        <f t="shared" si="9"/>
        <v>0</v>
      </c>
      <c r="AQ45" s="56">
        <f t="shared" si="10"/>
        <v>0</v>
      </c>
      <c r="AR45" s="56">
        <f t="shared" si="11"/>
        <v>0</v>
      </c>
      <c r="AS45" s="56">
        <f t="shared" si="12"/>
        <v>0</v>
      </c>
      <c r="AT45" s="56">
        <f t="shared" si="13"/>
        <v>0</v>
      </c>
      <c r="AU45" s="56">
        <f t="shared" si="14"/>
        <v>0</v>
      </c>
    </row>
    <row r="46" spans="1:47" s="21" customFormat="1" ht="51.75">
      <c r="A46" s="18" t="s">
        <v>129</v>
      </c>
      <c r="B46" s="22" t="s">
        <v>78</v>
      </c>
      <c r="C46" s="20">
        <v>2100803</v>
      </c>
      <c r="D46" s="20">
        <v>2887013</v>
      </c>
      <c r="E46" s="20">
        <v>139625</v>
      </c>
      <c r="F46" s="20">
        <v>184364</v>
      </c>
      <c r="G46" s="20">
        <v>68885</v>
      </c>
      <c r="H46" s="20">
        <v>7391</v>
      </c>
      <c r="I46" s="20">
        <v>973892</v>
      </c>
      <c r="J46" s="20">
        <v>1553848</v>
      </c>
      <c r="K46" s="20">
        <v>126818</v>
      </c>
      <c r="L46" s="20">
        <v>70646</v>
      </c>
      <c r="M46" s="20">
        <v>617135</v>
      </c>
      <c r="N46" s="20">
        <v>890036</v>
      </c>
      <c r="O46" s="20">
        <v>174448</v>
      </c>
      <c r="P46" s="20">
        <v>180728</v>
      </c>
      <c r="S46" s="44">
        <v>2100803</v>
      </c>
      <c r="T46" s="45">
        <v>2887013</v>
      </c>
      <c r="U46" s="45">
        <v>139625</v>
      </c>
      <c r="V46" s="45">
        <v>184364</v>
      </c>
      <c r="W46" s="45">
        <v>68885</v>
      </c>
      <c r="X46" s="45">
        <v>7391</v>
      </c>
      <c r="Y46" s="45">
        <v>973892</v>
      </c>
      <c r="Z46" s="45">
        <v>1553848</v>
      </c>
      <c r="AA46" s="46">
        <v>126818</v>
      </c>
      <c r="AB46" s="47">
        <v>70646</v>
      </c>
      <c r="AC46" s="47">
        <v>617135</v>
      </c>
      <c r="AD46" s="47">
        <v>890036</v>
      </c>
      <c r="AE46" s="47">
        <v>174448</v>
      </c>
      <c r="AF46" s="47">
        <v>180728</v>
      </c>
      <c r="AH46" s="56">
        <f t="shared" si="1"/>
        <v>0</v>
      </c>
      <c r="AI46" s="56">
        <f t="shared" si="2"/>
        <v>0</v>
      </c>
      <c r="AJ46" s="56">
        <f t="shared" si="3"/>
        <v>0</v>
      </c>
      <c r="AK46" s="56">
        <f t="shared" si="4"/>
        <v>0</v>
      </c>
      <c r="AL46" s="56">
        <f t="shared" si="5"/>
        <v>0</v>
      </c>
      <c r="AM46" s="56">
        <f t="shared" si="6"/>
        <v>0</v>
      </c>
      <c r="AN46" s="56">
        <f t="shared" si="7"/>
        <v>0</v>
      </c>
      <c r="AO46" s="56">
        <f t="shared" si="8"/>
        <v>0</v>
      </c>
      <c r="AP46" s="56">
        <f t="shared" si="9"/>
        <v>0</v>
      </c>
      <c r="AQ46" s="56">
        <f t="shared" si="10"/>
        <v>0</v>
      </c>
      <c r="AR46" s="56">
        <f t="shared" si="11"/>
        <v>0</v>
      </c>
      <c r="AS46" s="56">
        <f t="shared" si="12"/>
        <v>0</v>
      </c>
      <c r="AT46" s="56">
        <f t="shared" si="13"/>
        <v>0</v>
      </c>
      <c r="AU46" s="56">
        <f t="shared" si="14"/>
        <v>0</v>
      </c>
    </row>
    <row r="47" spans="1:47" ht="26.25">
      <c r="A47" s="16" t="s">
        <v>79</v>
      </c>
      <c r="B47" s="17" t="s">
        <v>80</v>
      </c>
      <c r="C47" s="2">
        <v>2100803</v>
      </c>
      <c r="D47" s="2">
        <v>2887013</v>
      </c>
      <c r="E47" s="2">
        <v>139625</v>
      </c>
      <c r="F47" s="2">
        <v>184364</v>
      </c>
      <c r="G47" s="2">
        <v>68885</v>
      </c>
      <c r="H47" s="2">
        <v>7391</v>
      </c>
      <c r="I47" s="2">
        <v>973892</v>
      </c>
      <c r="J47" s="2">
        <v>1553848</v>
      </c>
      <c r="K47" s="2">
        <v>126818</v>
      </c>
      <c r="L47" s="2">
        <v>70646</v>
      </c>
      <c r="M47" s="2">
        <v>617135</v>
      </c>
      <c r="N47" s="2">
        <v>890036</v>
      </c>
      <c r="O47" s="2">
        <v>174448</v>
      </c>
      <c r="P47" s="2">
        <v>180728</v>
      </c>
      <c r="S47" s="48">
        <v>2100803</v>
      </c>
      <c r="T47" s="49">
        <v>2887013</v>
      </c>
      <c r="U47" s="49">
        <v>139625</v>
      </c>
      <c r="V47" s="49">
        <v>184364</v>
      </c>
      <c r="W47" s="49">
        <v>68885</v>
      </c>
      <c r="X47" s="49">
        <v>7391</v>
      </c>
      <c r="Y47" s="49">
        <v>973892</v>
      </c>
      <c r="Z47" s="49">
        <v>1553848</v>
      </c>
      <c r="AA47" s="48">
        <v>126818</v>
      </c>
      <c r="AB47" s="49">
        <v>70646</v>
      </c>
      <c r="AC47" s="49">
        <v>617135</v>
      </c>
      <c r="AD47" s="49">
        <v>890036</v>
      </c>
      <c r="AE47" s="49">
        <v>174448</v>
      </c>
      <c r="AF47" s="49">
        <v>180728</v>
      </c>
      <c r="AH47" s="56">
        <f t="shared" si="1"/>
        <v>0</v>
      </c>
      <c r="AI47" s="56">
        <f t="shared" si="2"/>
        <v>0</v>
      </c>
      <c r="AJ47" s="56">
        <f t="shared" si="3"/>
        <v>0</v>
      </c>
      <c r="AK47" s="56">
        <f t="shared" si="4"/>
        <v>0</v>
      </c>
      <c r="AL47" s="56">
        <f t="shared" si="5"/>
        <v>0</v>
      </c>
      <c r="AM47" s="56">
        <f t="shared" si="6"/>
        <v>0</v>
      </c>
      <c r="AN47" s="56">
        <f t="shared" si="7"/>
        <v>0</v>
      </c>
      <c r="AO47" s="56">
        <f t="shared" si="8"/>
        <v>0</v>
      </c>
      <c r="AP47" s="56">
        <f t="shared" si="9"/>
        <v>0</v>
      </c>
      <c r="AQ47" s="56">
        <f t="shared" si="10"/>
        <v>0</v>
      </c>
      <c r="AR47" s="56">
        <f t="shared" si="11"/>
        <v>0</v>
      </c>
      <c r="AS47" s="56">
        <f t="shared" si="12"/>
        <v>0</v>
      </c>
      <c r="AT47" s="56">
        <f t="shared" si="13"/>
        <v>0</v>
      </c>
      <c r="AU47" s="56">
        <f t="shared" si="14"/>
        <v>0</v>
      </c>
    </row>
    <row r="48" spans="1:47" s="21" customFormat="1" ht="39">
      <c r="A48" s="18" t="s">
        <v>130</v>
      </c>
      <c r="B48" s="22" t="s">
        <v>81</v>
      </c>
      <c r="C48" s="20">
        <v>8767322</v>
      </c>
      <c r="D48" s="20">
        <v>15821993</v>
      </c>
      <c r="E48" s="20">
        <v>1090999</v>
      </c>
      <c r="F48" s="20">
        <v>3251803</v>
      </c>
      <c r="G48" s="20">
        <v>3722</v>
      </c>
      <c r="H48" s="20">
        <v>76622</v>
      </c>
      <c r="I48" s="20">
        <v>3811888</v>
      </c>
      <c r="J48" s="20">
        <v>6749537</v>
      </c>
      <c r="K48" s="20">
        <v>880</v>
      </c>
      <c r="L48" s="20">
        <v>328188</v>
      </c>
      <c r="M48" s="20">
        <v>3827381</v>
      </c>
      <c r="N48" s="20">
        <v>5384045</v>
      </c>
      <c r="O48" s="20">
        <v>32452</v>
      </c>
      <c r="P48" s="20">
        <v>31798</v>
      </c>
      <c r="S48" s="46">
        <v>8767322</v>
      </c>
      <c r="T48" s="47">
        <v>15821993</v>
      </c>
      <c r="U48" s="47">
        <v>1090999</v>
      </c>
      <c r="V48" s="47">
        <v>3251803</v>
      </c>
      <c r="W48" s="47">
        <v>3722</v>
      </c>
      <c r="X48" s="47">
        <v>76622</v>
      </c>
      <c r="Y48" s="47">
        <v>3811888</v>
      </c>
      <c r="Z48" s="47">
        <v>6749537</v>
      </c>
      <c r="AA48" s="46">
        <v>880</v>
      </c>
      <c r="AB48" s="47">
        <v>328188</v>
      </c>
      <c r="AC48" s="47">
        <v>3827381</v>
      </c>
      <c r="AD48" s="47">
        <v>5384045</v>
      </c>
      <c r="AE48" s="47">
        <v>32452</v>
      </c>
      <c r="AF48" s="47">
        <v>31798</v>
      </c>
      <c r="AH48" s="56">
        <f t="shared" si="1"/>
        <v>0</v>
      </c>
      <c r="AI48" s="56">
        <f t="shared" si="2"/>
        <v>0</v>
      </c>
      <c r="AJ48" s="56">
        <f t="shared" si="3"/>
        <v>0</v>
      </c>
      <c r="AK48" s="56">
        <f t="shared" si="4"/>
        <v>0</v>
      </c>
      <c r="AL48" s="56">
        <f t="shared" si="5"/>
        <v>0</v>
      </c>
      <c r="AM48" s="56">
        <f t="shared" si="6"/>
        <v>0</v>
      </c>
      <c r="AN48" s="56">
        <f t="shared" si="7"/>
        <v>0</v>
      </c>
      <c r="AO48" s="56">
        <f t="shared" si="8"/>
        <v>0</v>
      </c>
      <c r="AP48" s="56">
        <f t="shared" si="9"/>
        <v>0</v>
      </c>
      <c r="AQ48" s="56">
        <f t="shared" si="10"/>
        <v>0</v>
      </c>
      <c r="AR48" s="56">
        <f t="shared" si="11"/>
        <v>0</v>
      </c>
      <c r="AS48" s="56">
        <f t="shared" si="12"/>
        <v>0</v>
      </c>
      <c r="AT48" s="56">
        <f t="shared" si="13"/>
        <v>0</v>
      </c>
      <c r="AU48" s="56">
        <f t="shared" si="14"/>
        <v>0</v>
      </c>
    </row>
    <row r="49" spans="1:47" ht="26.25">
      <c r="A49" s="16" t="s">
        <v>82</v>
      </c>
      <c r="B49" s="17" t="s">
        <v>83</v>
      </c>
      <c r="C49" s="2" t="s">
        <v>33</v>
      </c>
      <c r="D49" s="2">
        <v>35</v>
      </c>
      <c r="E49" s="2" t="s">
        <v>33</v>
      </c>
      <c r="F49" s="2" t="s">
        <v>33</v>
      </c>
      <c r="G49" s="2" t="s">
        <v>33</v>
      </c>
      <c r="H49" s="2" t="s">
        <v>33</v>
      </c>
      <c r="I49" s="2" t="s">
        <v>33</v>
      </c>
      <c r="J49" s="2" t="s">
        <v>33</v>
      </c>
      <c r="K49" s="2" t="s">
        <v>33</v>
      </c>
      <c r="L49" s="2" t="s">
        <v>33</v>
      </c>
      <c r="M49" s="2" t="s">
        <v>33</v>
      </c>
      <c r="N49" s="2">
        <v>35</v>
      </c>
      <c r="O49" s="2" t="s">
        <v>33</v>
      </c>
      <c r="P49" s="2" t="s">
        <v>33</v>
      </c>
      <c r="S49" s="48" t="s">
        <v>33</v>
      </c>
      <c r="T49" s="49">
        <v>35</v>
      </c>
      <c r="U49" s="49" t="s">
        <v>33</v>
      </c>
      <c r="V49" s="49" t="s">
        <v>33</v>
      </c>
      <c r="W49" s="49" t="s">
        <v>33</v>
      </c>
      <c r="X49" s="49" t="s">
        <v>33</v>
      </c>
      <c r="Y49" s="49" t="s">
        <v>33</v>
      </c>
      <c r="Z49" s="49" t="s">
        <v>33</v>
      </c>
      <c r="AA49" s="48" t="s">
        <v>33</v>
      </c>
      <c r="AB49" s="49" t="s">
        <v>33</v>
      </c>
      <c r="AC49" s="49" t="s">
        <v>33</v>
      </c>
      <c r="AD49" s="49">
        <v>35</v>
      </c>
      <c r="AE49" s="49" t="s">
        <v>33</v>
      </c>
      <c r="AF49" s="49" t="s">
        <v>33</v>
      </c>
      <c r="AH49" s="56" t="e">
        <f t="shared" si="1"/>
        <v>#VALUE!</v>
      </c>
      <c r="AI49" s="56">
        <f t="shared" si="2"/>
        <v>0</v>
      </c>
      <c r="AJ49" s="56" t="e">
        <f t="shared" si="3"/>
        <v>#VALUE!</v>
      </c>
      <c r="AK49" s="56" t="e">
        <f t="shared" si="4"/>
        <v>#VALUE!</v>
      </c>
      <c r="AL49" s="56" t="e">
        <f t="shared" si="5"/>
        <v>#VALUE!</v>
      </c>
      <c r="AM49" s="56" t="e">
        <f t="shared" si="6"/>
        <v>#VALUE!</v>
      </c>
      <c r="AN49" s="56" t="e">
        <f t="shared" si="7"/>
        <v>#VALUE!</v>
      </c>
      <c r="AO49" s="56" t="e">
        <f t="shared" si="8"/>
        <v>#VALUE!</v>
      </c>
      <c r="AP49" s="56" t="e">
        <f t="shared" si="9"/>
        <v>#VALUE!</v>
      </c>
      <c r="AQ49" s="56" t="e">
        <f t="shared" si="10"/>
        <v>#VALUE!</v>
      </c>
      <c r="AR49" s="56" t="e">
        <f t="shared" si="11"/>
        <v>#VALUE!</v>
      </c>
      <c r="AS49" s="56">
        <f t="shared" si="12"/>
        <v>0</v>
      </c>
      <c r="AT49" s="56" t="e">
        <f t="shared" si="13"/>
        <v>#VALUE!</v>
      </c>
      <c r="AU49" s="56" t="e">
        <f t="shared" si="14"/>
        <v>#VALUE!</v>
      </c>
    </row>
    <row r="50" spans="1:47" ht="39">
      <c r="A50" s="16" t="s">
        <v>84</v>
      </c>
      <c r="B50" s="17" t="s">
        <v>85</v>
      </c>
      <c r="C50" s="2">
        <v>6323011</v>
      </c>
      <c r="D50" s="2">
        <v>7023126</v>
      </c>
      <c r="E50" s="2">
        <v>99935</v>
      </c>
      <c r="F50" s="2">
        <v>7184</v>
      </c>
      <c r="G50" s="2">
        <v>3</v>
      </c>
      <c r="H50" s="2">
        <v>3</v>
      </c>
      <c r="I50" s="2">
        <v>3090874</v>
      </c>
      <c r="J50" s="2">
        <v>4040604</v>
      </c>
      <c r="K50" s="2" t="s">
        <v>33</v>
      </c>
      <c r="L50" s="2">
        <v>11400</v>
      </c>
      <c r="M50" s="2">
        <v>3117789</v>
      </c>
      <c r="N50" s="2">
        <v>2961191</v>
      </c>
      <c r="O50" s="2">
        <v>14410</v>
      </c>
      <c r="P50" s="2">
        <v>2744</v>
      </c>
      <c r="S50" s="48">
        <v>6323011</v>
      </c>
      <c r="T50" s="49">
        <v>7023126</v>
      </c>
      <c r="U50" s="49">
        <v>99935</v>
      </c>
      <c r="V50" s="49">
        <v>7184</v>
      </c>
      <c r="W50" s="49">
        <v>3</v>
      </c>
      <c r="X50" s="49">
        <v>3</v>
      </c>
      <c r="Y50" s="49">
        <v>3090874</v>
      </c>
      <c r="Z50" s="49">
        <v>4040604</v>
      </c>
      <c r="AA50" s="48" t="s">
        <v>33</v>
      </c>
      <c r="AB50" s="49">
        <v>11400</v>
      </c>
      <c r="AC50" s="49">
        <v>3117789</v>
      </c>
      <c r="AD50" s="49">
        <v>2961191</v>
      </c>
      <c r="AE50" s="49">
        <v>14410</v>
      </c>
      <c r="AF50" s="49">
        <v>2744</v>
      </c>
      <c r="AH50" s="56">
        <f t="shared" si="1"/>
        <v>0</v>
      </c>
      <c r="AI50" s="56">
        <f t="shared" si="2"/>
        <v>0</v>
      </c>
      <c r="AJ50" s="56">
        <f t="shared" si="3"/>
        <v>0</v>
      </c>
      <c r="AK50" s="56">
        <f t="shared" si="4"/>
        <v>0</v>
      </c>
      <c r="AL50" s="56">
        <f t="shared" si="5"/>
        <v>0</v>
      </c>
      <c r="AM50" s="56">
        <f t="shared" si="6"/>
        <v>0</v>
      </c>
      <c r="AN50" s="56">
        <f t="shared" si="7"/>
        <v>0</v>
      </c>
      <c r="AO50" s="56">
        <f t="shared" si="8"/>
        <v>0</v>
      </c>
      <c r="AP50" s="56" t="e">
        <f t="shared" si="9"/>
        <v>#VALUE!</v>
      </c>
      <c r="AQ50" s="56">
        <f t="shared" si="10"/>
        <v>0</v>
      </c>
      <c r="AR50" s="56">
        <f t="shared" si="11"/>
        <v>0</v>
      </c>
      <c r="AS50" s="56">
        <f t="shared" si="12"/>
        <v>0</v>
      </c>
      <c r="AT50" s="56">
        <f t="shared" si="13"/>
        <v>0</v>
      </c>
      <c r="AU50" s="56">
        <f t="shared" si="14"/>
        <v>0</v>
      </c>
    </row>
    <row r="51" spans="1:47" ht="64.5">
      <c r="A51" s="16" t="s">
        <v>86</v>
      </c>
      <c r="B51" s="17" t="s">
        <v>87</v>
      </c>
      <c r="C51" s="2">
        <v>2443457</v>
      </c>
      <c r="D51" s="2">
        <v>8798420</v>
      </c>
      <c r="E51" s="2">
        <v>990877</v>
      </c>
      <c r="F51" s="2">
        <v>3244406</v>
      </c>
      <c r="G51" s="2">
        <v>3719</v>
      </c>
      <c r="H51" s="2">
        <v>76619</v>
      </c>
      <c r="I51" s="2">
        <v>720415</v>
      </c>
      <c r="J51" s="2">
        <v>2708760</v>
      </c>
      <c r="K51" s="2">
        <v>880</v>
      </c>
      <c r="L51" s="2">
        <v>316788</v>
      </c>
      <c r="M51" s="2">
        <v>709535</v>
      </c>
      <c r="N51" s="2">
        <v>2422793</v>
      </c>
      <c r="O51" s="2">
        <v>18031</v>
      </c>
      <c r="P51" s="2">
        <v>29054</v>
      </c>
      <c r="S51" s="48">
        <v>2443457</v>
      </c>
      <c r="T51" s="49">
        <v>8798420</v>
      </c>
      <c r="U51" s="49">
        <v>990877</v>
      </c>
      <c r="V51" s="49">
        <v>3244406</v>
      </c>
      <c r="W51" s="49">
        <v>3719</v>
      </c>
      <c r="X51" s="49">
        <v>76619</v>
      </c>
      <c r="Y51" s="49">
        <v>720415</v>
      </c>
      <c r="Z51" s="49">
        <v>2708760</v>
      </c>
      <c r="AA51" s="48">
        <v>880</v>
      </c>
      <c r="AB51" s="49">
        <v>316788</v>
      </c>
      <c r="AC51" s="49">
        <v>709535</v>
      </c>
      <c r="AD51" s="49">
        <v>2422793</v>
      </c>
      <c r="AE51" s="49">
        <v>18031</v>
      </c>
      <c r="AF51" s="49">
        <v>29054</v>
      </c>
      <c r="AH51" s="56">
        <f t="shared" si="1"/>
        <v>0</v>
      </c>
      <c r="AI51" s="56">
        <f t="shared" si="2"/>
        <v>0</v>
      </c>
      <c r="AJ51" s="56">
        <f t="shared" si="3"/>
        <v>0</v>
      </c>
      <c r="AK51" s="56">
        <f t="shared" si="4"/>
        <v>0</v>
      </c>
      <c r="AL51" s="56">
        <f t="shared" si="5"/>
        <v>0</v>
      </c>
      <c r="AM51" s="56">
        <f t="shared" si="6"/>
        <v>0</v>
      </c>
      <c r="AN51" s="56">
        <f t="shared" si="7"/>
        <v>0</v>
      </c>
      <c r="AO51" s="56">
        <f t="shared" si="8"/>
        <v>0</v>
      </c>
      <c r="AP51" s="56">
        <f t="shared" si="9"/>
        <v>0</v>
      </c>
      <c r="AQ51" s="56">
        <f t="shared" si="10"/>
        <v>0</v>
      </c>
      <c r="AR51" s="56">
        <f t="shared" si="11"/>
        <v>0</v>
      </c>
      <c r="AS51" s="56">
        <f t="shared" si="12"/>
        <v>0</v>
      </c>
      <c r="AT51" s="56">
        <f t="shared" si="13"/>
        <v>0</v>
      </c>
      <c r="AU51" s="56">
        <f t="shared" si="14"/>
        <v>0</v>
      </c>
    </row>
    <row r="52" spans="1:47" ht="27" thickBot="1">
      <c r="A52" s="16" t="s">
        <v>88</v>
      </c>
      <c r="B52" s="17" t="s">
        <v>89</v>
      </c>
      <c r="C52" s="2">
        <v>854</v>
      </c>
      <c r="D52" s="2">
        <v>412</v>
      </c>
      <c r="E52" s="2">
        <v>187</v>
      </c>
      <c r="F52" s="2">
        <v>213</v>
      </c>
      <c r="G52" s="2" t="s">
        <v>33</v>
      </c>
      <c r="H52" s="2" t="s">
        <v>33</v>
      </c>
      <c r="I52" s="2">
        <v>599</v>
      </c>
      <c r="J52" s="2">
        <v>173</v>
      </c>
      <c r="K52" s="2" t="s">
        <v>33</v>
      </c>
      <c r="L52" s="2" t="s">
        <v>33</v>
      </c>
      <c r="M52" s="2">
        <v>57</v>
      </c>
      <c r="N52" s="2">
        <v>26</v>
      </c>
      <c r="O52" s="2">
        <v>11</v>
      </c>
      <c r="P52" s="2" t="s">
        <v>33</v>
      </c>
      <c r="S52" s="48">
        <v>854</v>
      </c>
      <c r="T52" s="49">
        <v>412</v>
      </c>
      <c r="U52" s="49">
        <v>187</v>
      </c>
      <c r="V52" s="49">
        <v>213</v>
      </c>
      <c r="W52" s="49" t="s">
        <v>33</v>
      </c>
      <c r="X52" s="49" t="s">
        <v>33</v>
      </c>
      <c r="Y52" s="49">
        <v>599</v>
      </c>
      <c r="Z52" s="49">
        <v>173</v>
      </c>
      <c r="AA52" s="48" t="s">
        <v>33</v>
      </c>
      <c r="AB52" s="49" t="s">
        <v>33</v>
      </c>
      <c r="AC52" s="49">
        <v>57</v>
      </c>
      <c r="AD52" s="49">
        <v>26</v>
      </c>
      <c r="AE52" s="49">
        <v>11</v>
      </c>
      <c r="AF52" s="49" t="s">
        <v>33</v>
      </c>
      <c r="AH52" s="56">
        <f t="shared" si="1"/>
        <v>0</v>
      </c>
      <c r="AI52" s="56">
        <f t="shared" si="2"/>
        <v>0</v>
      </c>
      <c r="AJ52" s="56">
        <f t="shared" si="3"/>
        <v>0</v>
      </c>
      <c r="AK52" s="56">
        <f t="shared" si="4"/>
        <v>0</v>
      </c>
      <c r="AL52" s="56" t="e">
        <f t="shared" si="5"/>
        <v>#VALUE!</v>
      </c>
      <c r="AM52" s="56" t="e">
        <f t="shared" si="6"/>
        <v>#VALUE!</v>
      </c>
      <c r="AN52" s="56">
        <f t="shared" si="7"/>
        <v>0</v>
      </c>
      <c r="AO52" s="56">
        <f t="shared" si="8"/>
        <v>0</v>
      </c>
      <c r="AP52" s="56" t="e">
        <f t="shared" si="9"/>
        <v>#VALUE!</v>
      </c>
      <c r="AQ52" s="56" t="e">
        <f t="shared" si="10"/>
        <v>#VALUE!</v>
      </c>
      <c r="AR52" s="56">
        <f t="shared" si="11"/>
        <v>0</v>
      </c>
      <c r="AS52" s="56">
        <f t="shared" si="12"/>
        <v>0</v>
      </c>
      <c r="AT52" s="56">
        <f t="shared" si="13"/>
        <v>0</v>
      </c>
      <c r="AU52" s="56" t="e">
        <f t="shared" si="14"/>
        <v>#VALUE!</v>
      </c>
    </row>
    <row r="53" spans="1:47" s="21" customFormat="1" ht="51.75">
      <c r="A53" s="18" t="s">
        <v>131</v>
      </c>
      <c r="B53" s="22" t="s">
        <v>90</v>
      </c>
      <c r="C53" s="20">
        <v>391220</v>
      </c>
      <c r="D53" s="20">
        <v>403902</v>
      </c>
      <c r="E53" s="20">
        <v>166287</v>
      </c>
      <c r="F53" s="20">
        <v>107527</v>
      </c>
      <c r="G53" s="20">
        <v>79</v>
      </c>
      <c r="H53" s="20">
        <v>2</v>
      </c>
      <c r="I53" s="20">
        <v>103789</v>
      </c>
      <c r="J53" s="20">
        <v>211804</v>
      </c>
      <c r="K53" s="20" t="s">
        <v>33</v>
      </c>
      <c r="L53" s="20" t="s">
        <v>33</v>
      </c>
      <c r="M53" s="20">
        <v>89037</v>
      </c>
      <c r="N53" s="20">
        <v>78367</v>
      </c>
      <c r="O53" s="20">
        <v>32028</v>
      </c>
      <c r="P53" s="20">
        <v>6202</v>
      </c>
      <c r="S53" s="52">
        <v>391220</v>
      </c>
      <c r="T53" s="53">
        <v>403902</v>
      </c>
      <c r="U53" s="53">
        <v>166287</v>
      </c>
      <c r="V53" s="53">
        <v>107527</v>
      </c>
      <c r="W53" s="53">
        <v>79</v>
      </c>
      <c r="X53" s="53">
        <v>2</v>
      </c>
      <c r="Y53" s="53">
        <v>103789</v>
      </c>
      <c r="Z53" s="53">
        <v>211804</v>
      </c>
      <c r="AA53" s="44" t="s">
        <v>33</v>
      </c>
      <c r="AB53" s="45" t="s">
        <v>33</v>
      </c>
      <c r="AC53" s="45">
        <v>89037</v>
      </c>
      <c r="AD53" s="45">
        <v>78367</v>
      </c>
      <c r="AE53" s="45">
        <v>32028</v>
      </c>
      <c r="AF53" s="45">
        <v>6202</v>
      </c>
      <c r="AH53" s="56">
        <f t="shared" si="1"/>
        <v>0</v>
      </c>
      <c r="AI53" s="56">
        <f t="shared" si="2"/>
        <v>0</v>
      </c>
      <c r="AJ53" s="56">
        <f t="shared" si="3"/>
        <v>0</v>
      </c>
      <c r="AK53" s="56">
        <f t="shared" si="4"/>
        <v>0</v>
      </c>
      <c r="AL53" s="56">
        <f t="shared" si="5"/>
        <v>0</v>
      </c>
      <c r="AM53" s="56">
        <f t="shared" si="6"/>
        <v>0</v>
      </c>
      <c r="AN53" s="56">
        <f t="shared" si="7"/>
        <v>0</v>
      </c>
      <c r="AO53" s="56">
        <f t="shared" si="8"/>
        <v>0</v>
      </c>
      <c r="AP53" s="56" t="e">
        <f t="shared" si="9"/>
        <v>#VALUE!</v>
      </c>
      <c r="AQ53" s="56" t="e">
        <f t="shared" si="10"/>
        <v>#VALUE!</v>
      </c>
      <c r="AR53" s="56">
        <f t="shared" si="11"/>
        <v>0</v>
      </c>
      <c r="AS53" s="56">
        <f t="shared" si="12"/>
        <v>0</v>
      </c>
      <c r="AT53" s="56">
        <f t="shared" si="13"/>
        <v>0</v>
      </c>
      <c r="AU53" s="56">
        <f t="shared" si="14"/>
        <v>0</v>
      </c>
    </row>
    <row r="54" spans="1:47" ht="15.75">
      <c r="A54" s="16" t="s">
        <v>91</v>
      </c>
      <c r="B54" s="17" t="s">
        <v>92</v>
      </c>
      <c r="C54" s="2">
        <v>157086</v>
      </c>
      <c r="D54" s="2">
        <v>154482</v>
      </c>
      <c r="E54" s="2">
        <v>25100</v>
      </c>
      <c r="F54" s="2">
        <v>25913</v>
      </c>
      <c r="G54" s="2" t="s">
        <v>33</v>
      </c>
      <c r="H54" s="2" t="s">
        <v>33</v>
      </c>
      <c r="I54" s="2">
        <v>43944</v>
      </c>
      <c r="J54" s="2">
        <v>53779</v>
      </c>
      <c r="K54" s="2" t="s">
        <v>33</v>
      </c>
      <c r="L54" s="2" t="s">
        <v>33</v>
      </c>
      <c r="M54" s="2">
        <v>88042</v>
      </c>
      <c r="N54" s="2">
        <v>74790</v>
      </c>
      <c r="O54" s="2" t="s">
        <v>33</v>
      </c>
      <c r="P54" s="2" t="s">
        <v>33</v>
      </c>
      <c r="S54" s="54">
        <v>157086</v>
      </c>
      <c r="T54" s="55">
        <v>154482</v>
      </c>
      <c r="U54" s="55">
        <v>25100</v>
      </c>
      <c r="V54" s="55">
        <v>25913</v>
      </c>
      <c r="W54" s="55" t="s">
        <v>33</v>
      </c>
      <c r="X54" s="55" t="s">
        <v>33</v>
      </c>
      <c r="Y54" s="55">
        <v>43944</v>
      </c>
      <c r="Z54" s="55">
        <v>53779</v>
      </c>
      <c r="AA54" s="48" t="s">
        <v>33</v>
      </c>
      <c r="AB54" s="49" t="s">
        <v>33</v>
      </c>
      <c r="AC54" s="49">
        <v>88042</v>
      </c>
      <c r="AD54" s="49">
        <v>74790</v>
      </c>
      <c r="AE54" s="49" t="s">
        <v>33</v>
      </c>
      <c r="AF54" s="49" t="s">
        <v>33</v>
      </c>
      <c r="AH54" s="56">
        <f t="shared" si="1"/>
        <v>0</v>
      </c>
      <c r="AI54" s="56">
        <f t="shared" si="2"/>
        <v>0</v>
      </c>
      <c r="AJ54" s="56">
        <f t="shared" si="3"/>
        <v>0</v>
      </c>
      <c r="AK54" s="56">
        <f t="shared" si="4"/>
        <v>0</v>
      </c>
      <c r="AL54" s="56" t="e">
        <f t="shared" si="5"/>
        <v>#VALUE!</v>
      </c>
      <c r="AM54" s="56" t="e">
        <f t="shared" si="6"/>
        <v>#VALUE!</v>
      </c>
      <c r="AN54" s="56">
        <f t="shared" si="7"/>
        <v>0</v>
      </c>
      <c r="AO54" s="56">
        <f t="shared" si="8"/>
        <v>0</v>
      </c>
      <c r="AP54" s="56" t="e">
        <f t="shared" si="9"/>
        <v>#VALUE!</v>
      </c>
      <c r="AQ54" s="56" t="e">
        <f t="shared" si="10"/>
        <v>#VALUE!</v>
      </c>
      <c r="AR54" s="56">
        <f t="shared" si="11"/>
        <v>0</v>
      </c>
      <c r="AS54" s="56">
        <f t="shared" si="12"/>
        <v>0</v>
      </c>
      <c r="AT54" s="56" t="e">
        <f t="shared" si="13"/>
        <v>#VALUE!</v>
      </c>
      <c r="AU54" s="56" t="e">
        <f t="shared" si="14"/>
        <v>#VALUE!</v>
      </c>
    </row>
    <row r="55" spans="1:47" ht="51.75">
      <c r="A55" s="16" t="s">
        <v>93</v>
      </c>
      <c r="B55" s="17" t="s">
        <v>94</v>
      </c>
      <c r="C55" s="2">
        <v>16157</v>
      </c>
      <c r="D55" s="2">
        <v>18022</v>
      </c>
      <c r="E55" s="2">
        <v>141</v>
      </c>
      <c r="F55" s="2">
        <v>572</v>
      </c>
      <c r="G55" s="2">
        <v>73</v>
      </c>
      <c r="H55" s="2" t="s">
        <v>33</v>
      </c>
      <c r="I55" s="2">
        <v>15940</v>
      </c>
      <c r="J55" s="2">
        <v>17391</v>
      </c>
      <c r="K55" s="2" t="s">
        <v>33</v>
      </c>
      <c r="L55" s="2" t="s">
        <v>33</v>
      </c>
      <c r="M55" s="2">
        <v>3</v>
      </c>
      <c r="N55" s="2">
        <v>59</v>
      </c>
      <c r="O55" s="2" t="s">
        <v>33</v>
      </c>
      <c r="P55" s="2" t="s">
        <v>33</v>
      </c>
      <c r="S55" s="54">
        <v>16157</v>
      </c>
      <c r="T55" s="55">
        <v>18022</v>
      </c>
      <c r="U55" s="55">
        <v>141</v>
      </c>
      <c r="V55" s="55">
        <v>572</v>
      </c>
      <c r="W55" s="55">
        <v>73</v>
      </c>
      <c r="X55" s="55" t="s">
        <v>33</v>
      </c>
      <c r="Y55" s="55">
        <v>15940</v>
      </c>
      <c r="Z55" s="55">
        <v>17391</v>
      </c>
      <c r="AA55" s="48" t="s">
        <v>33</v>
      </c>
      <c r="AB55" s="49" t="s">
        <v>33</v>
      </c>
      <c r="AC55" s="49">
        <v>3</v>
      </c>
      <c r="AD55" s="49">
        <v>59</v>
      </c>
      <c r="AE55" s="49" t="s">
        <v>33</v>
      </c>
      <c r="AF55" s="49" t="s">
        <v>33</v>
      </c>
      <c r="AH55" s="56">
        <f t="shared" si="1"/>
        <v>0</v>
      </c>
      <c r="AI55" s="56">
        <f t="shared" si="2"/>
        <v>0</v>
      </c>
      <c r="AJ55" s="56">
        <f t="shared" si="3"/>
        <v>0</v>
      </c>
      <c r="AK55" s="56">
        <f t="shared" si="4"/>
        <v>0</v>
      </c>
      <c r="AL55" s="56">
        <f t="shared" si="5"/>
        <v>0</v>
      </c>
      <c r="AM55" s="56" t="e">
        <f t="shared" si="6"/>
        <v>#VALUE!</v>
      </c>
      <c r="AN55" s="56">
        <f t="shared" si="7"/>
        <v>0</v>
      </c>
      <c r="AO55" s="56">
        <f t="shared" si="8"/>
        <v>0</v>
      </c>
      <c r="AP55" s="56" t="e">
        <f t="shared" si="9"/>
        <v>#VALUE!</v>
      </c>
      <c r="AQ55" s="56" t="e">
        <f t="shared" si="10"/>
        <v>#VALUE!</v>
      </c>
      <c r="AR55" s="56">
        <f t="shared" si="11"/>
        <v>0</v>
      </c>
      <c r="AS55" s="56">
        <f t="shared" si="12"/>
        <v>0</v>
      </c>
      <c r="AT55" s="56" t="e">
        <f t="shared" si="13"/>
        <v>#VALUE!</v>
      </c>
      <c r="AU55" s="56" t="e">
        <f t="shared" si="14"/>
        <v>#VALUE!</v>
      </c>
    </row>
    <row r="56" spans="1:47" ht="26.25">
      <c r="A56" s="16" t="s">
        <v>95</v>
      </c>
      <c r="B56" s="17" t="s">
        <v>96</v>
      </c>
      <c r="C56" s="2">
        <v>216749</v>
      </c>
      <c r="D56" s="2">
        <v>229697</v>
      </c>
      <c r="E56" s="2">
        <v>140800</v>
      </c>
      <c r="F56" s="2">
        <v>80907</v>
      </c>
      <c r="G56" s="2">
        <v>6</v>
      </c>
      <c r="H56" s="2">
        <v>2</v>
      </c>
      <c r="I56" s="2">
        <v>43456</v>
      </c>
      <c r="J56" s="2">
        <v>140209</v>
      </c>
      <c r="K56" s="2" t="s">
        <v>33</v>
      </c>
      <c r="L56" s="2" t="s">
        <v>33</v>
      </c>
      <c r="M56" s="2">
        <v>459</v>
      </c>
      <c r="N56" s="2">
        <v>2377</v>
      </c>
      <c r="O56" s="2">
        <v>32028</v>
      </c>
      <c r="P56" s="2">
        <v>6202</v>
      </c>
      <c r="S56" s="54">
        <v>216749</v>
      </c>
      <c r="T56" s="55">
        <v>229697</v>
      </c>
      <c r="U56" s="55">
        <v>140800</v>
      </c>
      <c r="V56" s="55">
        <v>80907</v>
      </c>
      <c r="W56" s="55">
        <v>6</v>
      </c>
      <c r="X56" s="55">
        <v>2</v>
      </c>
      <c r="Y56" s="55">
        <v>43456</v>
      </c>
      <c r="Z56" s="55">
        <v>140209</v>
      </c>
      <c r="AA56" s="48" t="s">
        <v>33</v>
      </c>
      <c r="AB56" s="49" t="s">
        <v>33</v>
      </c>
      <c r="AC56" s="49">
        <v>459</v>
      </c>
      <c r="AD56" s="49">
        <v>2377</v>
      </c>
      <c r="AE56" s="49">
        <v>32028</v>
      </c>
      <c r="AF56" s="49">
        <v>6202</v>
      </c>
      <c r="AH56" s="56">
        <f t="shared" si="1"/>
        <v>0</v>
      </c>
      <c r="AI56" s="56">
        <f t="shared" si="2"/>
        <v>0</v>
      </c>
      <c r="AJ56" s="56">
        <f t="shared" si="3"/>
        <v>0</v>
      </c>
      <c r="AK56" s="56">
        <f t="shared" si="4"/>
        <v>0</v>
      </c>
      <c r="AL56" s="56">
        <f t="shared" si="5"/>
        <v>0</v>
      </c>
      <c r="AM56" s="56">
        <f t="shared" si="6"/>
        <v>0</v>
      </c>
      <c r="AN56" s="56">
        <f t="shared" si="7"/>
        <v>0</v>
      </c>
      <c r="AO56" s="56">
        <f t="shared" si="8"/>
        <v>0</v>
      </c>
      <c r="AP56" s="56" t="e">
        <f t="shared" si="9"/>
        <v>#VALUE!</v>
      </c>
      <c r="AQ56" s="56" t="e">
        <f t="shared" si="10"/>
        <v>#VALUE!</v>
      </c>
      <c r="AR56" s="56">
        <f t="shared" si="11"/>
        <v>0</v>
      </c>
      <c r="AS56" s="56">
        <f t="shared" si="12"/>
        <v>0</v>
      </c>
      <c r="AT56" s="56">
        <f t="shared" si="13"/>
        <v>0</v>
      </c>
      <c r="AU56" s="56">
        <f t="shared" si="14"/>
        <v>0</v>
      </c>
    </row>
    <row r="57" spans="1:47" ht="90.75" thickBot="1">
      <c r="A57" s="16" t="s">
        <v>97</v>
      </c>
      <c r="B57" s="17" t="s">
        <v>98</v>
      </c>
      <c r="C57" s="2">
        <v>1228</v>
      </c>
      <c r="D57" s="2">
        <v>1701</v>
      </c>
      <c r="E57" s="2">
        <v>246</v>
      </c>
      <c r="F57" s="2">
        <v>135</v>
      </c>
      <c r="G57" s="2" t="s">
        <v>33</v>
      </c>
      <c r="H57" s="2" t="s">
        <v>33</v>
      </c>
      <c r="I57" s="2">
        <v>449</v>
      </c>
      <c r="J57" s="2">
        <v>425</v>
      </c>
      <c r="K57" s="2" t="s">
        <v>33</v>
      </c>
      <c r="L57" s="2" t="s">
        <v>33</v>
      </c>
      <c r="M57" s="2">
        <v>533</v>
      </c>
      <c r="N57" s="2">
        <v>1141</v>
      </c>
      <c r="O57" s="2" t="s">
        <v>33</v>
      </c>
      <c r="P57" s="2" t="s">
        <v>33</v>
      </c>
      <c r="S57" s="54">
        <v>1228</v>
      </c>
      <c r="T57" s="55">
        <v>1701</v>
      </c>
      <c r="U57" s="55">
        <v>246</v>
      </c>
      <c r="V57" s="55">
        <v>135</v>
      </c>
      <c r="W57" s="55" t="s">
        <v>33</v>
      </c>
      <c r="X57" s="55" t="s">
        <v>33</v>
      </c>
      <c r="Y57" s="55">
        <v>449</v>
      </c>
      <c r="Z57" s="55">
        <v>425</v>
      </c>
      <c r="AA57" s="48" t="s">
        <v>33</v>
      </c>
      <c r="AB57" s="49" t="s">
        <v>33</v>
      </c>
      <c r="AC57" s="49">
        <v>533</v>
      </c>
      <c r="AD57" s="49">
        <v>1141</v>
      </c>
      <c r="AE57" s="49" t="s">
        <v>33</v>
      </c>
      <c r="AF57" s="49" t="s">
        <v>33</v>
      </c>
      <c r="AH57" s="56">
        <f t="shared" si="1"/>
        <v>0</v>
      </c>
      <c r="AI57" s="56">
        <f t="shared" si="2"/>
        <v>0</v>
      </c>
      <c r="AJ57" s="56">
        <f t="shared" si="3"/>
        <v>0</v>
      </c>
      <c r="AK57" s="56">
        <f t="shared" si="4"/>
        <v>0</v>
      </c>
      <c r="AL57" s="56" t="e">
        <f t="shared" si="5"/>
        <v>#VALUE!</v>
      </c>
      <c r="AM57" s="56" t="e">
        <f t="shared" si="6"/>
        <v>#VALUE!</v>
      </c>
      <c r="AN57" s="56">
        <f t="shared" si="7"/>
        <v>0</v>
      </c>
      <c r="AO57" s="56">
        <f t="shared" si="8"/>
        <v>0</v>
      </c>
      <c r="AP57" s="56" t="e">
        <f t="shared" si="9"/>
        <v>#VALUE!</v>
      </c>
      <c r="AQ57" s="56" t="e">
        <f t="shared" si="10"/>
        <v>#VALUE!</v>
      </c>
      <c r="AR57" s="56">
        <f t="shared" si="11"/>
        <v>0</v>
      </c>
      <c r="AS57" s="56">
        <f t="shared" si="12"/>
        <v>0</v>
      </c>
      <c r="AT57" s="56" t="e">
        <f t="shared" si="13"/>
        <v>#VALUE!</v>
      </c>
      <c r="AU57" s="56" t="e">
        <f t="shared" si="14"/>
        <v>#VALUE!</v>
      </c>
    </row>
    <row r="58" spans="1:47" s="21" customFormat="1" ht="64.5">
      <c r="A58" s="18" t="s">
        <v>132</v>
      </c>
      <c r="B58" s="22" t="s">
        <v>99</v>
      </c>
      <c r="C58" s="20">
        <v>17898</v>
      </c>
      <c r="D58" s="20">
        <v>20041</v>
      </c>
      <c r="E58" s="20">
        <v>5072</v>
      </c>
      <c r="F58" s="20">
        <v>3855</v>
      </c>
      <c r="G58" s="20" t="s">
        <v>33</v>
      </c>
      <c r="H58" s="20" t="s">
        <v>33</v>
      </c>
      <c r="I58" s="20">
        <v>578</v>
      </c>
      <c r="J58" s="20">
        <v>724</v>
      </c>
      <c r="K58" s="20" t="s">
        <v>33</v>
      </c>
      <c r="L58" s="20" t="s">
        <v>33</v>
      </c>
      <c r="M58" s="20">
        <v>9036</v>
      </c>
      <c r="N58" s="20">
        <v>14448</v>
      </c>
      <c r="O58" s="20">
        <v>3212</v>
      </c>
      <c r="P58" s="20">
        <v>1014</v>
      </c>
      <c r="S58" s="44">
        <v>17898</v>
      </c>
      <c r="T58" s="45">
        <v>20041</v>
      </c>
      <c r="U58" s="45">
        <v>5072</v>
      </c>
      <c r="V58" s="45">
        <v>3855</v>
      </c>
      <c r="W58" s="45" t="s">
        <v>33</v>
      </c>
      <c r="X58" s="45" t="s">
        <v>33</v>
      </c>
      <c r="Y58" s="45">
        <v>578</v>
      </c>
      <c r="Z58" s="45">
        <v>724</v>
      </c>
      <c r="AA58" s="46" t="s">
        <v>33</v>
      </c>
      <c r="AB58" s="47" t="s">
        <v>33</v>
      </c>
      <c r="AC58" s="47">
        <v>9036</v>
      </c>
      <c r="AD58" s="47">
        <v>14448</v>
      </c>
      <c r="AE58" s="47">
        <v>3212</v>
      </c>
      <c r="AF58" s="47">
        <v>1014</v>
      </c>
      <c r="AH58" s="56">
        <f t="shared" si="1"/>
        <v>0</v>
      </c>
      <c r="AI58" s="56">
        <f t="shared" si="2"/>
        <v>0</v>
      </c>
      <c r="AJ58" s="56">
        <f t="shared" si="3"/>
        <v>0</v>
      </c>
      <c r="AK58" s="56">
        <f t="shared" si="4"/>
        <v>0</v>
      </c>
      <c r="AL58" s="56" t="e">
        <f t="shared" si="5"/>
        <v>#VALUE!</v>
      </c>
      <c r="AM58" s="56" t="e">
        <f t="shared" si="6"/>
        <v>#VALUE!</v>
      </c>
      <c r="AN58" s="56">
        <f t="shared" si="7"/>
        <v>0</v>
      </c>
      <c r="AO58" s="56">
        <f t="shared" si="8"/>
        <v>0</v>
      </c>
      <c r="AP58" s="56" t="e">
        <f t="shared" si="9"/>
        <v>#VALUE!</v>
      </c>
      <c r="AQ58" s="56" t="e">
        <f t="shared" si="10"/>
        <v>#VALUE!</v>
      </c>
      <c r="AR58" s="56">
        <f t="shared" si="11"/>
        <v>0</v>
      </c>
      <c r="AS58" s="56">
        <f t="shared" si="12"/>
        <v>0</v>
      </c>
      <c r="AT58" s="56">
        <f t="shared" si="13"/>
        <v>0</v>
      </c>
      <c r="AU58" s="56">
        <f t="shared" si="14"/>
        <v>0</v>
      </c>
    </row>
    <row r="59" spans="1:47" ht="64.5">
      <c r="A59" s="16" t="s">
        <v>100</v>
      </c>
      <c r="B59" s="17" t="s">
        <v>101</v>
      </c>
      <c r="C59" s="2">
        <v>17898</v>
      </c>
      <c r="D59" s="2">
        <v>20041</v>
      </c>
      <c r="E59" s="2">
        <v>5072</v>
      </c>
      <c r="F59" s="2">
        <v>3855</v>
      </c>
      <c r="G59" s="2" t="s">
        <v>33</v>
      </c>
      <c r="H59" s="2" t="s">
        <v>33</v>
      </c>
      <c r="I59" s="2">
        <v>578</v>
      </c>
      <c r="J59" s="2">
        <v>724</v>
      </c>
      <c r="K59" s="2" t="s">
        <v>33</v>
      </c>
      <c r="L59" s="2" t="s">
        <v>33</v>
      </c>
      <c r="M59" s="2">
        <v>9036</v>
      </c>
      <c r="N59" s="2">
        <v>14448</v>
      </c>
      <c r="O59" s="2">
        <v>3212</v>
      </c>
      <c r="P59" s="2">
        <v>1014</v>
      </c>
      <c r="S59" s="48">
        <v>17898</v>
      </c>
      <c r="T59" s="49">
        <v>20041</v>
      </c>
      <c r="U59" s="49">
        <v>5072</v>
      </c>
      <c r="V59" s="49">
        <v>3855</v>
      </c>
      <c r="W59" s="49" t="s">
        <v>33</v>
      </c>
      <c r="X59" s="49" t="s">
        <v>33</v>
      </c>
      <c r="Y59" s="49">
        <v>578</v>
      </c>
      <c r="Z59" s="49">
        <v>724</v>
      </c>
      <c r="AA59" s="48" t="s">
        <v>33</v>
      </c>
      <c r="AB59" s="49" t="s">
        <v>33</v>
      </c>
      <c r="AC59" s="49">
        <v>9036</v>
      </c>
      <c r="AD59" s="49">
        <v>14448</v>
      </c>
      <c r="AE59" s="49">
        <v>3212</v>
      </c>
      <c r="AF59" s="49">
        <v>1014</v>
      </c>
      <c r="AH59" s="56">
        <f t="shared" si="1"/>
        <v>0</v>
      </c>
      <c r="AI59" s="56">
        <f t="shared" si="2"/>
        <v>0</v>
      </c>
      <c r="AJ59" s="56">
        <f t="shared" si="3"/>
        <v>0</v>
      </c>
      <c r="AK59" s="56">
        <f t="shared" si="4"/>
        <v>0</v>
      </c>
      <c r="AL59" s="56" t="e">
        <f t="shared" si="5"/>
        <v>#VALUE!</v>
      </c>
      <c r="AM59" s="56" t="e">
        <f t="shared" si="6"/>
        <v>#VALUE!</v>
      </c>
      <c r="AN59" s="56">
        <f t="shared" si="7"/>
        <v>0</v>
      </c>
      <c r="AO59" s="56">
        <f t="shared" si="8"/>
        <v>0</v>
      </c>
      <c r="AP59" s="56" t="e">
        <f t="shared" si="9"/>
        <v>#VALUE!</v>
      </c>
      <c r="AQ59" s="56" t="e">
        <f t="shared" si="10"/>
        <v>#VALUE!</v>
      </c>
      <c r="AR59" s="56">
        <f t="shared" si="11"/>
        <v>0</v>
      </c>
      <c r="AS59" s="56">
        <f t="shared" si="12"/>
        <v>0</v>
      </c>
      <c r="AT59" s="56">
        <f t="shared" si="13"/>
        <v>0</v>
      </c>
      <c r="AU59" s="56">
        <f t="shared" si="14"/>
        <v>0</v>
      </c>
    </row>
    <row r="60" spans="1:47" s="21" customFormat="1" ht="15.75">
      <c r="A60" s="18" t="s">
        <v>133</v>
      </c>
      <c r="B60" s="22" t="s">
        <v>102</v>
      </c>
      <c r="C60" s="20">
        <v>1157</v>
      </c>
      <c r="D60" s="20">
        <v>1017</v>
      </c>
      <c r="E60" s="20">
        <v>787</v>
      </c>
      <c r="F60" s="20">
        <v>802</v>
      </c>
      <c r="G60" s="20" t="s">
        <v>33</v>
      </c>
      <c r="H60" s="20" t="s">
        <v>33</v>
      </c>
      <c r="I60" s="20">
        <v>209</v>
      </c>
      <c r="J60" s="20">
        <v>198</v>
      </c>
      <c r="K60" s="20" t="s">
        <v>33</v>
      </c>
      <c r="L60" s="20" t="s">
        <v>33</v>
      </c>
      <c r="M60" s="20">
        <v>161</v>
      </c>
      <c r="N60" s="20">
        <v>17</v>
      </c>
      <c r="O60" s="20" t="s">
        <v>33</v>
      </c>
      <c r="P60" s="20" t="s">
        <v>33</v>
      </c>
      <c r="S60" s="46">
        <v>1157</v>
      </c>
      <c r="T60" s="47">
        <v>1017</v>
      </c>
      <c r="U60" s="47">
        <v>787</v>
      </c>
      <c r="V60" s="47">
        <v>802</v>
      </c>
      <c r="W60" s="47" t="s">
        <v>33</v>
      </c>
      <c r="X60" s="47" t="s">
        <v>33</v>
      </c>
      <c r="Y60" s="47">
        <v>209</v>
      </c>
      <c r="Z60" s="47">
        <v>198</v>
      </c>
      <c r="AA60" s="46" t="s">
        <v>33</v>
      </c>
      <c r="AB60" s="47" t="s">
        <v>33</v>
      </c>
      <c r="AC60" s="47">
        <v>161</v>
      </c>
      <c r="AD60" s="47">
        <v>17</v>
      </c>
      <c r="AE60" s="47" t="s">
        <v>33</v>
      </c>
      <c r="AF60" s="47" t="s">
        <v>33</v>
      </c>
      <c r="AH60" s="56">
        <f t="shared" si="1"/>
        <v>0</v>
      </c>
      <c r="AI60" s="56">
        <f t="shared" si="2"/>
        <v>0</v>
      </c>
      <c r="AJ60" s="56">
        <f t="shared" si="3"/>
        <v>0</v>
      </c>
      <c r="AK60" s="56">
        <f t="shared" si="4"/>
        <v>0</v>
      </c>
      <c r="AL60" s="56" t="e">
        <f t="shared" si="5"/>
        <v>#VALUE!</v>
      </c>
      <c r="AM60" s="56" t="e">
        <f t="shared" si="6"/>
        <v>#VALUE!</v>
      </c>
      <c r="AN60" s="56">
        <f t="shared" si="7"/>
        <v>0</v>
      </c>
      <c r="AO60" s="56">
        <f t="shared" si="8"/>
        <v>0</v>
      </c>
      <c r="AP60" s="56" t="e">
        <f t="shared" si="9"/>
        <v>#VALUE!</v>
      </c>
      <c r="AQ60" s="56" t="e">
        <f t="shared" si="10"/>
        <v>#VALUE!</v>
      </c>
      <c r="AR60" s="56">
        <f t="shared" si="11"/>
        <v>0</v>
      </c>
      <c r="AS60" s="56">
        <f t="shared" si="12"/>
        <v>0</v>
      </c>
      <c r="AT60" s="56" t="e">
        <f t="shared" si="13"/>
        <v>#VALUE!</v>
      </c>
      <c r="AU60" s="56" t="e">
        <f t="shared" si="14"/>
        <v>#VALUE!</v>
      </c>
    </row>
    <row r="61" spans="1:47" ht="16.5" thickBot="1">
      <c r="A61" s="16" t="s">
        <v>103</v>
      </c>
      <c r="B61" s="17" t="s">
        <v>104</v>
      </c>
      <c r="C61" s="2">
        <v>1157</v>
      </c>
      <c r="D61" s="2">
        <v>1017</v>
      </c>
      <c r="E61" s="2">
        <v>787</v>
      </c>
      <c r="F61" s="2">
        <v>802</v>
      </c>
      <c r="G61" s="2" t="s">
        <v>33</v>
      </c>
      <c r="H61" s="2" t="s">
        <v>33</v>
      </c>
      <c r="I61" s="2">
        <v>209</v>
      </c>
      <c r="J61" s="2">
        <v>198</v>
      </c>
      <c r="K61" s="2" t="s">
        <v>33</v>
      </c>
      <c r="L61" s="2" t="s">
        <v>33</v>
      </c>
      <c r="M61" s="2">
        <v>161</v>
      </c>
      <c r="N61" s="2">
        <v>17</v>
      </c>
      <c r="O61" s="2" t="s">
        <v>33</v>
      </c>
      <c r="P61" s="2" t="s">
        <v>33</v>
      </c>
      <c r="S61" s="48">
        <v>1157</v>
      </c>
      <c r="T61" s="49">
        <v>1017</v>
      </c>
      <c r="U61" s="49">
        <v>787</v>
      </c>
      <c r="V61" s="49">
        <v>802</v>
      </c>
      <c r="W61" s="49" t="s">
        <v>33</v>
      </c>
      <c r="X61" s="49" t="s">
        <v>33</v>
      </c>
      <c r="Y61" s="49">
        <v>209</v>
      </c>
      <c r="Z61" s="49">
        <v>198</v>
      </c>
      <c r="AA61" s="48" t="s">
        <v>33</v>
      </c>
      <c r="AB61" s="49" t="s">
        <v>33</v>
      </c>
      <c r="AC61" s="49">
        <v>161</v>
      </c>
      <c r="AD61" s="49">
        <v>17</v>
      </c>
      <c r="AE61" s="49" t="s">
        <v>33</v>
      </c>
      <c r="AF61" s="49" t="s">
        <v>33</v>
      </c>
      <c r="AH61" s="56">
        <f t="shared" si="1"/>
        <v>0</v>
      </c>
      <c r="AI61" s="56">
        <f t="shared" si="2"/>
        <v>0</v>
      </c>
      <c r="AJ61" s="56">
        <f t="shared" si="3"/>
        <v>0</v>
      </c>
      <c r="AK61" s="56">
        <f t="shared" si="4"/>
        <v>0</v>
      </c>
      <c r="AL61" s="56" t="e">
        <f t="shared" si="5"/>
        <v>#VALUE!</v>
      </c>
      <c r="AM61" s="56" t="e">
        <f t="shared" si="6"/>
        <v>#VALUE!</v>
      </c>
      <c r="AN61" s="56">
        <f t="shared" si="7"/>
        <v>0</v>
      </c>
      <c r="AO61" s="56">
        <f t="shared" si="8"/>
        <v>0</v>
      </c>
      <c r="AP61" s="56" t="e">
        <f t="shared" si="9"/>
        <v>#VALUE!</v>
      </c>
      <c r="AQ61" s="56" t="e">
        <f t="shared" si="10"/>
        <v>#VALUE!</v>
      </c>
      <c r="AR61" s="56">
        <f t="shared" si="11"/>
        <v>0</v>
      </c>
      <c r="AS61" s="56">
        <f t="shared" si="12"/>
        <v>0</v>
      </c>
      <c r="AT61" s="56" t="e">
        <f t="shared" si="13"/>
        <v>#VALUE!</v>
      </c>
      <c r="AU61" s="56" t="e">
        <f t="shared" si="14"/>
        <v>#VALUE!</v>
      </c>
    </row>
    <row r="62" spans="1:47" s="21" customFormat="1" ht="39">
      <c r="A62" s="18" t="s">
        <v>134</v>
      </c>
      <c r="B62" s="22" t="s">
        <v>105</v>
      </c>
      <c r="C62" s="20">
        <v>1043</v>
      </c>
      <c r="D62" s="20">
        <v>1191</v>
      </c>
      <c r="E62" s="20">
        <v>11</v>
      </c>
      <c r="F62" s="20">
        <v>11</v>
      </c>
      <c r="G62" s="20" t="s">
        <v>33</v>
      </c>
      <c r="H62" s="20" t="s">
        <v>33</v>
      </c>
      <c r="I62" s="20">
        <v>151</v>
      </c>
      <c r="J62" s="20">
        <v>151</v>
      </c>
      <c r="K62" s="20" t="s">
        <v>33</v>
      </c>
      <c r="L62" s="20" t="s">
        <v>33</v>
      </c>
      <c r="M62" s="20">
        <v>880</v>
      </c>
      <c r="N62" s="20">
        <v>1028</v>
      </c>
      <c r="O62" s="20">
        <v>1</v>
      </c>
      <c r="P62" s="20">
        <v>1</v>
      </c>
      <c r="S62" s="46">
        <v>1043</v>
      </c>
      <c r="T62" s="47">
        <v>1191</v>
      </c>
      <c r="U62" s="47">
        <v>11</v>
      </c>
      <c r="V62" s="47">
        <v>11</v>
      </c>
      <c r="W62" s="47" t="s">
        <v>33</v>
      </c>
      <c r="X62" s="47" t="s">
        <v>33</v>
      </c>
      <c r="Y62" s="47">
        <v>151</v>
      </c>
      <c r="Z62" s="47">
        <v>151</v>
      </c>
      <c r="AA62" s="44" t="s">
        <v>33</v>
      </c>
      <c r="AB62" s="45" t="s">
        <v>33</v>
      </c>
      <c r="AC62" s="45">
        <v>880</v>
      </c>
      <c r="AD62" s="45">
        <v>1028</v>
      </c>
      <c r="AE62" s="45">
        <v>1</v>
      </c>
      <c r="AF62" s="45">
        <v>1</v>
      </c>
      <c r="AH62" s="56">
        <f t="shared" si="1"/>
        <v>0</v>
      </c>
      <c r="AI62" s="56">
        <f t="shared" si="2"/>
        <v>0</v>
      </c>
      <c r="AJ62" s="56">
        <f t="shared" si="3"/>
        <v>0</v>
      </c>
      <c r="AK62" s="56">
        <f t="shared" si="4"/>
        <v>0</v>
      </c>
      <c r="AL62" s="56" t="e">
        <f t="shared" si="5"/>
        <v>#VALUE!</v>
      </c>
      <c r="AM62" s="56" t="e">
        <f t="shared" si="6"/>
        <v>#VALUE!</v>
      </c>
      <c r="AN62" s="56">
        <f t="shared" si="7"/>
        <v>0</v>
      </c>
      <c r="AO62" s="56">
        <f t="shared" si="8"/>
        <v>0</v>
      </c>
      <c r="AP62" s="56" t="e">
        <f t="shared" si="9"/>
        <v>#VALUE!</v>
      </c>
      <c r="AQ62" s="56" t="e">
        <f t="shared" si="10"/>
        <v>#VALUE!</v>
      </c>
      <c r="AR62" s="56">
        <f t="shared" si="11"/>
        <v>0</v>
      </c>
      <c r="AS62" s="56">
        <f t="shared" si="12"/>
        <v>0</v>
      </c>
      <c r="AT62" s="56">
        <f t="shared" si="13"/>
        <v>0</v>
      </c>
      <c r="AU62" s="56">
        <f t="shared" si="14"/>
        <v>0</v>
      </c>
    </row>
    <row r="63" spans="1:47" ht="39">
      <c r="A63" s="16" t="s">
        <v>106</v>
      </c>
      <c r="B63" s="17" t="s">
        <v>107</v>
      </c>
      <c r="C63" s="2">
        <v>1043</v>
      </c>
      <c r="D63" s="2">
        <v>1191</v>
      </c>
      <c r="E63" s="2">
        <v>11</v>
      </c>
      <c r="F63" s="2">
        <v>11</v>
      </c>
      <c r="G63" s="2" t="s">
        <v>33</v>
      </c>
      <c r="H63" s="2" t="s">
        <v>33</v>
      </c>
      <c r="I63" s="2">
        <v>151</v>
      </c>
      <c r="J63" s="2">
        <v>151</v>
      </c>
      <c r="K63" s="2" t="s">
        <v>33</v>
      </c>
      <c r="L63" s="2" t="s">
        <v>33</v>
      </c>
      <c r="M63" s="2">
        <v>880</v>
      </c>
      <c r="N63" s="2">
        <v>1028</v>
      </c>
      <c r="O63" s="2">
        <v>1</v>
      </c>
      <c r="P63" s="2">
        <v>1</v>
      </c>
      <c r="S63" s="48">
        <v>1043</v>
      </c>
      <c r="T63" s="49">
        <v>1191</v>
      </c>
      <c r="U63" s="49">
        <v>11</v>
      </c>
      <c r="V63" s="49">
        <v>11</v>
      </c>
      <c r="W63" s="49" t="s">
        <v>33</v>
      </c>
      <c r="X63" s="49" t="s">
        <v>33</v>
      </c>
      <c r="Y63" s="49">
        <v>151</v>
      </c>
      <c r="Z63" s="49">
        <v>151</v>
      </c>
      <c r="AA63" s="48" t="s">
        <v>33</v>
      </c>
      <c r="AB63" s="49" t="s">
        <v>33</v>
      </c>
      <c r="AC63" s="49">
        <v>880</v>
      </c>
      <c r="AD63" s="49">
        <v>1028</v>
      </c>
      <c r="AE63" s="49">
        <v>1</v>
      </c>
      <c r="AF63" s="49">
        <v>1</v>
      </c>
      <c r="AH63" s="56">
        <f t="shared" si="1"/>
        <v>0</v>
      </c>
      <c r="AI63" s="56">
        <f t="shared" si="2"/>
        <v>0</v>
      </c>
      <c r="AJ63" s="56">
        <f t="shared" si="3"/>
        <v>0</v>
      </c>
      <c r="AK63" s="56">
        <f t="shared" si="4"/>
        <v>0</v>
      </c>
      <c r="AL63" s="56" t="e">
        <f t="shared" si="5"/>
        <v>#VALUE!</v>
      </c>
      <c r="AM63" s="56" t="e">
        <f t="shared" si="6"/>
        <v>#VALUE!</v>
      </c>
      <c r="AN63" s="56">
        <f t="shared" si="7"/>
        <v>0</v>
      </c>
      <c r="AO63" s="56">
        <f t="shared" si="8"/>
        <v>0</v>
      </c>
      <c r="AP63" s="56" t="e">
        <f t="shared" si="9"/>
        <v>#VALUE!</v>
      </c>
      <c r="AQ63" s="56" t="e">
        <f t="shared" si="10"/>
        <v>#VALUE!</v>
      </c>
      <c r="AR63" s="56">
        <f t="shared" si="11"/>
        <v>0</v>
      </c>
      <c r="AS63" s="56">
        <f t="shared" si="12"/>
        <v>0</v>
      </c>
      <c r="AT63" s="56">
        <f t="shared" si="13"/>
        <v>0</v>
      </c>
      <c r="AU63" s="56">
        <f t="shared" si="14"/>
        <v>0</v>
      </c>
    </row>
    <row r="64" spans="1:47" s="21" customFormat="1" ht="51.75">
      <c r="A64" s="18" t="s">
        <v>135</v>
      </c>
      <c r="B64" s="22" t="s">
        <v>108</v>
      </c>
      <c r="C64" s="20">
        <v>236</v>
      </c>
      <c r="D64" s="20">
        <v>205</v>
      </c>
      <c r="E64" s="20" t="s">
        <v>33</v>
      </c>
      <c r="F64" s="20" t="s">
        <v>33</v>
      </c>
      <c r="G64" s="20" t="s">
        <v>33</v>
      </c>
      <c r="H64" s="20" t="s">
        <v>33</v>
      </c>
      <c r="I64" s="20">
        <v>85</v>
      </c>
      <c r="J64" s="20">
        <v>145</v>
      </c>
      <c r="K64" s="20"/>
      <c r="L64" s="20" t="s">
        <v>33</v>
      </c>
      <c r="M64" s="20">
        <v>151</v>
      </c>
      <c r="N64" s="20">
        <v>60</v>
      </c>
      <c r="O64" s="20" t="s">
        <v>33</v>
      </c>
      <c r="P64" s="20" t="s">
        <v>33</v>
      </c>
      <c r="S64" s="46">
        <v>236</v>
      </c>
      <c r="T64" s="47">
        <v>205</v>
      </c>
      <c r="U64" s="47" t="s">
        <v>33</v>
      </c>
      <c r="V64" s="47" t="s">
        <v>33</v>
      </c>
      <c r="W64" s="47" t="s">
        <v>33</v>
      </c>
      <c r="X64" s="47" t="s">
        <v>33</v>
      </c>
      <c r="Y64" s="47">
        <v>85</v>
      </c>
      <c r="Z64" s="47">
        <v>145</v>
      </c>
      <c r="AA64" s="46" t="s">
        <v>33</v>
      </c>
      <c r="AB64" s="47" t="s">
        <v>33</v>
      </c>
      <c r="AC64" s="47">
        <v>151</v>
      </c>
      <c r="AD64" s="47">
        <v>60</v>
      </c>
      <c r="AE64" s="47" t="s">
        <v>33</v>
      </c>
      <c r="AF64" s="47" t="s">
        <v>33</v>
      </c>
      <c r="AH64" s="56">
        <f t="shared" si="1"/>
        <v>0</v>
      </c>
      <c r="AI64" s="56">
        <f t="shared" si="2"/>
        <v>0</v>
      </c>
      <c r="AJ64" s="56" t="e">
        <f t="shared" si="3"/>
        <v>#VALUE!</v>
      </c>
      <c r="AK64" s="56" t="e">
        <f t="shared" si="4"/>
        <v>#VALUE!</v>
      </c>
      <c r="AL64" s="56" t="e">
        <f t="shared" si="5"/>
        <v>#VALUE!</v>
      </c>
      <c r="AM64" s="56" t="e">
        <f t="shared" si="6"/>
        <v>#VALUE!</v>
      </c>
      <c r="AN64" s="56">
        <f t="shared" si="7"/>
        <v>0</v>
      </c>
      <c r="AO64" s="56">
        <f t="shared" si="8"/>
        <v>0</v>
      </c>
      <c r="AP64" s="56" t="e">
        <f t="shared" si="9"/>
        <v>#VALUE!</v>
      </c>
      <c r="AQ64" s="56" t="e">
        <f t="shared" si="10"/>
        <v>#VALUE!</v>
      </c>
      <c r="AR64" s="56">
        <f t="shared" si="11"/>
        <v>0</v>
      </c>
      <c r="AS64" s="56">
        <f t="shared" si="12"/>
        <v>0</v>
      </c>
      <c r="AT64" s="56" t="e">
        <f t="shared" si="13"/>
        <v>#VALUE!</v>
      </c>
      <c r="AU64" s="56" t="e">
        <f t="shared" si="14"/>
        <v>#VALUE!</v>
      </c>
    </row>
    <row r="65" spans="1:47" ht="27" thickBot="1">
      <c r="A65" s="16" t="s">
        <v>109</v>
      </c>
      <c r="B65" s="17" t="s">
        <v>110</v>
      </c>
      <c r="C65" s="2">
        <v>236</v>
      </c>
      <c r="D65" s="2">
        <v>205</v>
      </c>
      <c r="E65" s="2" t="s">
        <v>33</v>
      </c>
      <c r="F65" s="2" t="s">
        <v>33</v>
      </c>
      <c r="G65" s="2" t="s">
        <v>33</v>
      </c>
      <c r="H65" s="2" t="s">
        <v>33</v>
      </c>
      <c r="I65" s="2">
        <v>85</v>
      </c>
      <c r="J65" s="2">
        <v>145</v>
      </c>
      <c r="K65" s="2" t="s">
        <v>33</v>
      </c>
      <c r="L65" s="2" t="s">
        <v>33</v>
      </c>
      <c r="M65" s="2">
        <v>151</v>
      </c>
      <c r="N65" s="2">
        <v>60</v>
      </c>
      <c r="O65" s="2" t="s">
        <v>33</v>
      </c>
      <c r="P65" s="2" t="s">
        <v>33</v>
      </c>
      <c r="S65" s="48">
        <v>236</v>
      </c>
      <c r="T65" s="49">
        <v>205</v>
      </c>
      <c r="U65" s="49" t="s">
        <v>33</v>
      </c>
      <c r="V65" s="49" t="s">
        <v>33</v>
      </c>
      <c r="W65" s="49" t="s">
        <v>33</v>
      </c>
      <c r="X65" s="49" t="s">
        <v>33</v>
      </c>
      <c r="Y65" s="49">
        <v>85</v>
      </c>
      <c r="Z65" s="49">
        <v>145</v>
      </c>
      <c r="AA65" s="48" t="s">
        <v>33</v>
      </c>
      <c r="AB65" s="49" t="s">
        <v>33</v>
      </c>
      <c r="AC65" s="49">
        <v>151</v>
      </c>
      <c r="AD65" s="49">
        <v>60</v>
      </c>
      <c r="AE65" s="49" t="s">
        <v>33</v>
      </c>
      <c r="AF65" s="49" t="s">
        <v>33</v>
      </c>
      <c r="AH65" s="56">
        <f t="shared" si="1"/>
        <v>0</v>
      </c>
      <c r="AI65" s="56">
        <f t="shared" si="2"/>
        <v>0</v>
      </c>
      <c r="AJ65" s="56" t="e">
        <f t="shared" si="3"/>
        <v>#VALUE!</v>
      </c>
      <c r="AK65" s="56" t="e">
        <f t="shared" si="4"/>
        <v>#VALUE!</v>
      </c>
      <c r="AL65" s="56" t="e">
        <f t="shared" si="5"/>
        <v>#VALUE!</v>
      </c>
      <c r="AM65" s="56" t="e">
        <f t="shared" si="6"/>
        <v>#VALUE!</v>
      </c>
      <c r="AN65" s="56">
        <f t="shared" si="7"/>
        <v>0</v>
      </c>
      <c r="AO65" s="56">
        <f t="shared" si="8"/>
        <v>0</v>
      </c>
      <c r="AP65" s="56" t="e">
        <f t="shared" si="9"/>
        <v>#VALUE!</v>
      </c>
      <c r="AQ65" s="56" t="e">
        <f t="shared" si="10"/>
        <v>#VALUE!</v>
      </c>
      <c r="AR65" s="56">
        <f t="shared" si="11"/>
        <v>0</v>
      </c>
      <c r="AS65" s="56">
        <f t="shared" si="12"/>
        <v>0</v>
      </c>
      <c r="AT65" s="56" t="e">
        <f t="shared" si="13"/>
        <v>#VALUE!</v>
      </c>
      <c r="AU65" s="56" t="e">
        <f t="shared" si="14"/>
        <v>#VALUE!</v>
      </c>
    </row>
    <row r="66" spans="1:47" s="21" customFormat="1" ht="26.25">
      <c r="A66" s="23" t="s">
        <v>136</v>
      </c>
      <c r="B66" s="24" t="s">
        <v>111</v>
      </c>
      <c r="C66" s="25">
        <v>631072</v>
      </c>
      <c r="D66" s="25">
        <v>684033</v>
      </c>
      <c r="E66" s="25">
        <v>2081</v>
      </c>
      <c r="F66" s="25">
        <v>1673</v>
      </c>
      <c r="G66" s="25" t="s">
        <v>33</v>
      </c>
      <c r="H66" s="25" t="s">
        <v>33</v>
      </c>
      <c r="I66" s="25">
        <v>18983</v>
      </c>
      <c r="J66" s="25">
        <v>15894</v>
      </c>
      <c r="K66" s="25">
        <v>108800</v>
      </c>
      <c r="L66" s="25">
        <v>76000</v>
      </c>
      <c r="M66" s="25">
        <v>500921</v>
      </c>
      <c r="N66" s="25">
        <v>590338</v>
      </c>
      <c r="O66" s="25">
        <v>287</v>
      </c>
      <c r="P66" s="25">
        <v>128</v>
      </c>
      <c r="S66" s="57">
        <v>631072</v>
      </c>
      <c r="T66" s="45">
        <v>684033</v>
      </c>
      <c r="U66" s="45">
        <v>2081</v>
      </c>
      <c r="V66" s="45">
        <v>1673</v>
      </c>
      <c r="W66" s="45" t="s">
        <v>33</v>
      </c>
      <c r="X66" s="45" t="s">
        <v>33</v>
      </c>
      <c r="Y66" s="45">
        <v>18983</v>
      </c>
      <c r="Z66" s="45">
        <v>15894</v>
      </c>
      <c r="AA66" s="46">
        <v>108800</v>
      </c>
      <c r="AB66" s="47">
        <v>76000</v>
      </c>
      <c r="AC66" s="47">
        <v>500921</v>
      </c>
      <c r="AD66" s="47">
        <v>590338</v>
      </c>
      <c r="AE66" s="47">
        <v>287</v>
      </c>
      <c r="AF66" s="47">
        <v>128</v>
      </c>
      <c r="AH66" s="56">
        <f t="shared" si="1"/>
        <v>0</v>
      </c>
      <c r="AI66" s="56">
        <f t="shared" si="2"/>
        <v>0</v>
      </c>
      <c r="AJ66" s="56">
        <f t="shared" si="3"/>
        <v>0</v>
      </c>
      <c r="AK66" s="56">
        <f t="shared" si="4"/>
        <v>0</v>
      </c>
      <c r="AL66" s="56" t="e">
        <f t="shared" si="5"/>
        <v>#VALUE!</v>
      </c>
      <c r="AM66" s="56" t="e">
        <f t="shared" si="6"/>
        <v>#VALUE!</v>
      </c>
      <c r="AN66" s="56">
        <f t="shared" si="7"/>
        <v>0</v>
      </c>
      <c r="AO66" s="56">
        <f t="shared" si="8"/>
        <v>0</v>
      </c>
      <c r="AP66" s="56">
        <f t="shared" si="9"/>
        <v>0</v>
      </c>
      <c r="AQ66" s="56">
        <f t="shared" si="10"/>
        <v>0</v>
      </c>
      <c r="AR66" s="56">
        <f t="shared" si="11"/>
        <v>0</v>
      </c>
      <c r="AS66" s="56">
        <f t="shared" si="12"/>
        <v>0</v>
      </c>
      <c r="AT66" s="56">
        <f t="shared" si="13"/>
        <v>0</v>
      </c>
      <c r="AU66" s="56">
        <f t="shared" si="14"/>
        <v>0</v>
      </c>
    </row>
    <row r="67" spans="1:47" ht="39">
      <c r="A67" s="16" t="s">
        <v>112</v>
      </c>
      <c r="B67" s="17" t="s">
        <v>113</v>
      </c>
      <c r="C67" s="2">
        <v>616683</v>
      </c>
      <c r="D67" s="2">
        <v>671604</v>
      </c>
      <c r="E67" s="2">
        <v>2034</v>
      </c>
      <c r="F67" s="2">
        <v>1625</v>
      </c>
      <c r="G67" s="2" t="s">
        <v>33</v>
      </c>
      <c r="H67" s="2" t="s">
        <v>33</v>
      </c>
      <c r="I67" s="2">
        <v>4821</v>
      </c>
      <c r="J67" s="2">
        <v>3643</v>
      </c>
      <c r="K67" s="2">
        <v>108800</v>
      </c>
      <c r="L67" s="2">
        <v>76000</v>
      </c>
      <c r="M67" s="2">
        <v>500868</v>
      </c>
      <c r="N67" s="2">
        <v>590336</v>
      </c>
      <c r="O67" s="2">
        <v>160</v>
      </c>
      <c r="P67" s="2" t="s">
        <v>33</v>
      </c>
      <c r="S67" s="48">
        <v>616683</v>
      </c>
      <c r="T67" s="49">
        <v>671604</v>
      </c>
      <c r="U67" s="49">
        <v>2034</v>
      </c>
      <c r="V67" s="49">
        <v>1625</v>
      </c>
      <c r="W67" s="49" t="s">
        <v>33</v>
      </c>
      <c r="X67" s="49" t="s">
        <v>33</v>
      </c>
      <c r="Y67" s="49">
        <v>4821</v>
      </c>
      <c r="Z67" s="49">
        <v>3643</v>
      </c>
      <c r="AA67" s="48">
        <v>108800</v>
      </c>
      <c r="AB67" s="49">
        <v>76000</v>
      </c>
      <c r="AC67" s="49">
        <v>500868</v>
      </c>
      <c r="AD67" s="49">
        <v>590336</v>
      </c>
      <c r="AE67" s="49">
        <v>160</v>
      </c>
      <c r="AF67" s="49" t="s">
        <v>33</v>
      </c>
      <c r="AH67" s="56">
        <f t="shared" si="1"/>
        <v>0</v>
      </c>
      <c r="AI67" s="56">
        <f t="shared" si="2"/>
        <v>0</v>
      </c>
      <c r="AJ67" s="56">
        <f t="shared" si="3"/>
        <v>0</v>
      </c>
      <c r="AK67" s="56">
        <f t="shared" si="4"/>
        <v>0</v>
      </c>
      <c r="AL67" s="56" t="e">
        <f t="shared" si="5"/>
        <v>#VALUE!</v>
      </c>
      <c r="AM67" s="56" t="e">
        <f t="shared" si="6"/>
        <v>#VALUE!</v>
      </c>
      <c r="AN67" s="56">
        <f t="shared" si="7"/>
        <v>0</v>
      </c>
      <c r="AO67" s="56">
        <f t="shared" si="8"/>
        <v>0</v>
      </c>
      <c r="AP67" s="56">
        <f t="shared" si="9"/>
        <v>0</v>
      </c>
      <c r="AQ67" s="56">
        <f t="shared" si="10"/>
        <v>0</v>
      </c>
      <c r="AR67" s="56">
        <f t="shared" si="11"/>
        <v>0</v>
      </c>
      <c r="AS67" s="56">
        <f t="shared" si="12"/>
        <v>0</v>
      </c>
      <c r="AT67" s="56">
        <f t="shared" si="13"/>
        <v>0</v>
      </c>
      <c r="AU67" s="56" t="e">
        <f t="shared" si="14"/>
        <v>#VALUE!</v>
      </c>
    </row>
    <row r="68" spans="1:47" ht="26.25">
      <c r="A68" s="16" t="s">
        <v>114</v>
      </c>
      <c r="B68" s="17" t="s">
        <v>115</v>
      </c>
      <c r="C68" s="2">
        <v>14389</v>
      </c>
      <c r="D68" s="2">
        <v>12429</v>
      </c>
      <c r="E68" s="2">
        <v>47</v>
      </c>
      <c r="F68" s="2">
        <v>48</v>
      </c>
      <c r="G68" s="2" t="s">
        <v>33</v>
      </c>
      <c r="H68" s="2" t="s">
        <v>33</v>
      </c>
      <c r="I68" s="2">
        <v>14162</v>
      </c>
      <c r="J68" s="2">
        <v>12251</v>
      </c>
      <c r="K68" s="2" t="s">
        <v>33</v>
      </c>
      <c r="L68" s="2" t="s">
        <v>33</v>
      </c>
      <c r="M68" s="2">
        <v>53</v>
      </c>
      <c r="N68" s="2">
        <v>2</v>
      </c>
      <c r="O68" s="2">
        <v>127</v>
      </c>
      <c r="P68" s="2">
        <v>128</v>
      </c>
      <c r="S68" s="48">
        <v>14389</v>
      </c>
      <c r="T68" s="49">
        <v>12429</v>
      </c>
      <c r="U68" s="49">
        <v>47</v>
      </c>
      <c r="V68" s="49">
        <v>48</v>
      </c>
      <c r="W68" s="49" t="s">
        <v>33</v>
      </c>
      <c r="X68" s="49" t="s">
        <v>33</v>
      </c>
      <c r="Y68" s="49">
        <v>14162</v>
      </c>
      <c r="Z68" s="49">
        <v>12251</v>
      </c>
      <c r="AA68" s="48" t="s">
        <v>33</v>
      </c>
      <c r="AB68" s="49" t="s">
        <v>33</v>
      </c>
      <c r="AC68" s="49">
        <v>53</v>
      </c>
      <c r="AD68" s="49">
        <v>2</v>
      </c>
      <c r="AE68" s="49">
        <v>127</v>
      </c>
      <c r="AF68" s="49">
        <v>128</v>
      </c>
      <c r="AH68" s="56">
        <f t="shared" si="1"/>
        <v>0</v>
      </c>
      <c r="AI68" s="56">
        <f t="shared" si="2"/>
        <v>0</v>
      </c>
      <c r="AJ68" s="56">
        <f t="shared" si="3"/>
        <v>0</v>
      </c>
      <c r="AK68" s="56">
        <f t="shared" si="4"/>
        <v>0</v>
      </c>
      <c r="AL68" s="56" t="e">
        <f t="shared" si="5"/>
        <v>#VALUE!</v>
      </c>
      <c r="AM68" s="56" t="e">
        <f t="shared" si="6"/>
        <v>#VALUE!</v>
      </c>
      <c r="AN68" s="56">
        <f t="shared" si="7"/>
        <v>0</v>
      </c>
      <c r="AO68" s="56">
        <f t="shared" si="8"/>
        <v>0</v>
      </c>
      <c r="AP68" s="56" t="e">
        <f t="shared" si="9"/>
        <v>#VALUE!</v>
      </c>
      <c r="AQ68" s="56" t="e">
        <f t="shared" si="10"/>
        <v>#VALUE!</v>
      </c>
      <c r="AR68" s="56">
        <f t="shared" si="11"/>
        <v>0</v>
      </c>
      <c r="AS68" s="56">
        <f t="shared" si="12"/>
        <v>0</v>
      </c>
      <c r="AT68" s="56">
        <f t="shared" si="13"/>
        <v>0</v>
      </c>
      <c r="AU68" s="56">
        <f t="shared" si="14"/>
        <v>0</v>
      </c>
    </row>
  </sheetData>
  <mergeCells count="18">
    <mergeCell ref="K3:O3"/>
    <mergeCell ref="C1:H1"/>
    <mergeCell ref="E5:J5"/>
    <mergeCell ref="E6:F7"/>
    <mergeCell ref="G6:H7"/>
    <mergeCell ref="I6:J7"/>
    <mergeCell ref="K1:O1"/>
    <mergeCell ref="K2:O2"/>
    <mergeCell ref="O6:P7"/>
    <mergeCell ref="K6:L7"/>
    <mergeCell ref="M6:N7"/>
    <mergeCell ref="O4:P4"/>
    <mergeCell ref="K5:P5"/>
    <mergeCell ref="A5:A8"/>
    <mergeCell ref="C2:H2"/>
    <mergeCell ref="C3:H3"/>
    <mergeCell ref="B5:B8"/>
    <mergeCell ref="C5:D7"/>
  </mergeCells>
  <phoneticPr fontId="0" type="noConversion"/>
  <pageMargins left="0.7874015748031496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10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T10</vt:lpstr>
      <vt:lpstr>'T10'!ExternalData_1</vt:lpstr>
      <vt:lpstr>'T10'!Заголовки_для_печати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2017-11-27T11:20:50Z</cp:lastPrinted>
  <dcterms:created xsi:type="dcterms:W3CDTF">2006-03-01T08:37:33Z</dcterms:created>
  <dcterms:modified xsi:type="dcterms:W3CDTF">2025-09-01T22:54:07Z</dcterms:modified>
</cp:coreProperties>
</file>