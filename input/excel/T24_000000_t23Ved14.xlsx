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373"/>
  </bookViews>
  <sheets>
    <sheet name="T23" sheetId="1" r:id="rId1"/>
  </sheets>
  <definedNames>
    <definedName name="ExternalData_1" localSheetId="0">'T23'!$A$9:$S$63</definedName>
    <definedName name="_xlnm.Print_Titles" localSheetId="0">'T23'!$A:$B,'T23'!$4:$8</definedName>
  </definedNames>
  <calcPr calcId="125725"/>
</workbook>
</file>

<file path=xl/calcChain.xml><?xml version="1.0" encoding="utf-8"?>
<calcChain xmlns="http://schemas.openxmlformats.org/spreadsheetml/2006/main">
  <c r="AU43" i="1"/>
  <c r="AV43"/>
  <c r="AW43"/>
  <c r="AX43"/>
  <c r="AY43"/>
  <c r="AU44"/>
  <c r="AV44"/>
  <c r="AW44"/>
  <c r="AX44"/>
  <c r="AY44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AM31"/>
  <c r="AN31"/>
  <c r="AO31"/>
  <c r="AP31"/>
  <c r="AQ31"/>
  <c r="AR31"/>
  <c r="AS31"/>
  <c r="AT31"/>
  <c r="AU31"/>
  <c r="AV31"/>
  <c r="AW31"/>
  <c r="AX31"/>
  <c r="AY31"/>
  <c r="AZ31"/>
  <c r="BA31"/>
  <c r="BB31"/>
  <c r="BC31"/>
  <c r="BD31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AM40"/>
  <c r="AN40"/>
  <c r="AO40"/>
  <c r="AP40"/>
  <c r="AQ40"/>
  <c r="AR40"/>
  <c r="AS40"/>
  <c r="AT40"/>
  <c r="AU40"/>
  <c r="AV40"/>
  <c r="AW40"/>
  <c r="AX40"/>
  <c r="AY40"/>
  <c r="AZ40"/>
  <c r="BA40"/>
  <c r="BB40"/>
  <c r="BC40"/>
  <c r="BD40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AM42"/>
  <c r="AN42"/>
  <c r="AO42"/>
  <c r="AP42"/>
  <c r="AQ42"/>
  <c r="AR42"/>
  <c r="AS42"/>
  <c r="AT42"/>
  <c r="AU42"/>
  <c r="AV42"/>
  <c r="AW42"/>
  <c r="AX42"/>
  <c r="AY42"/>
  <c r="AZ42"/>
  <c r="BA42"/>
  <c r="BB42"/>
  <c r="BC42"/>
  <c r="BD42"/>
  <c r="AM43"/>
  <c r="AN43"/>
  <c r="AO43"/>
  <c r="AP43"/>
  <c r="AQ43"/>
  <c r="AR43"/>
  <c r="AS43"/>
  <c r="AT43"/>
  <c r="AZ43"/>
  <c r="BA43"/>
  <c r="BB43"/>
  <c r="BC43"/>
  <c r="BD43"/>
  <c r="AM44"/>
  <c r="AN44"/>
  <c r="AO44"/>
  <c r="AP44"/>
  <c r="AQ44"/>
  <c r="AR44"/>
  <c r="AS44"/>
  <c r="AT44"/>
  <c r="AZ44"/>
  <c r="BA44"/>
  <c r="BB44"/>
  <c r="BC44"/>
  <c r="BD44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AM58"/>
  <c r="AN58"/>
  <c r="AO58"/>
  <c r="AP58"/>
  <c r="AQ58"/>
  <c r="AR58"/>
  <c r="AS58"/>
  <c r="AT58"/>
  <c r="AU58"/>
  <c r="AV58"/>
  <c r="AW58"/>
  <c r="AX58"/>
  <c r="AY58"/>
  <c r="AZ58"/>
  <c r="BA58"/>
  <c r="BB58"/>
  <c r="BC58"/>
  <c r="BD58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AM63"/>
  <c r="AN63"/>
  <c r="AO63"/>
  <c r="AP63"/>
  <c r="AQ63"/>
  <c r="AR63"/>
  <c r="AS63"/>
  <c r="AT63"/>
  <c r="AU63"/>
  <c r="AV63"/>
  <c r="AW63"/>
  <c r="AX63"/>
  <c r="AY63"/>
  <c r="AZ63"/>
  <c r="BA63"/>
  <c r="BB63"/>
  <c r="BC63"/>
  <c r="BD63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AM10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<sst xmlns="http://schemas.openxmlformats.org/spreadsheetml/2006/main" count="532" uniqueCount="142">
  <si>
    <t>в том числе:</t>
  </si>
  <si>
    <t>А</t>
  </si>
  <si>
    <t>тыс.руб.</t>
  </si>
  <si>
    <t>Валовая прибыль</t>
  </si>
  <si>
    <t>Прибыль, убыток (-) от продаж</t>
  </si>
  <si>
    <t>управлен-ческие расходы</t>
  </si>
  <si>
    <t>Продолжение</t>
  </si>
  <si>
    <t>Код</t>
  </si>
  <si>
    <t>Б</t>
  </si>
  <si>
    <t>Прибыль (убыток) до налого-обложения</t>
  </si>
  <si>
    <t>Чистая прибыль  (убыток) отчетного периода</t>
  </si>
  <si>
    <t>Сальдо прочих доходов и расходов</t>
  </si>
  <si>
    <t>Выручка</t>
  </si>
  <si>
    <t>Себестои-мость продаж</t>
  </si>
  <si>
    <t>Текущий налог на прибыль</t>
  </si>
  <si>
    <t>Прочее</t>
  </si>
  <si>
    <t>Результат от переоценки внеоборотных активов, не включаемых в чистую прибыль (убыток) периода</t>
  </si>
  <si>
    <t>Результат от прочих операций, не включаемых в чистую прибыль (убыток) периода</t>
  </si>
  <si>
    <t>Совокупный финансовый результат периода</t>
  </si>
  <si>
    <t xml:space="preserve"> коммер-ческие расходы</t>
  </si>
  <si>
    <t>Коммерчес-кие и управ-ленческие расходы</t>
  </si>
  <si>
    <t>Наименование</t>
  </si>
  <si>
    <t>Себестои-мость продаж с учетом ком-мерческих и управленчес-ких расходов</t>
  </si>
  <si>
    <t>Отложенный налог на прибыль</t>
  </si>
  <si>
    <t>Доходы и расходы по обычным видам деятельности за отчетный период</t>
  </si>
  <si>
    <t>Отчетный год</t>
  </si>
  <si>
    <t>20</t>
  </si>
  <si>
    <t>21</t>
  </si>
  <si>
    <t>23</t>
  </si>
  <si>
    <t>Формирование финансовых результатов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</si>
  <si>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</si>
  <si>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</si>
  <si>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</si>
  <si>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-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</si>
  <si>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</si>
  <si>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</si>
  <si>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</si>
  <si>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</si>
  <si>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</si>
  <si>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</si>
  <si>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</si>
  <si>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</si>
  <si>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</si>
  <si>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</si>
  <si>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</si>
  <si>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</si>
  <si>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</si>
  <si>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</si>
  <si>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</si>
  <si>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</si>
  <si>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</si>
  <si>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</si>
  <si>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</si>
  <si>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</si>
  <si>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</si>
  <si>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</si>
  <si>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</si>
  <si>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</si>
  <si>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</si>
  <si>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</si>
  <si>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</si>
  <si>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</si>
  <si>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</si>
  <si>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</si>
  <si>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</si>
  <si>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</si>
  <si>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</si>
  <si>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</si>
  <si>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</si>
  <si>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</si>
  <si>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</si>
  <si>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</si>
  <si>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</si>
  <si>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</si>
  <si>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</si>
  <si>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</si>
  <si>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</si>
  <si>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</si>
  <si>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</si>
  <si>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</si>
  <si>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</si>
  <si>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</si>
  <si>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</si>
  <si>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</si>
  <si>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</si>
  <si>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</si>
  <si>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</si>
  <si>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</si>
  <si>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</si>
  <si>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</si>
  <si>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</si>
  <si>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</si>
  <si>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</si>
  <si>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</si>
  <si>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</si>
  <si>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</si>
  <si>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</si>
  <si>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</si>
  <si>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</si>
  <si>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</si>
  <si>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</si>
  <si>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</si>
  <si>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</si>
  <si>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</si>
  <si>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</si>
  <si>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</si>
  <si>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</si>
  <si>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</si>
  <si>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</si>
  <si>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</si>
  <si>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</si>
  <si>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</si>
  <si>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</si>
  <si>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</si>
  <si>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</si>
  <si>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</si>
  <si>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</si>
  <si>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</si>
  <si>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</si>
  <si>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</si>
  <si>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</si>
  <si>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</si>
  <si>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</si>
  <si>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</si>
  <si>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</si>
  <si>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</si>
  <si>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</si>
  <si>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</si>
  <si>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</si>
  <si>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</si>
  <si>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</si>
  <si>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</si>
  <si>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</si>
  <si>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</si>
  <si>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</si>
  <si>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</si>
  <si>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</si>
  <si>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</si>
  <si>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</si>
  <si>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</si>
  <si>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R</t>
  </si>
  <si>
    <t>S</t>
  </si>
</sst>
</file>

<file path=xl/styles.xml><?xml version="1.0" encoding="utf-8"?>
<styleSheet xmlns="http://schemas.openxmlformats.org/spreadsheetml/2006/main">
  <fonts count="13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sz val="12"/>
      <name val="Times New Roman"/>
      <family val="1"/>
      <charset val="204"/>
    </font>
    <font>
      <sz val="10"/>
      <color rgb="FF00B050"/>
      <name val="Times New Roman CYR"/>
      <family val="1"/>
      <charset val="204"/>
    </font>
    <font>
      <b/>
      <sz val="10"/>
      <color rgb="FF00B050"/>
      <name val="Times New Roman CYR"/>
      <family val="1"/>
      <charset val="204"/>
    </font>
    <font>
      <sz val="10"/>
      <color rgb="FFC00000"/>
      <name val="Times New Roman CYR"/>
      <family val="1"/>
      <charset val="204"/>
    </font>
    <font>
      <b/>
      <sz val="10"/>
      <color rgb="FFC0000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right" wrapText="1" indent="2"/>
    </xf>
    <xf numFmtId="1" fontId="2" fillId="0" borderId="0" xfId="0" applyNumberFormat="1" applyFont="1" applyAlignment="1">
      <alignment horizontal="right" indent="2"/>
    </xf>
    <xf numFmtId="0" fontId="0" fillId="0" borderId="0" xfId="0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 indent="2"/>
    </xf>
    <xf numFmtId="0" fontId="7" fillId="0" borderId="0" xfId="0" applyFont="1"/>
    <xf numFmtId="49" fontId="6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5" xfId="0" applyFont="1" applyBorder="1" applyAlignment="1">
      <alignment horizontal="right" indent="2"/>
    </xf>
    <xf numFmtId="0" fontId="8" fillId="0" borderId="7" xfId="0" applyFont="1" applyBorder="1" applyAlignment="1">
      <alignment horizontal="right" indent="2"/>
    </xf>
    <xf numFmtId="1" fontId="7" fillId="0" borderId="0" xfId="0" applyNumberFormat="1" applyFont="1"/>
    <xf numFmtId="0" fontId="9" fillId="0" borderId="0" xfId="0" applyFont="1" applyFill="1" applyAlignment="1">
      <alignment horizontal="center" vertical="center" wrapText="1"/>
    </xf>
    <xf numFmtId="49" fontId="9" fillId="0" borderId="0" xfId="0" applyNumberFormat="1" applyFont="1" applyFill="1" applyAlignment="1">
      <alignment horizontal="center" vertical="center" wrapText="1"/>
    </xf>
    <xf numFmtId="0" fontId="10" fillId="0" borderId="0" xfId="0" applyFont="1" applyFill="1"/>
    <xf numFmtId="1" fontId="10" fillId="0" borderId="0" xfId="0" applyNumberFormat="1" applyFont="1" applyFill="1"/>
    <xf numFmtId="0" fontId="9" fillId="0" borderId="0" xfId="0" applyFont="1" applyFill="1"/>
    <xf numFmtId="0" fontId="11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12" fillId="0" borderId="0" xfId="0" applyFont="1"/>
    <xf numFmtId="1" fontId="12" fillId="0" borderId="0" xfId="0" applyNumberFormat="1" applyFont="1"/>
    <xf numFmtId="0" fontId="1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65"/>
  <sheetViews>
    <sheetView tabSelected="1" zoomScaleNormal="100" workbookViewId="0">
      <pane xSplit="2" ySplit="8" topLeftCell="AQ39" activePane="bottomRight" state="frozen"/>
      <selection pane="topRight" activeCell="C1" sqref="C1"/>
      <selection pane="bottomLeft" activeCell="A9" sqref="A9"/>
      <selection pane="bottomRight" activeCell="AH37" sqref="AH37"/>
    </sheetView>
  </sheetViews>
  <sheetFormatPr defaultColWidth="8.85546875" defaultRowHeight="12.75"/>
  <cols>
    <col min="1" max="1" width="10.7109375" style="9" customWidth="1"/>
    <col min="2" max="2" width="27.42578125" style="3" customWidth="1"/>
    <col min="3" max="3" width="13.28515625" style="2" customWidth="1"/>
    <col min="4" max="7" width="12.28515625" style="2" customWidth="1"/>
    <col min="8" max="8" width="11.42578125" style="2" customWidth="1"/>
    <col min="9" max="15" width="12.28515625" style="2" customWidth="1"/>
    <col min="16" max="16" width="13.85546875" style="2" customWidth="1"/>
    <col min="17" max="17" width="22.7109375" style="12" customWidth="1"/>
    <col min="18" max="18" width="20.140625" style="12" customWidth="1"/>
    <col min="19" max="19" width="13.7109375" style="2" customWidth="1"/>
    <col min="20" max="20" width="8.85546875" style="1"/>
    <col min="21" max="28" width="9" style="1" bestFit="1" customWidth="1"/>
    <col min="29" max="33" width="8.85546875" style="1"/>
    <col min="34" max="34" width="9" style="1" bestFit="1" customWidth="1"/>
    <col min="35" max="35" width="12.42578125" style="1" customWidth="1"/>
    <col min="36" max="36" width="11.85546875" style="1" customWidth="1"/>
    <col min="37" max="37" width="9" style="1" bestFit="1" customWidth="1"/>
    <col min="38" max="38" width="8.85546875" style="1"/>
    <col min="39" max="46" width="8.85546875" style="50"/>
    <col min="47" max="51" width="8.85546875" style="55"/>
    <col min="52" max="16384" width="8.85546875" style="1"/>
  </cols>
  <sheetData>
    <row r="1" spans="1:57" s="6" customFormat="1" ht="24.6" customHeight="1">
      <c r="A1" s="8"/>
      <c r="B1" s="4"/>
      <c r="C1" s="26" t="s">
        <v>29</v>
      </c>
      <c r="D1" s="26"/>
      <c r="E1" s="26"/>
      <c r="F1" s="26"/>
      <c r="G1" s="26"/>
      <c r="H1" s="26"/>
      <c r="I1" s="5"/>
      <c r="J1" s="5"/>
      <c r="K1" s="26" t="s">
        <v>29</v>
      </c>
      <c r="L1" s="26"/>
      <c r="M1" s="26"/>
      <c r="N1" s="26"/>
      <c r="O1" s="32"/>
      <c r="P1" s="10"/>
      <c r="Q1" s="26" t="s">
        <v>29</v>
      </c>
      <c r="R1" s="26"/>
      <c r="S1" s="26"/>
      <c r="AM1" s="46"/>
      <c r="AN1" s="46"/>
      <c r="AO1" s="46"/>
      <c r="AP1" s="46"/>
      <c r="AQ1" s="46"/>
      <c r="AR1" s="46"/>
      <c r="AS1" s="46"/>
      <c r="AT1" s="46"/>
      <c r="AU1" s="51"/>
      <c r="AV1" s="51"/>
      <c r="AW1" s="51"/>
      <c r="AX1" s="51"/>
      <c r="AY1" s="51"/>
    </row>
    <row r="2" spans="1:57" s="6" customFormat="1" ht="24.6" customHeight="1">
      <c r="A2" s="8"/>
      <c r="B2" s="4"/>
      <c r="C2" s="27" t="s">
        <v>31</v>
      </c>
      <c r="D2" s="36"/>
      <c r="E2" s="27"/>
      <c r="F2" s="27"/>
      <c r="G2" s="27"/>
      <c r="H2" s="27"/>
      <c r="I2" s="5"/>
      <c r="J2" s="5"/>
      <c r="K2" s="27" t="s">
        <v>31</v>
      </c>
      <c r="L2" s="27"/>
      <c r="M2" s="27"/>
      <c r="N2" s="27"/>
      <c r="O2" s="32"/>
      <c r="P2" s="5"/>
      <c r="Q2" s="27" t="s">
        <v>31</v>
      </c>
      <c r="R2" s="27"/>
      <c r="S2" s="27"/>
      <c r="AM2" s="46"/>
      <c r="AN2" s="46"/>
      <c r="AO2" s="46"/>
      <c r="AP2" s="46"/>
      <c r="AQ2" s="46"/>
      <c r="AR2" s="46"/>
      <c r="AS2" s="46"/>
      <c r="AT2" s="46"/>
      <c r="AU2" s="51"/>
      <c r="AV2" s="51"/>
      <c r="AW2" s="51"/>
      <c r="AX2" s="51"/>
      <c r="AY2" s="51"/>
    </row>
    <row r="3" spans="1:57" s="6" customFormat="1" ht="19.899999999999999" customHeight="1">
      <c r="A3" s="8"/>
      <c r="B3" s="4"/>
      <c r="C3" s="27" t="s">
        <v>30</v>
      </c>
      <c r="D3" s="36"/>
      <c r="E3" s="27"/>
      <c r="F3" s="27"/>
      <c r="G3" s="27"/>
      <c r="H3" s="27"/>
      <c r="I3" s="5"/>
      <c r="J3" s="5"/>
      <c r="K3" s="27" t="s">
        <v>30</v>
      </c>
      <c r="L3" s="27"/>
      <c r="M3" s="27"/>
      <c r="N3" s="27"/>
      <c r="O3" s="32"/>
      <c r="P3" s="5"/>
      <c r="Q3" s="27" t="s">
        <v>30</v>
      </c>
      <c r="R3" s="27"/>
      <c r="S3" s="27"/>
      <c r="AM3" s="46"/>
      <c r="AN3" s="46"/>
      <c r="AO3" s="46"/>
      <c r="AP3" s="46"/>
      <c r="AQ3" s="46"/>
      <c r="AR3" s="46"/>
      <c r="AS3" s="46"/>
      <c r="AT3" s="46"/>
      <c r="AU3" s="51"/>
      <c r="AV3" s="51"/>
      <c r="AW3" s="51"/>
      <c r="AX3" s="51"/>
      <c r="AY3" s="51"/>
    </row>
    <row r="4" spans="1:57" s="6" customFormat="1">
      <c r="A4" s="8"/>
      <c r="B4" s="4"/>
      <c r="C4" s="5"/>
      <c r="D4" s="5"/>
      <c r="E4" s="5"/>
      <c r="F4" s="5"/>
      <c r="G4" s="5"/>
      <c r="H4" s="5"/>
      <c r="I4" s="30" t="s">
        <v>2</v>
      </c>
      <c r="J4" s="30"/>
      <c r="K4" s="5"/>
      <c r="L4" s="5"/>
      <c r="M4" s="5"/>
      <c r="N4" s="5"/>
      <c r="O4" s="30" t="s">
        <v>6</v>
      </c>
      <c r="P4" s="31"/>
      <c r="Q4" s="13"/>
      <c r="R4" s="11"/>
      <c r="AM4" s="46"/>
      <c r="AN4" s="46"/>
      <c r="AO4" s="46"/>
      <c r="AP4" s="46"/>
      <c r="AQ4" s="46"/>
      <c r="AR4" s="46"/>
      <c r="AS4" s="46"/>
      <c r="AT4" s="46"/>
      <c r="AU4" s="51"/>
      <c r="AV4" s="51"/>
      <c r="AW4" s="51"/>
      <c r="AX4" s="51"/>
      <c r="AY4" s="51"/>
    </row>
    <row r="5" spans="1:57" s="6" customFormat="1" ht="13.15" customHeight="1">
      <c r="A5" s="35" t="s">
        <v>7</v>
      </c>
      <c r="B5" s="38" t="s">
        <v>21</v>
      </c>
      <c r="C5" s="37" t="s">
        <v>24</v>
      </c>
      <c r="D5" s="34"/>
      <c r="E5" s="34"/>
      <c r="F5" s="34"/>
      <c r="G5" s="34"/>
      <c r="H5" s="34"/>
      <c r="I5" s="34"/>
      <c r="J5" s="34"/>
      <c r="K5" s="33" t="s">
        <v>25</v>
      </c>
      <c r="L5" s="34"/>
      <c r="M5" s="34"/>
      <c r="N5" s="34"/>
      <c r="O5" s="34"/>
      <c r="P5" s="34"/>
      <c r="Q5" s="33" t="s">
        <v>25</v>
      </c>
      <c r="R5" s="34"/>
      <c r="S5" s="34"/>
      <c r="AM5" s="46"/>
      <c r="AN5" s="46"/>
      <c r="AO5" s="46"/>
      <c r="AP5" s="46"/>
      <c r="AQ5" s="46"/>
      <c r="AR5" s="46"/>
      <c r="AS5" s="46"/>
      <c r="AT5" s="46"/>
      <c r="AU5" s="51"/>
      <c r="AV5" s="51"/>
      <c r="AW5" s="51"/>
      <c r="AX5" s="51"/>
      <c r="AY5" s="51"/>
    </row>
    <row r="6" spans="1:57" s="6" customFormat="1" ht="17.45" customHeight="1">
      <c r="A6" s="35"/>
      <c r="B6" s="34"/>
      <c r="C6" s="37" t="s">
        <v>12</v>
      </c>
      <c r="D6" s="37" t="s">
        <v>13</v>
      </c>
      <c r="E6" s="37" t="s">
        <v>3</v>
      </c>
      <c r="F6" s="37" t="s">
        <v>20</v>
      </c>
      <c r="G6" s="37" t="s">
        <v>0</v>
      </c>
      <c r="H6" s="34"/>
      <c r="I6" s="37" t="s">
        <v>22</v>
      </c>
      <c r="J6" s="37" t="s">
        <v>4</v>
      </c>
      <c r="K6" s="28" t="s">
        <v>11</v>
      </c>
      <c r="L6" s="28" t="s">
        <v>9</v>
      </c>
      <c r="M6" s="28" t="s">
        <v>14</v>
      </c>
      <c r="N6" s="28" t="s">
        <v>23</v>
      </c>
      <c r="O6" s="28" t="s">
        <v>15</v>
      </c>
      <c r="P6" s="28" t="s">
        <v>10</v>
      </c>
      <c r="Q6" s="28" t="s">
        <v>16</v>
      </c>
      <c r="R6" s="28" t="s">
        <v>17</v>
      </c>
      <c r="S6" s="28" t="s">
        <v>18</v>
      </c>
      <c r="AM6" s="46"/>
      <c r="AN6" s="46"/>
      <c r="AO6" s="46"/>
      <c r="AP6" s="46"/>
      <c r="AQ6" s="46"/>
      <c r="AR6" s="46"/>
      <c r="AS6" s="46"/>
      <c r="AT6" s="46"/>
      <c r="AU6" s="51"/>
      <c r="AV6" s="51"/>
      <c r="AW6" s="51"/>
      <c r="AX6" s="51"/>
      <c r="AY6" s="51"/>
    </row>
    <row r="7" spans="1:57" s="6" customFormat="1" ht="63.6" customHeight="1">
      <c r="A7" s="35"/>
      <c r="B7" s="34"/>
      <c r="C7" s="34"/>
      <c r="D7" s="34"/>
      <c r="E7" s="34"/>
      <c r="F7" s="34"/>
      <c r="G7" s="7" t="s">
        <v>19</v>
      </c>
      <c r="H7" s="7" t="s">
        <v>5</v>
      </c>
      <c r="I7" s="34"/>
      <c r="J7" s="34"/>
      <c r="K7" s="29"/>
      <c r="L7" s="29"/>
      <c r="M7" s="29"/>
      <c r="N7" s="29"/>
      <c r="O7" s="29"/>
      <c r="P7" s="29"/>
      <c r="Q7" s="29"/>
      <c r="R7" s="29"/>
      <c r="S7" s="29"/>
      <c r="AM7" s="46"/>
      <c r="AN7" s="46"/>
      <c r="AO7" s="46"/>
      <c r="AP7" s="46"/>
      <c r="AQ7" s="46"/>
      <c r="AR7" s="46"/>
      <c r="AS7" s="46"/>
      <c r="AT7" s="46"/>
      <c r="AU7" s="51"/>
      <c r="AV7" s="51"/>
      <c r="AW7" s="51"/>
      <c r="AX7" s="51"/>
      <c r="AY7" s="51"/>
    </row>
    <row r="8" spans="1:57" s="17" customFormat="1">
      <c r="A8" s="14" t="s">
        <v>1</v>
      </c>
      <c r="B8" s="15" t="s">
        <v>8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>
        <v>8</v>
      </c>
      <c r="K8" s="15">
        <v>9</v>
      </c>
      <c r="L8" s="15">
        <v>10</v>
      </c>
      <c r="M8" s="15">
        <v>11</v>
      </c>
      <c r="N8" s="15">
        <v>12</v>
      </c>
      <c r="O8" s="15">
        <v>13</v>
      </c>
      <c r="P8" s="15">
        <v>14</v>
      </c>
      <c r="Q8" s="16" t="s">
        <v>26</v>
      </c>
      <c r="R8" s="16" t="s">
        <v>27</v>
      </c>
      <c r="S8" s="15" t="s">
        <v>28</v>
      </c>
      <c r="AM8" s="47"/>
      <c r="AN8" s="47"/>
      <c r="AO8" s="47"/>
      <c r="AP8" s="47"/>
      <c r="AQ8" s="47"/>
      <c r="AR8" s="47"/>
      <c r="AS8" s="47"/>
      <c r="AT8" s="47"/>
      <c r="AU8" s="52"/>
      <c r="AV8" s="52"/>
      <c r="AW8" s="52"/>
      <c r="AX8" s="52"/>
      <c r="AY8" s="52"/>
    </row>
    <row r="9" spans="1:57" s="24" customFormat="1" ht="13.5" thickBot="1">
      <c r="A9" s="20" t="s">
        <v>123</v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3"/>
      <c r="R9" s="23"/>
      <c r="S9" s="22"/>
      <c r="AM9" s="48"/>
      <c r="AN9" s="48"/>
      <c r="AO9" s="48"/>
      <c r="AP9" s="48"/>
      <c r="AQ9" s="48"/>
      <c r="AR9" s="48"/>
      <c r="AS9" s="48"/>
      <c r="AT9" s="48"/>
      <c r="AU9" s="53"/>
      <c r="AV9" s="53"/>
      <c r="AW9" s="53"/>
      <c r="AX9" s="53"/>
      <c r="AY9" s="53"/>
    </row>
    <row r="10" spans="1:57" s="24" customFormat="1" ht="26.25">
      <c r="A10" s="20" t="s">
        <v>124</v>
      </c>
      <c r="B10" s="25" t="s">
        <v>32</v>
      </c>
      <c r="C10" s="22">
        <v>451806332</v>
      </c>
      <c r="D10" s="22">
        <v>338189827</v>
      </c>
      <c r="E10" s="22">
        <v>113616505</v>
      </c>
      <c r="F10" s="22">
        <v>50117067</v>
      </c>
      <c r="G10" s="22">
        <v>28716992</v>
      </c>
      <c r="H10" s="22">
        <v>21400075</v>
      </c>
      <c r="I10" s="22">
        <v>388306894</v>
      </c>
      <c r="J10" s="22">
        <v>63499438</v>
      </c>
      <c r="K10" s="22">
        <v>-26192421</v>
      </c>
      <c r="L10" s="22">
        <v>37307017</v>
      </c>
      <c r="M10" s="22">
        <v>4371599</v>
      </c>
      <c r="N10" s="22">
        <v>3476083</v>
      </c>
      <c r="O10" s="22">
        <v>2211433</v>
      </c>
      <c r="P10" s="22">
        <v>38622934</v>
      </c>
      <c r="Q10" s="23">
        <v>348569</v>
      </c>
      <c r="R10" s="23">
        <v>-253889</v>
      </c>
      <c r="S10" s="22">
        <v>38724384</v>
      </c>
      <c r="U10" s="39">
        <v>451806332</v>
      </c>
      <c r="V10" s="40">
        <v>338189827</v>
      </c>
      <c r="W10" s="40">
        <v>113616505</v>
      </c>
      <c r="X10" s="40">
        <v>50117067</v>
      </c>
      <c r="Y10" s="40">
        <v>28716992</v>
      </c>
      <c r="Z10" s="40">
        <v>21400075</v>
      </c>
      <c r="AA10" s="40">
        <v>388306894</v>
      </c>
      <c r="AB10" s="40">
        <v>63499438</v>
      </c>
      <c r="AC10" s="39">
        <v>-26192421</v>
      </c>
      <c r="AD10" s="40">
        <v>37307017</v>
      </c>
      <c r="AE10" s="40">
        <v>4371599</v>
      </c>
      <c r="AF10" s="40">
        <v>3476083</v>
      </c>
      <c r="AG10" s="40">
        <v>2211433</v>
      </c>
      <c r="AH10" s="39">
        <v>38622934</v>
      </c>
      <c r="AI10" s="43">
        <v>348569</v>
      </c>
      <c r="AJ10" s="43">
        <v>-253889</v>
      </c>
      <c r="AK10" s="40">
        <v>38724384</v>
      </c>
      <c r="AM10" s="49">
        <f>C10-U10</f>
        <v>0</v>
      </c>
      <c r="AN10" s="49">
        <f t="shared" ref="AN10:BE10" si="0">D10-V10</f>
        <v>0</v>
      </c>
      <c r="AO10" s="49">
        <f t="shared" si="0"/>
        <v>0</v>
      </c>
      <c r="AP10" s="49">
        <f t="shared" si="0"/>
        <v>0</v>
      </c>
      <c r="AQ10" s="49">
        <f t="shared" si="0"/>
        <v>0</v>
      </c>
      <c r="AR10" s="49">
        <f t="shared" si="0"/>
        <v>0</v>
      </c>
      <c r="AS10" s="49">
        <f t="shared" si="0"/>
        <v>0</v>
      </c>
      <c r="AT10" s="49">
        <f t="shared" si="0"/>
        <v>0</v>
      </c>
      <c r="AU10" s="54">
        <f t="shared" si="0"/>
        <v>0</v>
      </c>
      <c r="AV10" s="54">
        <f t="shared" si="0"/>
        <v>0</v>
      </c>
      <c r="AW10" s="54">
        <f t="shared" si="0"/>
        <v>0</v>
      </c>
      <c r="AX10" s="54">
        <f t="shared" si="0"/>
        <v>0</v>
      </c>
      <c r="AY10" s="54">
        <f t="shared" si="0"/>
        <v>0</v>
      </c>
      <c r="AZ10" s="45">
        <f t="shared" si="0"/>
        <v>0</v>
      </c>
      <c r="BA10" s="45">
        <f t="shared" si="0"/>
        <v>0</v>
      </c>
      <c r="BB10" s="45">
        <f t="shared" si="0"/>
        <v>0</v>
      </c>
      <c r="BC10" s="45">
        <f t="shared" si="0"/>
        <v>0</v>
      </c>
      <c r="BD10" s="45">
        <f t="shared" si="0"/>
        <v>0</v>
      </c>
      <c r="BE10" s="45">
        <f t="shared" si="0"/>
        <v>451806332</v>
      </c>
    </row>
    <row r="11" spans="1:57" s="24" customFormat="1" ht="51.75">
      <c r="A11" s="20" t="s">
        <v>125</v>
      </c>
      <c r="B11" s="25" t="s">
        <v>34</v>
      </c>
      <c r="C11" s="22">
        <v>167965208</v>
      </c>
      <c r="D11" s="22">
        <v>119270122</v>
      </c>
      <c r="E11" s="22">
        <v>48695086</v>
      </c>
      <c r="F11" s="22">
        <v>28443508</v>
      </c>
      <c r="G11" s="22">
        <v>19283895</v>
      </c>
      <c r="H11" s="22">
        <v>9159613</v>
      </c>
      <c r="I11" s="22">
        <v>147713630</v>
      </c>
      <c r="J11" s="22">
        <v>20251578</v>
      </c>
      <c r="K11" s="22">
        <v>-18518607</v>
      </c>
      <c r="L11" s="22">
        <v>1732971</v>
      </c>
      <c r="M11" s="22">
        <v>960755</v>
      </c>
      <c r="N11" s="22">
        <v>24862</v>
      </c>
      <c r="O11" s="22">
        <v>-1194292</v>
      </c>
      <c r="P11" s="22">
        <v>-397214</v>
      </c>
      <c r="Q11" s="23">
        <v>-37540</v>
      </c>
      <c r="R11" s="23">
        <v>-112181</v>
      </c>
      <c r="S11" s="22">
        <v>-540165</v>
      </c>
      <c r="U11" s="41">
        <v>167965208</v>
      </c>
      <c r="V11" s="42">
        <v>119270122</v>
      </c>
      <c r="W11" s="42">
        <v>48695086</v>
      </c>
      <c r="X11" s="42">
        <v>28443508</v>
      </c>
      <c r="Y11" s="42">
        <v>19283895</v>
      </c>
      <c r="Z11" s="42">
        <v>9159613</v>
      </c>
      <c r="AA11" s="42">
        <v>147713630</v>
      </c>
      <c r="AB11" s="42">
        <v>20251578</v>
      </c>
      <c r="AC11" s="41">
        <v>-18518607</v>
      </c>
      <c r="AD11" s="42">
        <v>1732971</v>
      </c>
      <c r="AE11" s="42">
        <v>960755</v>
      </c>
      <c r="AF11" s="42">
        <v>24862</v>
      </c>
      <c r="AG11" s="42">
        <v>-1194292</v>
      </c>
      <c r="AH11" s="41">
        <v>-397214</v>
      </c>
      <c r="AI11" s="44">
        <v>-37540</v>
      </c>
      <c r="AJ11" s="44">
        <v>-112181</v>
      </c>
      <c r="AK11" s="42">
        <v>-540165</v>
      </c>
      <c r="AM11" s="49">
        <f t="shared" ref="AM11:AM63" si="1">C11-U11</f>
        <v>0</v>
      </c>
      <c r="AN11" s="49">
        <f t="shared" ref="AN11:AN63" si="2">D11-V11</f>
        <v>0</v>
      </c>
      <c r="AO11" s="49">
        <f t="shared" ref="AO11:AO63" si="3">E11-W11</f>
        <v>0</v>
      </c>
      <c r="AP11" s="49">
        <f t="shared" ref="AP11:AP63" si="4">F11-X11</f>
        <v>0</v>
      </c>
      <c r="AQ11" s="49">
        <f t="shared" ref="AQ11:AQ63" si="5">G11-Y11</f>
        <v>0</v>
      </c>
      <c r="AR11" s="49">
        <f t="shared" ref="AR11:AR63" si="6">H11-Z11</f>
        <v>0</v>
      </c>
      <c r="AS11" s="49">
        <f t="shared" ref="AS11:AS63" si="7">I11-AA11</f>
        <v>0</v>
      </c>
      <c r="AT11" s="49">
        <f t="shared" ref="AT11:AT63" si="8">J11-AB11</f>
        <v>0</v>
      </c>
      <c r="AU11" s="54">
        <f t="shared" ref="AU11:AU63" si="9">K11-AC11</f>
        <v>0</v>
      </c>
      <c r="AV11" s="54">
        <f t="shared" ref="AV11:AV63" si="10">L11-AD11</f>
        <v>0</v>
      </c>
      <c r="AW11" s="54">
        <f t="shared" ref="AW11:AW63" si="11">M11-AE11</f>
        <v>0</v>
      </c>
      <c r="AX11" s="54">
        <f t="shared" ref="AX11:AX63" si="12">N11-AF11</f>
        <v>0</v>
      </c>
      <c r="AY11" s="54">
        <f t="shared" ref="AY11:AY63" si="13">O11-AG11</f>
        <v>0</v>
      </c>
      <c r="AZ11" s="45">
        <f t="shared" ref="AZ11:AZ63" si="14">P11-AH11</f>
        <v>0</v>
      </c>
      <c r="BA11" s="45">
        <f t="shared" ref="BA11:BA63" si="15">Q11-AI11</f>
        <v>0</v>
      </c>
      <c r="BB11" s="45">
        <f t="shared" ref="BB11:BB63" si="16">R11-AJ11</f>
        <v>0</v>
      </c>
      <c r="BC11" s="45">
        <f t="shared" ref="BC11:BC63" si="17">S11-AK11</f>
        <v>0</v>
      </c>
      <c r="BD11" s="45">
        <f t="shared" ref="BD11:BD63" si="18">T11-AL11</f>
        <v>0</v>
      </c>
    </row>
    <row r="12" spans="1:57" ht="64.5">
      <c r="A12" s="18" t="s">
        <v>35</v>
      </c>
      <c r="B12" s="19" t="s">
        <v>36</v>
      </c>
      <c r="C12" s="2">
        <v>2559573</v>
      </c>
      <c r="D12" s="2">
        <v>2880240</v>
      </c>
      <c r="E12" s="2">
        <v>-320667</v>
      </c>
      <c r="F12" s="2">
        <v>580470</v>
      </c>
      <c r="G12" s="2">
        <v>137610</v>
      </c>
      <c r="H12" s="2">
        <v>442860</v>
      </c>
      <c r="I12" s="2">
        <v>3460710</v>
      </c>
      <c r="J12" s="2">
        <v>-901137</v>
      </c>
      <c r="K12" s="2">
        <v>701822</v>
      </c>
      <c r="L12" s="2">
        <v>-199315</v>
      </c>
      <c r="M12" s="2">
        <v>188</v>
      </c>
      <c r="N12" s="2">
        <v>-3180</v>
      </c>
      <c r="O12" s="2">
        <v>-1723</v>
      </c>
      <c r="P12" s="2">
        <v>-204406</v>
      </c>
      <c r="Q12" s="12" t="s">
        <v>33</v>
      </c>
      <c r="R12" s="12">
        <v>-500</v>
      </c>
      <c r="S12" s="2">
        <v>-204906</v>
      </c>
      <c r="U12" s="41">
        <v>2559573</v>
      </c>
      <c r="V12" s="42">
        <v>2880240</v>
      </c>
      <c r="W12" s="42">
        <v>-320667</v>
      </c>
      <c r="X12" s="42">
        <v>580470</v>
      </c>
      <c r="Y12" s="42">
        <v>137610</v>
      </c>
      <c r="Z12" s="42">
        <v>442860</v>
      </c>
      <c r="AA12" s="42">
        <v>3460710</v>
      </c>
      <c r="AB12" s="42">
        <v>-901137</v>
      </c>
      <c r="AC12" s="41">
        <v>701822</v>
      </c>
      <c r="AD12" s="42">
        <v>-199315</v>
      </c>
      <c r="AE12" s="42">
        <v>188</v>
      </c>
      <c r="AF12" s="42">
        <v>-3180</v>
      </c>
      <c r="AG12" s="42">
        <v>-1723</v>
      </c>
      <c r="AH12" s="41">
        <v>-204406</v>
      </c>
      <c r="AI12" s="44" t="s">
        <v>33</v>
      </c>
      <c r="AJ12" s="44">
        <v>-500</v>
      </c>
      <c r="AK12" s="42">
        <v>-204906</v>
      </c>
      <c r="AM12" s="49">
        <f t="shared" si="1"/>
        <v>0</v>
      </c>
      <c r="AN12" s="49">
        <f t="shared" si="2"/>
        <v>0</v>
      </c>
      <c r="AO12" s="49">
        <f t="shared" si="3"/>
        <v>0</v>
      </c>
      <c r="AP12" s="49">
        <f t="shared" si="4"/>
        <v>0</v>
      </c>
      <c r="AQ12" s="49">
        <f t="shared" si="5"/>
        <v>0</v>
      </c>
      <c r="AR12" s="49">
        <f t="shared" si="6"/>
        <v>0</v>
      </c>
      <c r="AS12" s="49">
        <f t="shared" si="7"/>
        <v>0</v>
      </c>
      <c r="AT12" s="49">
        <f t="shared" si="8"/>
        <v>0</v>
      </c>
      <c r="AU12" s="54">
        <f t="shared" si="9"/>
        <v>0</v>
      </c>
      <c r="AV12" s="54">
        <f t="shared" si="10"/>
        <v>0</v>
      </c>
      <c r="AW12" s="54">
        <f t="shared" si="11"/>
        <v>0</v>
      </c>
      <c r="AX12" s="54">
        <f t="shared" si="12"/>
        <v>0</v>
      </c>
      <c r="AY12" s="54">
        <f t="shared" si="13"/>
        <v>0</v>
      </c>
      <c r="AZ12" s="45">
        <f t="shared" si="14"/>
        <v>0</v>
      </c>
      <c r="BA12" s="45" t="e">
        <f t="shared" si="15"/>
        <v>#VALUE!</v>
      </c>
      <c r="BB12" s="45">
        <f t="shared" si="16"/>
        <v>0</v>
      </c>
      <c r="BC12" s="45">
        <f t="shared" si="17"/>
        <v>0</v>
      </c>
      <c r="BD12" s="45">
        <f t="shared" si="18"/>
        <v>0</v>
      </c>
    </row>
    <row r="13" spans="1:57" ht="15.75">
      <c r="A13" s="18" t="s">
        <v>37</v>
      </c>
      <c r="B13" s="19" t="s">
        <v>38</v>
      </c>
      <c r="C13" s="2">
        <v>165405635</v>
      </c>
      <c r="D13" s="2">
        <v>116389882</v>
      </c>
      <c r="E13" s="2">
        <v>49015753</v>
      </c>
      <c r="F13" s="2">
        <v>27863038</v>
      </c>
      <c r="G13" s="2">
        <v>19146285</v>
      </c>
      <c r="H13" s="2">
        <v>8716753</v>
      </c>
      <c r="I13" s="2">
        <v>144252920</v>
      </c>
      <c r="J13" s="2">
        <v>21152715</v>
      </c>
      <c r="K13" s="2">
        <v>-19220429</v>
      </c>
      <c r="L13" s="2">
        <v>1932286</v>
      </c>
      <c r="M13" s="2">
        <v>960567</v>
      </c>
      <c r="N13" s="2">
        <v>28042</v>
      </c>
      <c r="O13" s="2">
        <v>-1192569</v>
      </c>
      <c r="P13" s="2">
        <v>-192808</v>
      </c>
      <c r="Q13" s="12">
        <v>-37540</v>
      </c>
      <c r="R13" s="12">
        <v>-111681</v>
      </c>
      <c r="S13" s="2">
        <v>-335259</v>
      </c>
      <c r="U13" s="41">
        <v>165405635</v>
      </c>
      <c r="V13" s="42">
        <v>116389882</v>
      </c>
      <c r="W13" s="42">
        <v>49015753</v>
      </c>
      <c r="X13" s="42">
        <v>27863038</v>
      </c>
      <c r="Y13" s="42">
        <v>19146285</v>
      </c>
      <c r="Z13" s="42">
        <v>8716753</v>
      </c>
      <c r="AA13" s="42">
        <v>144252920</v>
      </c>
      <c r="AB13" s="42">
        <v>21152715</v>
      </c>
      <c r="AC13" s="41">
        <v>-19220429</v>
      </c>
      <c r="AD13" s="42">
        <v>1932286</v>
      </c>
      <c r="AE13" s="42">
        <v>960567</v>
      </c>
      <c r="AF13" s="42">
        <v>28042</v>
      </c>
      <c r="AG13" s="42">
        <v>-1192569</v>
      </c>
      <c r="AH13" s="41">
        <v>-192808</v>
      </c>
      <c r="AI13" s="44">
        <v>-37540</v>
      </c>
      <c r="AJ13" s="44">
        <v>-111681</v>
      </c>
      <c r="AK13" s="42">
        <v>-335259</v>
      </c>
      <c r="AM13" s="49">
        <f t="shared" si="1"/>
        <v>0</v>
      </c>
      <c r="AN13" s="49">
        <f t="shared" si="2"/>
        <v>0</v>
      </c>
      <c r="AO13" s="49">
        <f t="shared" si="3"/>
        <v>0</v>
      </c>
      <c r="AP13" s="49">
        <f t="shared" si="4"/>
        <v>0</v>
      </c>
      <c r="AQ13" s="49">
        <f t="shared" si="5"/>
        <v>0</v>
      </c>
      <c r="AR13" s="49">
        <f t="shared" si="6"/>
        <v>0</v>
      </c>
      <c r="AS13" s="49">
        <f t="shared" si="7"/>
        <v>0</v>
      </c>
      <c r="AT13" s="49">
        <f t="shared" si="8"/>
        <v>0</v>
      </c>
      <c r="AU13" s="54">
        <f t="shared" si="9"/>
        <v>0</v>
      </c>
      <c r="AV13" s="54">
        <f t="shared" si="10"/>
        <v>0</v>
      </c>
      <c r="AW13" s="54">
        <f t="shared" si="11"/>
        <v>0</v>
      </c>
      <c r="AX13" s="54">
        <f t="shared" si="12"/>
        <v>0</v>
      </c>
      <c r="AY13" s="54">
        <f t="shared" si="13"/>
        <v>0</v>
      </c>
      <c r="AZ13" s="45">
        <f t="shared" si="14"/>
        <v>0</v>
      </c>
      <c r="BA13" s="45">
        <f t="shared" si="15"/>
        <v>0</v>
      </c>
      <c r="BB13" s="45">
        <f t="shared" si="16"/>
        <v>0</v>
      </c>
      <c r="BC13" s="45">
        <f t="shared" si="17"/>
        <v>0</v>
      </c>
      <c r="BD13" s="45">
        <f t="shared" si="18"/>
        <v>0</v>
      </c>
    </row>
    <row r="14" spans="1:57" s="24" customFormat="1" ht="26.25">
      <c r="A14" s="20" t="s">
        <v>126</v>
      </c>
      <c r="B14" s="25" t="s">
        <v>39</v>
      </c>
      <c r="C14" s="22">
        <v>68105678</v>
      </c>
      <c r="D14" s="22">
        <v>31680606</v>
      </c>
      <c r="E14" s="22">
        <v>36425072</v>
      </c>
      <c r="F14" s="22">
        <v>2211920</v>
      </c>
      <c r="G14" s="22" t="s">
        <v>33</v>
      </c>
      <c r="H14" s="22">
        <v>2211920</v>
      </c>
      <c r="I14" s="22">
        <v>33892526</v>
      </c>
      <c r="J14" s="22">
        <v>34213152</v>
      </c>
      <c r="K14" s="22">
        <v>-7015722</v>
      </c>
      <c r="L14" s="22">
        <v>27197430</v>
      </c>
      <c r="M14" s="22">
        <v>1172017</v>
      </c>
      <c r="N14" s="22">
        <v>1804515</v>
      </c>
      <c r="O14" s="22">
        <v>324957</v>
      </c>
      <c r="P14" s="22">
        <v>28154885</v>
      </c>
      <c r="Q14" s="23" t="s">
        <v>33</v>
      </c>
      <c r="R14" s="23" t="s">
        <v>33</v>
      </c>
      <c r="S14" s="22">
        <v>28154885</v>
      </c>
      <c r="U14" s="41">
        <v>68105678</v>
      </c>
      <c r="V14" s="42">
        <v>31680606</v>
      </c>
      <c r="W14" s="42">
        <v>36425072</v>
      </c>
      <c r="X14" s="42">
        <v>2211920</v>
      </c>
      <c r="Y14" s="42" t="s">
        <v>33</v>
      </c>
      <c r="Z14" s="42">
        <v>2211920</v>
      </c>
      <c r="AA14" s="42">
        <v>33892526</v>
      </c>
      <c r="AB14" s="42">
        <v>34213152</v>
      </c>
      <c r="AC14" s="41">
        <v>-7015722</v>
      </c>
      <c r="AD14" s="42">
        <v>27197430</v>
      </c>
      <c r="AE14" s="42">
        <v>1172017</v>
      </c>
      <c r="AF14" s="42">
        <v>1804515</v>
      </c>
      <c r="AG14" s="42">
        <v>324957</v>
      </c>
      <c r="AH14" s="41">
        <v>28154885</v>
      </c>
      <c r="AI14" s="44" t="s">
        <v>33</v>
      </c>
      <c r="AJ14" s="44" t="s">
        <v>33</v>
      </c>
      <c r="AK14" s="42">
        <v>28154885</v>
      </c>
      <c r="AM14" s="49">
        <f t="shared" si="1"/>
        <v>0</v>
      </c>
      <c r="AN14" s="49">
        <f t="shared" si="2"/>
        <v>0</v>
      </c>
      <c r="AO14" s="49">
        <f t="shared" si="3"/>
        <v>0</v>
      </c>
      <c r="AP14" s="49">
        <f t="shared" si="4"/>
        <v>0</v>
      </c>
      <c r="AQ14" s="49" t="e">
        <f t="shared" si="5"/>
        <v>#VALUE!</v>
      </c>
      <c r="AR14" s="49">
        <f t="shared" si="6"/>
        <v>0</v>
      </c>
      <c r="AS14" s="49">
        <f t="shared" si="7"/>
        <v>0</v>
      </c>
      <c r="AT14" s="49">
        <f t="shared" si="8"/>
        <v>0</v>
      </c>
      <c r="AU14" s="54">
        <f t="shared" si="9"/>
        <v>0</v>
      </c>
      <c r="AV14" s="54">
        <f t="shared" si="10"/>
        <v>0</v>
      </c>
      <c r="AW14" s="54">
        <f t="shared" si="11"/>
        <v>0</v>
      </c>
      <c r="AX14" s="54">
        <f t="shared" si="12"/>
        <v>0</v>
      </c>
      <c r="AY14" s="54">
        <f t="shared" si="13"/>
        <v>0</v>
      </c>
      <c r="AZ14" s="45">
        <f t="shared" si="14"/>
        <v>0</v>
      </c>
      <c r="BA14" s="45" t="e">
        <f t="shared" si="15"/>
        <v>#VALUE!</v>
      </c>
      <c r="BB14" s="45" t="e">
        <f t="shared" si="16"/>
        <v>#VALUE!</v>
      </c>
      <c r="BC14" s="45">
        <f t="shared" si="17"/>
        <v>0</v>
      </c>
      <c r="BD14" s="45">
        <f t="shared" si="18"/>
        <v>0</v>
      </c>
    </row>
    <row r="15" spans="1:57" ht="15.75">
      <c r="A15" s="18" t="s">
        <v>40</v>
      </c>
      <c r="B15" s="19" t="s">
        <v>41</v>
      </c>
      <c r="C15" s="2">
        <v>68105678</v>
      </c>
      <c r="D15" s="2">
        <v>31680606</v>
      </c>
      <c r="E15" s="2">
        <v>36425072</v>
      </c>
      <c r="F15" s="2">
        <v>2211920</v>
      </c>
      <c r="G15" s="2" t="s">
        <v>33</v>
      </c>
      <c r="H15" s="2">
        <v>2211920</v>
      </c>
      <c r="I15" s="2">
        <v>33892526</v>
      </c>
      <c r="J15" s="2">
        <v>34213152</v>
      </c>
      <c r="K15" s="2">
        <v>-7015722</v>
      </c>
      <c r="L15" s="2">
        <v>27197430</v>
      </c>
      <c r="M15" s="2">
        <v>1172017</v>
      </c>
      <c r="N15" s="2">
        <v>1804515</v>
      </c>
      <c r="O15" s="2">
        <v>324957</v>
      </c>
      <c r="P15" s="2">
        <v>28154885</v>
      </c>
      <c r="Q15" s="12" t="s">
        <v>33</v>
      </c>
      <c r="R15" s="12" t="s">
        <v>33</v>
      </c>
      <c r="S15" s="2">
        <v>28154885</v>
      </c>
      <c r="U15" s="41">
        <v>68105678</v>
      </c>
      <c r="V15" s="42">
        <v>31680606</v>
      </c>
      <c r="W15" s="42">
        <v>36425072</v>
      </c>
      <c r="X15" s="42">
        <v>2211920</v>
      </c>
      <c r="Y15" s="42" t="s">
        <v>33</v>
      </c>
      <c r="Z15" s="42">
        <v>2211920</v>
      </c>
      <c r="AA15" s="42">
        <v>33892526</v>
      </c>
      <c r="AB15" s="42">
        <v>34213152</v>
      </c>
      <c r="AC15" s="41">
        <v>-7015722</v>
      </c>
      <c r="AD15" s="42">
        <v>27197430</v>
      </c>
      <c r="AE15" s="42">
        <v>1172017</v>
      </c>
      <c r="AF15" s="42">
        <v>1804515</v>
      </c>
      <c r="AG15" s="42">
        <v>324957</v>
      </c>
      <c r="AH15" s="41">
        <v>28154885</v>
      </c>
      <c r="AI15" s="44" t="s">
        <v>33</v>
      </c>
      <c r="AJ15" s="44" t="s">
        <v>33</v>
      </c>
      <c r="AK15" s="42">
        <v>28154885</v>
      </c>
      <c r="AM15" s="49">
        <f t="shared" si="1"/>
        <v>0</v>
      </c>
      <c r="AN15" s="49">
        <f t="shared" si="2"/>
        <v>0</v>
      </c>
      <c r="AO15" s="49">
        <f t="shared" si="3"/>
        <v>0</v>
      </c>
      <c r="AP15" s="49">
        <f t="shared" si="4"/>
        <v>0</v>
      </c>
      <c r="AQ15" s="49" t="e">
        <f t="shared" si="5"/>
        <v>#VALUE!</v>
      </c>
      <c r="AR15" s="49">
        <f t="shared" si="6"/>
        <v>0</v>
      </c>
      <c r="AS15" s="49">
        <f t="shared" si="7"/>
        <v>0</v>
      </c>
      <c r="AT15" s="49">
        <f t="shared" si="8"/>
        <v>0</v>
      </c>
      <c r="AU15" s="54">
        <f t="shared" si="9"/>
        <v>0</v>
      </c>
      <c r="AV15" s="54">
        <f t="shared" si="10"/>
        <v>0</v>
      </c>
      <c r="AW15" s="54">
        <f t="shared" si="11"/>
        <v>0</v>
      </c>
      <c r="AX15" s="54">
        <f t="shared" si="12"/>
        <v>0</v>
      </c>
      <c r="AY15" s="54">
        <f t="shared" si="13"/>
        <v>0</v>
      </c>
      <c r="AZ15" s="45">
        <f t="shared" si="14"/>
        <v>0</v>
      </c>
      <c r="BA15" s="45" t="e">
        <f t="shared" si="15"/>
        <v>#VALUE!</v>
      </c>
      <c r="BB15" s="45" t="e">
        <f t="shared" si="16"/>
        <v>#VALUE!</v>
      </c>
      <c r="BC15" s="45">
        <f t="shared" si="17"/>
        <v>0</v>
      </c>
      <c r="BD15" s="45">
        <f t="shared" si="18"/>
        <v>0</v>
      </c>
    </row>
    <row r="16" spans="1:57" s="24" customFormat="1" ht="26.25">
      <c r="A16" s="20" t="s">
        <v>127</v>
      </c>
      <c r="B16" s="25" t="s">
        <v>42</v>
      </c>
      <c r="C16" s="22">
        <v>29215698</v>
      </c>
      <c r="D16" s="22">
        <v>18089224</v>
      </c>
      <c r="E16" s="22">
        <v>11126474</v>
      </c>
      <c r="F16" s="22">
        <v>5370651</v>
      </c>
      <c r="G16" s="22">
        <v>2216385</v>
      </c>
      <c r="H16" s="22">
        <v>3154266</v>
      </c>
      <c r="I16" s="22">
        <v>23459875</v>
      </c>
      <c r="J16" s="22">
        <v>5755823</v>
      </c>
      <c r="K16" s="22">
        <v>-1094570</v>
      </c>
      <c r="L16" s="22">
        <v>4661253</v>
      </c>
      <c r="M16" s="22">
        <v>311712</v>
      </c>
      <c r="N16" s="22">
        <v>-131029</v>
      </c>
      <c r="O16" s="22">
        <v>-151267</v>
      </c>
      <c r="P16" s="22">
        <v>4067245</v>
      </c>
      <c r="Q16" s="23">
        <v>102317</v>
      </c>
      <c r="R16" s="23">
        <v>-143149</v>
      </c>
      <c r="S16" s="22">
        <v>4026413</v>
      </c>
      <c r="U16" s="41">
        <v>29215698</v>
      </c>
      <c r="V16" s="42">
        <v>18089224</v>
      </c>
      <c r="W16" s="42">
        <v>11126474</v>
      </c>
      <c r="X16" s="42">
        <v>5370651</v>
      </c>
      <c r="Y16" s="42">
        <v>2216385</v>
      </c>
      <c r="Z16" s="42">
        <v>3154266</v>
      </c>
      <c r="AA16" s="42">
        <v>23459875</v>
      </c>
      <c r="AB16" s="42">
        <v>5755823</v>
      </c>
      <c r="AC16" s="41">
        <v>-1094570</v>
      </c>
      <c r="AD16" s="42">
        <v>4661253</v>
      </c>
      <c r="AE16" s="42">
        <v>311712</v>
      </c>
      <c r="AF16" s="42">
        <v>-131029</v>
      </c>
      <c r="AG16" s="42">
        <v>-151267</v>
      </c>
      <c r="AH16" s="41">
        <v>4067245</v>
      </c>
      <c r="AI16" s="44">
        <v>102317</v>
      </c>
      <c r="AJ16" s="44">
        <v>-143149</v>
      </c>
      <c r="AK16" s="42">
        <v>4026413</v>
      </c>
      <c r="AM16" s="49">
        <f t="shared" si="1"/>
        <v>0</v>
      </c>
      <c r="AN16" s="49">
        <f t="shared" si="2"/>
        <v>0</v>
      </c>
      <c r="AO16" s="49">
        <f t="shared" si="3"/>
        <v>0</v>
      </c>
      <c r="AP16" s="49">
        <f t="shared" si="4"/>
        <v>0</v>
      </c>
      <c r="AQ16" s="49">
        <f t="shared" si="5"/>
        <v>0</v>
      </c>
      <c r="AR16" s="49">
        <f t="shared" si="6"/>
        <v>0</v>
      </c>
      <c r="AS16" s="49">
        <f t="shared" si="7"/>
        <v>0</v>
      </c>
      <c r="AT16" s="49">
        <f t="shared" si="8"/>
        <v>0</v>
      </c>
      <c r="AU16" s="54">
        <f t="shared" si="9"/>
        <v>0</v>
      </c>
      <c r="AV16" s="54">
        <f t="shared" si="10"/>
        <v>0</v>
      </c>
      <c r="AW16" s="54">
        <f t="shared" si="11"/>
        <v>0</v>
      </c>
      <c r="AX16" s="54">
        <f t="shared" si="12"/>
        <v>0</v>
      </c>
      <c r="AY16" s="54">
        <f t="shared" si="13"/>
        <v>0</v>
      </c>
      <c r="AZ16" s="45">
        <f t="shared" si="14"/>
        <v>0</v>
      </c>
      <c r="BA16" s="45">
        <f t="shared" si="15"/>
        <v>0</v>
      </c>
      <c r="BB16" s="45">
        <f t="shared" si="16"/>
        <v>0</v>
      </c>
      <c r="BC16" s="45">
        <f t="shared" si="17"/>
        <v>0</v>
      </c>
      <c r="BD16" s="45">
        <f t="shared" si="18"/>
        <v>0</v>
      </c>
    </row>
    <row r="17" spans="1:56" ht="26.25">
      <c r="A17" s="18" t="s">
        <v>43</v>
      </c>
      <c r="B17" s="19" t="s">
        <v>44</v>
      </c>
      <c r="C17" s="2">
        <v>24874628</v>
      </c>
      <c r="D17" s="2">
        <v>15192926</v>
      </c>
      <c r="E17" s="2">
        <v>9681702</v>
      </c>
      <c r="F17" s="2">
        <v>4325557</v>
      </c>
      <c r="G17" s="2">
        <v>2213307</v>
      </c>
      <c r="H17" s="2">
        <v>2112250</v>
      </c>
      <c r="I17" s="2">
        <v>19518483</v>
      </c>
      <c r="J17" s="2">
        <v>5356145</v>
      </c>
      <c r="K17" s="2">
        <v>-916511</v>
      </c>
      <c r="L17" s="2">
        <v>4439634</v>
      </c>
      <c r="M17" s="2">
        <v>276184</v>
      </c>
      <c r="N17" s="2">
        <v>-94026</v>
      </c>
      <c r="O17" s="2">
        <v>-149888</v>
      </c>
      <c r="P17" s="2">
        <v>3919536</v>
      </c>
      <c r="Q17" s="12" t="s">
        <v>33</v>
      </c>
      <c r="R17" s="12">
        <v>-143149</v>
      </c>
      <c r="S17" s="2">
        <v>3776387</v>
      </c>
      <c r="U17" s="41">
        <v>24874628</v>
      </c>
      <c r="V17" s="42">
        <v>15192926</v>
      </c>
      <c r="W17" s="42">
        <v>9681702</v>
      </c>
      <c r="X17" s="42">
        <v>4325557</v>
      </c>
      <c r="Y17" s="42">
        <v>2213307</v>
      </c>
      <c r="Z17" s="42">
        <v>2112250</v>
      </c>
      <c r="AA17" s="42">
        <v>19518483</v>
      </c>
      <c r="AB17" s="42">
        <v>5356145</v>
      </c>
      <c r="AC17" s="41">
        <v>-916511</v>
      </c>
      <c r="AD17" s="42">
        <v>4439634</v>
      </c>
      <c r="AE17" s="42">
        <v>276184</v>
      </c>
      <c r="AF17" s="42">
        <v>-94026</v>
      </c>
      <c r="AG17" s="42">
        <v>-149888</v>
      </c>
      <c r="AH17" s="41">
        <v>3919536</v>
      </c>
      <c r="AI17" s="44" t="s">
        <v>33</v>
      </c>
      <c r="AJ17" s="44">
        <v>-143149</v>
      </c>
      <c r="AK17" s="42">
        <v>3776387</v>
      </c>
      <c r="AM17" s="49">
        <f t="shared" si="1"/>
        <v>0</v>
      </c>
      <c r="AN17" s="49">
        <f t="shared" si="2"/>
        <v>0</v>
      </c>
      <c r="AO17" s="49">
        <f t="shared" si="3"/>
        <v>0</v>
      </c>
      <c r="AP17" s="49">
        <f t="shared" si="4"/>
        <v>0</v>
      </c>
      <c r="AQ17" s="49">
        <f t="shared" si="5"/>
        <v>0</v>
      </c>
      <c r="AR17" s="49">
        <f t="shared" si="6"/>
        <v>0</v>
      </c>
      <c r="AS17" s="49">
        <f t="shared" si="7"/>
        <v>0</v>
      </c>
      <c r="AT17" s="49">
        <f t="shared" si="8"/>
        <v>0</v>
      </c>
      <c r="AU17" s="54">
        <f t="shared" si="9"/>
        <v>0</v>
      </c>
      <c r="AV17" s="54">
        <f t="shared" si="10"/>
        <v>0</v>
      </c>
      <c r="AW17" s="54">
        <f t="shared" si="11"/>
        <v>0</v>
      </c>
      <c r="AX17" s="54">
        <f t="shared" si="12"/>
        <v>0</v>
      </c>
      <c r="AY17" s="54">
        <f t="shared" si="13"/>
        <v>0</v>
      </c>
      <c r="AZ17" s="45">
        <f t="shared" si="14"/>
        <v>0</v>
      </c>
      <c r="BA17" s="45" t="e">
        <f t="shared" si="15"/>
        <v>#VALUE!</v>
      </c>
      <c r="BB17" s="45">
        <f t="shared" si="16"/>
        <v>0</v>
      </c>
      <c r="BC17" s="45">
        <f t="shared" si="17"/>
        <v>0</v>
      </c>
      <c r="BD17" s="45">
        <f t="shared" si="18"/>
        <v>0</v>
      </c>
    </row>
    <row r="18" spans="1:56" ht="16.5" thickBot="1">
      <c r="A18" s="18" t="s">
        <v>45</v>
      </c>
      <c r="B18" s="19" t="s">
        <v>46</v>
      </c>
      <c r="C18" s="2">
        <v>631544</v>
      </c>
      <c r="D18" s="2">
        <v>418259</v>
      </c>
      <c r="E18" s="2">
        <v>213285</v>
      </c>
      <c r="F18" s="2">
        <v>111791</v>
      </c>
      <c r="G18" s="2">
        <v>3078</v>
      </c>
      <c r="H18" s="2">
        <v>108713</v>
      </c>
      <c r="I18" s="2">
        <v>530050</v>
      </c>
      <c r="J18" s="2">
        <v>101494</v>
      </c>
      <c r="K18" s="2">
        <v>40430</v>
      </c>
      <c r="L18" s="2">
        <v>141924</v>
      </c>
      <c r="M18" s="2">
        <v>23385</v>
      </c>
      <c r="N18" s="2">
        <v>-2335</v>
      </c>
      <c r="O18" s="2" t="s">
        <v>33</v>
      </c>
      <c r="P18" s="2">
        <v>116204</v>
      </c>
      <c r="Q18" s="12" t="s">
        <v>33</v>
      </c>
      <c r="R18" s="12" t="s">
        <v>33</v>
      </c>
      <c r="S18" s="2">
        <v>116204</v>
      </c>
      <c r="U18" s="41">
        <v>631544</v>
      </c>
      <c r="V18" s="42">
        <v>418259</v>
      </c>
      <c r="W18" s="42">
        <v>213285</v>
      </c>
      <c r="X18" s="42">
        <v>111791</v>
      </c>
      <c r="Y18" s="42">
        <v>3078</v>
      </c>
      <c r="Z18" s="42">
        <v>108713</v>
      </c>
      <c r="AA18" s="42">
        <v>530050</v>
      </c>
      <c r="AB18" s="42">
        <v>101494</v>
      </c>
      <c r="AC18" s="41">
        <v>40430</v>
      </c>
      <c r="AD18" s="42">
        <v>141924</v>
      </c>
      <c r="AE18" s="42">
        <v>23385</v>
      </c>
      <c r="AF18" s="42">
        <v>-2335</v>
      </c>
      <c r="AG18" s="42" t="s">
        <v>33</v>
      </c>
      <c r="AH18" s="41">
        <v>116204</v>
      </c>
      <c r="AI18" s="44" t="s">
        <v>33</v>
      </c>
      <c r="AJ18" s="44" t="s">
        <v>33</v>
      </c>
      <c r="AK18" s="42">
        <v>116204</v>
      </c>
      <c r="AM18" s="49">
        <f t="shared" si="1"/>
        <v>0</v>
      </c>
      <c r="AN18" s="49">
        <f t="shared" si="2"/>
        <v>0</v>
      </c>
      <c r="AO18" s="49">
        <f t="shared" si="3"/>
        <v>0</v>
      </c>
      <c r="AP18" s="49">
        <f t="shared" si="4"/>
        <v>0</v>
      </c>
      <c r="AQ18" s="49">
        <f t="shared" si="5"/>
        <v>0</v>
      </c>
      <c r="AR18" s="49">
        <f t="shared" si="6"/>
        <v>0</v>
      </c>
      <c r="AS18" s="49">
        <f t="shared" si="7"/>
        <v>0</v>
      </c>
      <c r="AT18" s="49">
        <f t="shared" si="8"/>
        <v>0</v>
      </c>
      <c r="AU18" s="54">
        <f t="shared" si="9"/>
        <v>0</v>
      </c>
      <c r="AV18" s="54">
        <f t="shared" si="10"/>
        <v>0</v>
      </c>
      <c r="AW18" s="54">
        <f t="shared" si="11"/>
        <v>0</v>
      </c>
      <c r="AX18" s="54">
        <f t="shared" si="12"/>
        <v>0</v>
      </c>
      <c r="AY18" s="54" t="e">
        <f t="shared" si="13"/>
        <v>#VALUE!</v>
      </c>
      <c r="AZ18" s="45">
        <f t="shared" si="14"/>
        <v>0</v>
      </c>
      <c r="BA18" s="45" t="e">
        <f t="shared" si="15"/>
        <v>#VALUE!</v>
      </c>
      <c r="BB18" s="45" t="e">
        <f t="shared" si="16"/>
        <v>#VALUE!</v>
      </c>
      <c r="BC18" s="45">
        <f t="shared" si="17"/>
        <v>0</v>
      </c>
      <c r="BD18" s="45">
        <f t="shared" si="18"/>
        <v>0</v>
      </c>
    </row>
    <row r="19" spans="1:56" ht="26.25">
      <c r="A19" s="18" t="s">
        <v>47</v>
      </c>
      <c r="B19" s="19" t="s">
        <v>48</v>
      </c>
      <c r="C19" s="2">
        <v>122935</v>
      </c>
      <c r="D19" s="2">
        <v>61981</v>
      </c>
      <c r="E19" s="2">
        <v>60954</v>
      </c>
      <c r="F19" s="2">
        <v>50677</v>
      </c>
      <c r="G19" s="2" t="s">
        <v>33</v>
      </c>
      <c r="H19" s="2">
        <v>50677</v>
      </c>
      <c r="I19" s="2">
        <v>112658</v>
      </c>
      <c r="J19" s="2">
        <v>10277</v>
      </c>
      <c r="K19" s="2">
        <v>-5070</v>
      </c>
      <c r="L19" s="2">
        <v>5207</v>
      </c>
      <c r="M19" s="2" t="s">
        <v>33</v>
      </c>
      <c r="N19" s="2" t="s">
        <v>33</v>
      </c>
      <c r="O19" s="2">
        <v>-1379</v>
      </c>
      <c r="P19" s="2">
        <v>3828</v>
      </c>
      <c r="Q19" s="12">
        <v>102317</v>
      </c>
      <c r="R19" s="12" t="s">
        <v>33</v>
      </c>
      <c r="S19" s="2">
        <v>106145</v>
      </c>
      <c r="U19" s="39">
        <v>122935</v>
      </c>
      <c r="V19" s="40">
        <v>61981</v>
      </c>
      <c r="W19" s="40">
        <v>60954</v>
      </c>
      <c r="X19" s="40">
        <v>50677</v>
      </c>
      <c r="Y19" s="40" t="s">
        <v>33</v>
      </c>
      <c r="Z19" s="40">
        <v>50677</v>
      </c>
      <c r="AA19" s="40">
        <v>112658</v>
      </c>
      <c r="AB19" s="40">
        <v>10277</v>
      </c>
      <c r="AC19" s="41">
        <v>-5070</v>
      </c>
      <c r="AD19" s="42">
        <v>5207</v>
      </c>
      <c r="AE19" s="42" t="s">
        <v>33</v>
      </c>
      <c r="AF19" s="42" t="s">
        <v>33</v>
      </c>
      <c r="AG19" s="42">
        <v>-1379</v>
      </c>
      <c r="AH19" s="41">
        <v>3828</v>
      </c>
      <c r="AI19" s="44">
        <v>102317</v>
      </c>
      <c r="AJ19" s="44" t="s">
        <v>33</v>
      </c>
      <c r="AK19" s="42">
        <v>106145</v>
      </c>
      <c r="AM19" s="49">
        <f t="shared" si="1"/>
        <v>0</v>
      </c>
      <c r="AN19" s="49">
        <f t="shared" si="2"/>
        <v>0</v>
      </c>
      <c r="AO19" s="49">
        <f t="shared" si="3"/>
        <v>0</v>
      </c>
      <c r="AP19" s="49">
        <f t="shared" si="4"/>
        <v>0</v>
      </c>
      <c r="AQ19" s="49" t="e">
        <f t="shared" si="5"/>
        <v>#VALUE!</v>
      </c>
      <c r="AR19" s="49">
        <f t="shared" si="6"/>
        <v>0</v>
      </c>
      <c r="AS19" s="49">
        <f t="shared" si="7"/>
        <v>0</v>
      </c>
      <c r="AT19" s="49">
        <f t="shared" si="8"/>
        <v>0</v>
      </c>
      <c r="AU19" s="54">
        <f t="shared" si="9"/>
        <v>0</v>
      </c>
      <c r="AV19" s="54">
        <f t="shared" si="10"/>
        <v>0</v>
      </c>
      <c r="AW19" s="54" t="e">
        <f t="shared" si="11"/>
        <v>#VALUE!</v>
      </c>
      <c r="AX19" s="54" t="e">
        <f t="shared" si="12"/>
        <v>#VALUE!</v>
      </c>
      <c r="AY19" s="54">
        <f t="shared" si="13"/>
        <v>0</v>
      </c>
      <c r="AZ19" s="45">
        <f t="shared" si="14"/>
        <v>0</v>
      </c>
      <c r="BA19" s="45">
        <f t="shared" si="15"/>
        <v>0</v>
      </c>
      <c r="BB19" s="45" t="e">
        <f t="shared" si="16"/>
        <v>#VALUE!</v>
      </c>
      <c r="BC19" s="45">
        <f t="shared" si="17"/>
        <v>0</v>
      </c>
      <c r="BD19" s="45">
        <f t="shared" si="18"/>
        <v>0</v>
      </c>
    </row>
    <row r="20" spans="1:56" ht="26.25">
      <c r="A20" s="18" t="s">
        <v>49</v>
      </c>
      <c r="B20" s="19" t="s">
        <v>50</v>
      </c>
      <c r="C20" s="2">
        <v>3586591</v>
      </c>
      <c r="D20" s="2">
        <v>2416058</v>
      </c>
      <c r="E20" s="2">
        <v>1170533</v>
      </c>
      <c r="F20" s="2">
        <v>882626</v>
      </c>
      <c r="G20" s="2" t="s">
        <v>33</v>
      </c>
      <c r="H20" s="2">
        <v>882626</v>
      </c>
      <c r="I20" s="2">
        <v>3298684</v>
      </c>
      <c r="J20" s="2">
        <v>287907</v>
      </c>
      <c r="K20" s="2">
        <v>-213419</v>
      </c>
      <c r="L20" s="2">
        <v>74488</v>
      </c>
      <c r="M20" s="2">
        <v>12143</v>
      </c>
      <c r="N20" s="2">
        <v>-34668</v>
      </c>
      <c r="O20" s="2" t="s">
        <v>33</v>
      </c>
      <c r="P20" s="2">
        <v>27677</v>
      </c>
      <c r="Q20" s="12" t="s">
        <v>33</v>
      </c>
      <c r="R20" s="12" t="s">
        <v>33</v>
      </c>
      <c r="S20" s="2">
        <v>27677</v>
      </c>
      <c r="U20" s="41">
        <v>3586591</v>
      </c>
      <c r="V20" s="42">
        <v>2416058</v>
      </c>
      <c r="W20" s="42">
        <v>1170533</v>
      </c>
      <c r="X20" s="42">
        <v>882626</v>
      </c>
      <c r="Y20" s="42" t="s">
        <v>33</v>
      </c>
      <c r="Z20" s="42">
        <v>882626</v>
      </c>
      <c r="AA20" s="42">
        <v>3298684</v>
      </c>
      <c r="AB20" s="42">
        <v>287907</v>
      </c>
      <c r="AC20" s="41">
        <v>-213419</v>
      </c>
      <c r="AD20" s="42">
        <v>74488</v>
      </c>
      <c r="AE20" s="42">
        <v>12143</v>
      </c>
      <c r="AF20" s="42">
        <v>-34668</v>
      </c>
      <c r="AG20" s="42" t="s">
        <v>33</v>
      </c>
      <c r="AH20" s="41">
        <v>27677</v>
      </c>
      <c r="AI20" s="44" t="s">
        <v>33</v>
      </c>
      <c r="AJ20" s="44" t="s">
        <v>33</v>
      </c>
      <c r="AK20" s="42">
        <v>27677</v>
      </c>
      <c r="AM20" s="49">
        <f t="shared" si="1"/>
        <v>0</v>
      </c>
      <c r="AN20" s="49">
        <f t="shared" si="2"/>
        <v>0</v>
      </c>
      <c r="AO20" s="49">
        <f t="shared" si="3"/>
        <v>0</v>
      </c>
      <c r="AP20" s="49">
        <f t="shared" si="4"/>
        <v>0</v>
      </c>
      <c r="AQ20" s="49" t="e">
        <f t="shared" si="5"/>
        <v>#VALUE!</v>
      </c>
      <c r="AR20" s="49">
        <f t="shared" si="6"/>
        <v>0</v>
      </c>
      <c r="AS20" s="49">
        <f t="shared" si="7"/>
        <v>0</v>
      </c>
      <c r="AT20" s="49">
        <f t="shared" si="8"/>
        <v>0</v>
      </c>
      <c r="AU20" s="54">
        <f t="shared" si="9"/>
        <v>0</v>
      </c>
      <c r="AV20" s="54">
        <f t="shared" si="10"/>
        <v>0</v>
      </c>
      <c r="AW20" s="54">
        <f t="shared" si="11"/>
        <v>0</v>
      </c>
      <c r="AX20" s="54">
        <f t="shared" si="12"/>
        <v>0</v>
      </c>
      <c r="AY20" s="54" t="e">
        <f t="shared" si="13"/>
        <v>#VALUE!</v>
      </c>
      <c r="AZ20" s="45">
        <f t="shared" si="14"/>
        <v>0</v>
      </c>
      <c r="BA20" s="45" t="e">
        <f t="shared" si="15"/>
        <v>#VALUE!</v>
      </c>
      <c r="BB20" s="45" t="e">
        <f t="shared" si="16"/>
        <v>#VALUE!</v>
      </c>
      <c r="BC20" s="45">
        <f t="shared" si="17"/>
        <v>0</v>
      </c>
      <c r="BD20" s="45">
        <f t="shared" si="18"/>
        <v>0</v>
      </c>
    </row>
    <row r="21" spans="1:56" s="24" customFormat="1" ht="77.25">
      <c r="A21" s="20" t="s">
        <v>128</v>
      </c>
      <c r="B21" s="25" t="s">
        <v>51</v>
      </c>
      <c r="C21" s="22">
        <v>61118419</v>
      </c>
      <c r="D21" s="22">
        <v>60282435</v>
      </c>
      <c r="E21" s="22">
        <v>835984</v>
      </c>
      <c r="F21" s="22">
        <v>2428546</v>
      </c>
      <c r="G21" s="22">
        <v>1038225</v>
      </c>
      <c r="H21" s="22">
        <v>1390321</v>
      </c>
      <c r="I21" s="22">
        <v>62710981</v>
      </c>
      <c r="J21" s="22">
        <v>-1592562</v>
      </c>
      <c r="K21" s="22">
        <v>5619863</v>
      </c>
      <c r="L21" s="22">
        <v>4027301</v>
      </c>
      <c r="M21" s="22">
        <v>562529</v>
      </c>
      <c r="N21" s="22">
        <v>-378779</v>
      </c>
      <c r="O21" s="22">
        <v>-176013</v>
      </c>
      <c r="P21" s="22">
        <v>2909980</v>
      </c>
      <c r="Q21" s="23" t="s">
        <v>33</v>
      </c>
      <c r="R21" s="23" t="s">
        <v>33</v>
      </c>
      <c r="S21" s="22">
        <v>2909980</v>
      </c>
      <c r="U21" s="41">
        <v>61118419</v>
      </c>
      <c r="V21" s="42">
        <v>60282435</v>
      </c>
      <c r="W21" s="42">
        <v>835984</v>
      </c>
      <c r="X21" s="42">
        <v>2428546</v>
      </c>
      <c r="Y21" s="42">
        <v>1038225</v>
      </c>
      <c r="Z21" s="42">
        <v>1390321</v>
      </c>
      <c r="AA21" s="42">
        <v>62710981</v>
      </c>
      <c r="AB21" s="42">
        <v>-1592562</v>
      </c>
      <c r="AC21" s="41">
        <v>5619863</v>
      </c>
      <c r="AD21" s="42">
        <v>4027301</v>
      </c>
      <c r="AE21" s="42">
        <v>562529</v>
      </c>
      <c r="AF21" s="42">
        <v>-378779</v>
      </c>
      <c r="AG21" s="42">
        <v>-176013</v>
      </c>
      <c r="AH21" s="41">
        <v>2909980</v>
      </c>
      <c r="AI21" s="44" t="s">
        <v>33</v>
      </c>
      <c r="AJ21" s="44" t="s">
        <v>33</v>
      </c>
      <c r="AK21" s="42">
        <v>2909980</v>
      </c>
      <c r="AM21" s="49">
        <f t="shared" si="1"/>
        <v>0</v>
      </c>
      <c r="AN21" s="49">
        <f t="shared" si="2"/>
        <v>0</v>
      </c>
      <c r="AO21" s="49">
        <f t="shared" si="3"/>
        <v>0</v>
      </c>
      <c r="AP21" s="49">
        <f t="shared" si="4"/>
        <v>0</v>
      </c>
      <c r="AQ21" s="49">
        <f t="shared" si="5"/>
        <v>0</v>
      </c>
      <c r="AR21" s="49">
        <f t="shared" si="6"/>
        <v>0</v>
      </c>
      <c r="AS21" s="49">
        <f t="shared" si="7"/>
        <v>0</v>
      </c>
      <c r="AT21" s="49">
        <f t="shared" si="8"/>
        <v>0</v>
      </c>
      <c r="AU21" s="54">
        <f t="shared" si="9"/>
        <v>0</v>
      </c>
      <c r="AV21" s="54">
        <f t="shared" si="10"/>
        <v>0</v>
      </c>
      <c r="AW21" s="54">
        <f t="shared" si="11"/>
        <v>0</v>
      </c>
      <c r="AX21" s="54">
        <f t="shared" si="12"/>
        <v>0</v>
      </c>
      <c r="AY21" s="54">
        <f t="shared" si="13"/>
        <v>0</v>
      </c>
      <c r="AZ21" s="45">
        <f t="shared" si="14"/>
        <v>0</v>
      </c>
      <c r="BA21" s="45" t="e">
        <f t="shared" si="15"/>
        <v>#VALUE!</v>
      </c>
      <c r="BB21" s="45" t="e">
        <f t="shared" si="16"/>
        <v>#VALUE!</v>
      </c>
      <c r="BC21" s="45">
        <f t="shared" si="17"/>
        <v>0</v>
      </c>
      <c r="BD21" s="45">
        <f t="shared" si="18"/>
        <v>0</v>
      </c>
    </row>
    <row r="22" spans="1:56" ht="39.75" thickBot="1">
      <c r="A22" s="18" t="s">
        <v>52</v>
      </c>
      <c r="B22" s="19" t="s">
        <v>53</v>
      </c>
      <c r="C22" s="2">
        <v>61118419</v>
      </c>
      <c r="D22" s="2">
        <v>60282435</v>
      </c>
      <c r="E22" s="2">
        <v>835984</v>
      </c>
      <c r="F22" s="2">
        <v>2428546</v>
      </c>
      <c r="G22" s="2">
        <v>1038225</v>
      </c>
      <c r="H22" s="2">
        <v>1390321</v>
      </c>
      <c r="I22" s="2">
        <v>62710981</v>
      </c>
      <c r="J22" s="2">
        <v>-1592562</v>
      </c>
      <c r="K22" s="2">
        <v>5619863</v>
      </c>
      <c r="L22" s="2">
        <v>4027301</v>
      </c>
      <c r="M22" s="2">
        <v>562529</v>
      </c>
      <c r="N22" s="2">
        <v>-378779</v>
      </c>
      <c r="O22" s="2">
        <v>-176013</v>
      </c>
      <c r="P22" s="2">
        <v>2909980</v>
      </c>
      <c r="Q22" s="12" t="s">
        <v>33</v>
      </c>
      <c r="R22" s="12" t="s">
        <v>33</v>
      </c>
      <c r="S22" s="2">
        <v>2909980</v>
      </c>
      <c r="U22" s="41">
        <v>61118419</v>
      </c>
      <c r="V22" s="42">
        <v>60282435</v>
      </c>
      <c r="W22" s="42">
        <v>835984</v>
      </c>
      <c r="X22" s="42">
        <v>2428546</v>
      </c>
      <c r="Y22" s="42">
        <v>1038225</v>
      </c>
      <c r="Z22" s="42">
        <v>1390321</v>
      </c>
      <c r="AA22" s="42">
        <v>62710981</v>
      </c>
      <c r="AB22" s="42">
        <v>-1592562</v>
      </c>
      <c r="AC22" s="41">
        <v>5619863</v>
      </c>
      <c r="AD22" s="42">
        <v>4027301</v>
      </c>
      <c r="AE22" s="42">
        <v>562529</v>
      </c>
      <c r="AF22" s="42">
        <v>-378779</v>
      </c>
      <c r="AG22" s="42">
        <v>-176013</v>
      </c>
      <c r="AH22" s="41">
        <v>2909980</v>
      </c>
      <c r="AI22" s="44" t="s">
        <v>33</v>
      </c>
      <c r="AJ22" s="44" t="s">
        <v>33</v>
      </c>
      <c r="AK22" s="42">
        <v>2909980</v>
      </c>
      <c r="AM22" s="49">
        <f t="shared" si="1"/>
        <v>0</v>
      </c>
      <c r="AN22" s="49">
        <f t="shared" si="2"/>
        <v>0</v>
      </c>
      <c r="AO22" s="49">
        <f t="shared" si="3"/>
        <v>0</v>
      </c>
      <c r="AP22" s="49">
        <f t="shared" si="4"/>
        <v>0</v>
      </c>
      <c r="AQ22" s="49">
        <f t="shared" si="5"/>
        <v>0</v>
      </c>
      <c r="AR22" s="49">
        <f t="shared" si="6"/>
        <v>0</v>
      </c>
      <c r="AS22" s="49">
        <f t="shared" si="7"/>
        <v>0</v>
      </c>
      <c r="AT22" s="49">
        <f t="shared" si="8"/>
        <v>0</v>
      </c>
      <c r="AU22" s="54">
        <f t="shared" si="9"/>
        <v>0</v>
      </c>
      <c r="AV22" s="54">
        <f t="shared" si="10"/>
        <v>0</v>
      </c>
      <c r="AW22" s="54">
        <f t="shared" si="11"/>
        <v>0</v>
      </c>
      <c r="AX22" s="54">
        <f t="shared" si="12"/>
        <v>0</v>
      </c>
      <c r="AY22" s="54">
        <f t="shared" si="13"/>
        <v>0</v>
      </c>
      <c r="AZ22" s="45">
        <f t="shared" si="14"/>
        <v>0</v>
      </c>
      <c r="BA22" s="45" t="e">
        <f t="shared" si="15"/>
        <v>#VALUE!</v>
      </c>
      <c r="BB22" s="45" t="e">
        <f t="shared" si="16"/>
        <v>#VALUE!</v>
      </c>
      <c r="BC22" s="45">
        <f t="shared" si="17"/>
        <v>0</v>
      </c>
      <c r="BD22" s="45">
        <f t="shared" si="18"/>
        <v>0</v>
      </c>
    </row>
    <row r="23" spans="1:56" s="24" customFormat="1" ht="90">
      <c r="A23" s="20" t="s">
        <v>129</v>
      </c>
      <c r="B23" s="25" t="s">
        <v>54</v>
      </c>
      <c r="C23" s="22">
        <v>5663660</v>
      </c>
      <c r="D23" s="22">
        <v>4441264</v>
      </c>
      <c r="E23" s="22">
        <v>1222396</v>
      </c>
      <c r="F23" s="22">
        <v>272662</v>
      </c>
      <c r="G23" s="22" t="s">
        <v>33</v>
      </c>
      <c r="H23" s="22">
        <v>272662</v>
      </c>
      <c r="I23" s="22">
        <v>4713926</v>
      </c>
      <c r="J23" s="22">
        <v>949734</v>
      </c>
      <c r="K23" s="22">
        <v>527237</v>
      </c>
      <c r="L23" s="22">
        <v>1476971</v>
      </c>
      <c r="M23" s="22">
        <v>300277</v>
      </c>
      <c r="N23" s="22">
        <v>-9373</v>
      </c>
      <c r="O23" s="22">
        <v>-35636</v>
      </c>
      <c r="P23" s="22">
        <v>1131685</v>
      </c>
      <c r="Q23" s="23" t="s">
        <v>33</v>
      </c>
      <c r="R23" s="23" t="s">
        <v>33</v>
      </c>
      <c r="S23" s="22">
        <v>1131685</v>
      </c>
      <c r="U23" s="41">
        <v>5663660</v>
      </c>
      <c r="V23" s="42">
        <v>4441264</v>
      </c>
      <c r="W23" s="42">
        <v>1222396</v>
      </c>
      <c r="X23" s="42">
        <v>272662</v>
      </c>
      <c r="Y23" s="42" t="s">
        <v>33</v>
      </c>
      <c r="Z23" s="42">
        <v>272662</v>
      </c>
      <c r="AA23" s="42">
        <v>4713926</v>
      </c>
      <c r="AB23" s="42">
        <v>949734</v>
      </c>
      <c r="AC23" s="41">
        <v>527237</v>
      </c>
      <c r="AD23" s="42">
        <v>1476971</v>
      </c>
      <c r="AE23" s="42">
        <v>300277</v>
      </c>
      <c r="AF23" s="42">
        <v>-9373</v>
      </c>
      <c r="AG23" s="42">
        <v>-35636</v>
      </c>
      <c r="AH23" s="39">
        <v>1131685</v>
      </c>
      <c r="AI23" s="43" t="s">
        <v>33</v>
      </c>
      <c r="AJ23" s="43" t="s">
        <v>33</v>
      </c>
      <c r="AK23" s="40">
        <v>1131685</v>
      </c>
      <c r="AM23" s="49">
        <f t="shared" si="1"/>
        <v>0</v>
      </c>
      <c r="AN23" s="49">
        <f t="shared" si="2"/>
        <v>0</v>
      </c>
      <c r="AO23" s="49">
        <f t="shared" si="3"/>
        <v>0</v>
      </c>
      <c r="AP23" s="49">
        <f t="shared" si="4"/>
        <v>0</v>
      </c>
      <c r="AQ23" s="49" t="e">
        <f t="shared" si="5"/>
        <v>#VALUE!</v>
      </c>
      <c r="AR23" s="49">
        <f t="shared" si="6"/>
        <v>0</v>
      </c>
      <c r="AS23" s="49">
        <f t="shared" si="7"/>
        <v>0</v>
      </c>
      <c r="AT23" s="49">
        <f t="shared" si="8"/>
        <v>0</v>
      </c>
      <c r="AU23" s="54">
        <f t="shared" si="9"/>
        <v>0</v>
      </c>
      <c r="AV23" s="54">
        <f t="shared" si="10"/>
        <v>0</v>
      </c>
      <c r="AW23" s="54">
        <f t="shared" si="11"/>
        <v>0</v>
      </c>
      <c r="AX23" s="54">
        <f t="shared" si="12"/>
        <v>0</v>
      </c>
      <c r="AY23" s="54">
        <f t="shared" si="13"/>
        <v>0</v>
      </c>
      <c r="AZ23" s="45">
        <f t="shared" si="14"/>
        <v>0</v>
      </c>
      <c r="BA23" s="45" t="e">
        <f t="shared" si="15"/>
        <v>#VALUE!</v>
      </c>
      <c r="BB23" s="45" t="e">
        <f t="shared" si="16"/>
        <v>#VALUE!</v>
      </c>
      <c r="BC23" s="45">
        <f t="shared" si="17"/>
        <v>0</v>
      </c>
      <c r="BD23" s="45">
        <f t="shared" si="18"/>
        <v>0</v>
      </c>
    </row>
    <row r="24" spans="1:56" ht="26.25">
      <c r="A24" s="18" t="s">
        <v>55</v>
      </c>
      <c r="B24" s="19" t="s">
        <v>56</v>
      </c>
      <c r="C24" s="2">
        <v>4472988</v>
      </c>
      <c r="D24" s="2">
        <v>3479127</v>
      </c>
      <c r="E24" s="2">
        <v>993861</v>
      </c>
      <c r="F24" s="2">
        <v>108149</v>
      </c>
      <c r="G24" s="2" t="s">
        <v>33</v>
      </c>
      <c r="H24" s="2">
        <v>108149</v>
      </c>
      <c r="I24" s="2">
        <v>3587276</v>
      </c>
      <c r="J24" s="2">
        <v>885712</v>
      </c>
      <c r="K24" s="2">
        <v>585553</v>
      </c>
      <c r="L24" s="2">
        <v>1471265</v>
      </c>
      <c r="M24" s="2">
        <v>300277</v>
      </c>
      <c r="N24" s="2">
        <v>-9373</v>
      </c>
      <c r="O24" s="2">
        <v>-35636</v>
      </c>
      <c r="P24" s="2">
        <v>1125979</v>
      </c>
      <c r="Q24" s="12" t="s">
        <v>33</v>
      </c>
      <c r="R24" s="12" t="s">
        <v>33</v>
      </c>
      <c r="S24" s="2">
        <v>1125979</v>
      </c>
      <c r="U24" s="41">
        <v>4472988</v>
      </c>
      <c r="V24" s="42">
        <v>3479127</v>
      </c>
      <c r="W24" s="42">
        <v>993861</v>
      </c>
      <c r="X24" s="42">
        <v>108149</v>
      </c>
      <c r="Y24" s="42" t="s">
        <v>33</v>
      </c>
      <c r="Z24" s="42">
        <v>108149</v>
      </c>
      <c r="AA24" s="42">
        <v>3587276</v>
      </c>
      <c r="AB24" s="42">
        <v>885712</v>
      </c>
      <c r="AC24" s="41">
        <v>585553</v>
      </c>
      <c r="AD24" s="42">
        <v>1471265</v>
      </c>
      <c r="AE24" s="42">
        <v>300277</v>
      </c>
      <c r="AF24" s="42">
        <v>-9373</v>
      </c>
      <c r="AG24" s="42">
        <v>-35636</v>
      </c>
      <c r="AH24" s="41">
        <v>1125979</v>
      </c>
      <c r="AI24" s="44" t="s">
        <v>33</v>
      </c>
      <c r="AJ24" s="44" t="s">
        <v>33</v>
      </c>
      <c r="AK24" s="42">
        <v>1125979</v>
      </c>
      <c r="AM24" s="49">
        <f t="shared" si="1"/>
        <v>0</v>
      </c>
      <c r="AN24" s="49">
        <f t="shared" si="2"/>
        <v>0</v>
      </c>
      <c r="AO24" s="49">
        <f t="shared" si="3"/>
        <v>0</v>
      </c>
      <c r="AP24" s="49">
        <f t="shared" si="4"/>
        <v>0</v>
      </c>
      <c r="AQ24" s="49" t="e">
        <f t="shared" si="5"/>
        <v>#VALUE!</v>
      </c>
      <c r="AR24" s="49">
        <f t="shared" si="6"/>
        <v>0</v>
      </c>
      <c r="AS24" s="49">
        <f t="shared" si="7"/>
        <v>0</v>
      </c>
      <c r="AT24" s="49">
        <f t="shared" si="8"/>
        <v>0</v>
      </c>
      <c r="AU24" s="54">
        <f t="shared" si="9"/>
        <v>0</v>
      </c>
      <c r="AV24" s="54">
        <f t="shared" si="10"/>
        <v>0</v>
      </c>
      <c r="AW24" s="54">
        <f t="shared" si="11"/>
        <v>0</v>
      </c>
      <c r="AX24" s="54">
        <f t="shared" si="12"/>
        <v>0</v>
      </c>
      <c r="AY24" s="54">
        <f t="shared" si="13"/>
        <v>0</v>
      </c>
      <c r="AZ24" s="45">
        <f t="shared" si="14"/>
        <v>0</v>
      </c>
      <c r="BA24" s="45" t="e">
        <f t="shared" si="15"/>
        <v>#VALUE!</v>
      </c>
      <c r="BB24" s="45" t="e">
        <f t="shared" si="16"/>
        <v>#VALUE!</v>
      </c>
      <c r="BC24" s="45">
        <f t="shared" si="17"/>
        <v>0</v>
      </c>
      <c r="BD24" s="45">
        <f t="shared" si="18"/>
        <v>0</v>
      </c>
    </row>
    <row r="25" spans="1:56" ht="39.75" thickBot="1">
      <c r="A25" s="18" t="s">
        <v>57</v>
      </c>
      <c r="B25" s="19" t="s">
        <v>58</v>
      </c>
      <c r="C25" s="2">
        <v>1190672</v>
      </c>
      <c r="D25" s="2">
        <v>962137</v>
      </c>
      <c r="E25" s="2">
        <v>228535</v>
      </c>
      <c r="F25" s="2">
        <v>164513</v>
      </c>
      <c r="G25" s="2" t="s">
        <v>33</v>
      </c>
      <c r="H25" s="2">
        <v>164513</v>
      </c>
      <c r="I25" s="2">
        <v>1126650</v>
      </c>
      <c r="J25" s="2">
        <v>64022</v>
      </c>
      <c r="K25" s="2">
        <v>-58316</v>
      </c>
      <c r="L25" s="2">
        <v>5706</v>
      </c>
      <c r="M25" s="2" t="s">
        <v>33</v>
      </c>
      <c r="N25" s="2" t="s">
        <v>33</v>
      </c>
      <c r="O25" s="2" t="s">
        <v>33</v>
      </c>
      <c r="P25" s="2">
        <v>5706</v>
      </c>
      <c r="Q25" s="12" t="s">
        <v>33</v>
      </c>
      <c r="R25" s="12" t="s">
        <v>33</v>
      </c>
      <c r="S25" s="2">
        <v>5706</v>
      </c>
      <c r="U25" s="41">
        <v>1190672</v>
      </c>
      <c r="V25" s="42">
        <v>962137</v>
      </c>
      <c r="W25" s="42">
        <v>228535</v>
      </c>
      <c r="X25" s="42">
        <v>164513</v>
      </c>
      <c r="Y25" s="42" t="s">
        <v>33</v>
      </c>
      <c r="Z25" s="42">
        <v>164513</v>
      </c>
      <c r="AA25" s="42">
        <v>1126650</v>
      </c>
      <c r="AB25" s="42">
        <v>64022</v>
      </c>
      <c r="AC25" s="41">
        <v>-58316</v>
      </c>
      <c r="AD25" s="42">
        <v>5706</v>
      </c>
      <c r="AE25" s="42" t="s">
        <v>33</v>
      </c>
      <c r="AF25" s="42" t="s">
        <v>33</v>
      </c>
      <c r="AG25" s="42" t="s">
        <v>33</v>
      </c>
      <c r="AH25" s="41">
        <v>5706</v>
      </c>
      <c r="AI25" s="44" t="s">
        <v>33</v>
      </c>
      <c r="AJ25" s="44" t="s">
        <v>33</v>
      </c>
      <c r="AK25" s="42">
        <v>5706</v>
      </c>
      <c r="AM25" s="49">
        <f t="shared" si="1"/>
        <v>0</v>
      </c>
      <c r="AN25" s="49">
        <f t="shared" si="2"/>
        <v>0</v>
      </c>
      <c r="AO25" s="49">
        <f t="shared" si="3"/>
        <v>0</v>
      </c>
      <c r="AP25" s="49">
        <f t="shared" si="4"/>
        <v>0</v>
      </c>
      <c r="AQ25" s="49" t="e">
        <f t="shared" si="5"/>
        <v>#VALUE!</v>
      </c>
      <c r="AR25" s="49">
        <f t="shared" si="6"/>
        <v>0</v>
      </c>
      <c r="AS25" s="49">
        <f t="shared" si="7"/>
        <v>0</v>
      </c>
      <c r="AT25" s="49">
        <f t="shared" si="8"/>
        <v>0</v>
      </c>
      <c r="AU25" s="54">
        <f t="shared" si="9"/>
        <v>0</v>
      </c>
      <c r="AV25" s="54">
        <f t="shared" si="10"/>
        <v>0</v>
      </c>
      <c r="AW25" s="54" t="e">
        <f t="shared" si="11"/>
        <v>#VALUE!</v>
      </c>
      <c r="AX25" s="54" t="e">
        <f t="shared" si="12"/>
        <v>#VALUE!</v>
      </c>
      <c r="AY25" s="54" t="e">
        <f t="shared" si="13"/>
        <v>#VALUE!</v>
      </c>
      <c r="AZ25" s="45">
        <f t="shared" si="14"/>
        <v>0</v>
      </c>
      <c r="BA25" s="45" t="e">
        <f t="shared" si="15"/>
        <v>#VALUE!</v>
      </c>
      <c r="BB25" s="45" t="e">
        <f t="shared" si="16"/>
        <v>#VALUE!</v>
      </c>
      <c r="BC25" s="45">
        <f t="shared" si="17"/>
        <v>0</v>
      </c>
      <c r="BD25" s="45">
        <f t="shared" si="18"/>
        <v>0</v>
      </c>
    </row>
    <row r="26" spans="1:56" s="24" customFormat="1" ht="15.75">
      <c r="A26" s="20" t="s">
        <v>130</v>
      </c>
      <c r="B26" s="25" t="s">
        <v>59</v>
      </c>
      <c r="C26" s="22">
        <v>9223869</v>
      </c>
      <c r="D26" s="22">
        <v>8044967</v>
      </c>
      <c r="E26" s="22">
        <v>1178902</v>
      </c>
      <c r="F26" s="22">
        <v>690922</v>
      </c>
      <c r="G26" s="22">
        <v>38</v>
      </c>
      <c r="H26" s="22">
        <v>690884</v>
      </c>
      <c r="I26" s="22">
        <v>8735889</v>
      </c>
      <c r="J26" s="22">
        <v>487980</v>
      </c>
      <c r="K26" s="22">
        <v>-633757</v>
      </c>
      <c r="L26" s="22">
        <v>-145777</v>
      </c>
      <c r="M26" s="22">
        <v>94409</v>
      </c>
      <c r="N26" s="22">
        <v>-63482</v>
      </c>
      <c r="O26" s="22">
        <v>-355</v>
      </c>
      <c r="P26" s="22">
        <v>-304023</v>
      </c>
      <c r="Q26" s="23">
        <v>150340</v>
      </c>
      <c r="R26" s="23" t="s">
        <v>33</v>
      </c>
      <c r="S26" s="22">
        <v>-153683</v>
      </c>
      <c r="U26" s="39">
        <v>9223869</v>
      </c>
      <c r="V26" s="40">
        <v>8044967</v>
      </c>
      <c r="W26" s="40">
        <v>1178902</v>
      </c>
      <c r="X26" s="40">
        <v>690922</v>
      </c>
      <c r="Y26" s="40">
        <v>38</v>
      </c>
      <c r="Z26" s="40">
        <v>690884</v>
      </c>
      <c r="AA26" s="40">
        <v>8735889</v>
      </c>
      <c r="AB26" s="40">
        <v>487980</v>
      </c>
      <c r="AC26" s="39">
        <v>-633757</v>
      </c>
      <c r="AD26" s="40">
        <v>-145777</v>
      </c>
      <c r="AE26" s="40">
        <v>94409</v>
      </c>
      <c r="AF26" s="40">
        <v>-63482</v>
      </c>
      <c r="AG26" s="40">
        <v>-355</v>
      </c>
      <c r="AH26" s="41">
        <v>-304023</v>
      </c>
      <c r="AI26" s="44">
        <v>150340</v>
      </c>
      <c r="AJ26" s="44" t="s">
        <v>33</v>
      </c>
      <c r="AK26" s="42">
        <v>-153683</v>
      </c>
      <c r="AM26" s="49">
        <f t="shared" si="1"/>
        <v>0</v>
      </c>
      <c r="AN26" s="49">
        <f t="shared" si="2"/>
        <v>0</v>
      </c>
      <c r="AO26" s="49">
        <f t="shared" si="3"/>
        <v>0</v>
      </c>
      <c r="AP26" s="49">
        <f t="shared" si="4"/>
        <v>0</v>
      </c>
      <c r="AQ26" s="49">
        <f t="shared" si="5"/>
        <v>0</v>
      </c>
      <c r="AR26" s="49">
        <f t="shared" si="6"/>
        <v>0</v>
      </c>
      <c r="AS26" s="49">
        <f t="shared" si="7"/>
        <v>0</v>
      </c>
      <c r="AT26" s="49">
        <f t="shared" si="8"/>
        <v>0</v>
      </c>
      <c r="AU26" s="54">
        <f t="shared" si="9"/>
        <v>0</v>
      </c>
      <c r="AV26" s="54">
        <f t="shared" si="10"/>
        <v>0</v>
      </c>
      <c r="AW26" s="54">
        <f t="shared" si="11"/>
        <v>0</v>
      </c>
      <c r="AX26" s="54">
        <f t="shared" si="12"/>
        <v>0</v>
      </c>
      <c r="AY26" s="54">
        <f t="shared" si="13"/>
        <v>0</v>
      </c>
      <c r="AZ26" s="45">
        <f t="shared" si="14"/>
        <v>0</v>
      </c>
      <c r="BA26" s="45">
        <f t="shared" si="15"/>
        <v>0</v>
      </c>
      <c r="BB26" s="45" t="e">
        <f t="shared" si="16"/>
        <v>#VALUE!</v>
      </c>
      <c r="BC26" s="45">
        <f t="shared" si="17"/>
        <v>0</v>
      </c>
      <c r="BD26" s="45">
        <f t="shared" si="18"/>
        <v>0</v>
      </c>
    </row>
    <row r="27" spans="1:56" ht="15.75">
      <c r="A27" s="18" t="s">
        <v>60</v>
      </c>
      <c r="B27" s="19" t="s">
        <v>61</v>
      </c>
      <c r="C27" s="2">
        <v>4425534</v>
      </c>
      <c r="D27" s="2">
        <v>3687515</v>
      </c>
      <c r="E27" s="2">
        <v>738019</v>
      </c>
      <c r="F27" s="2">
        <v>439690</v>
      </c>
      <c r="G27" s="2">
        <v>38</v>
      </c>
      <c r="H27" s="2">
        <v>439652</v>
      </c>
      <c r="I27" s="2">
        <v>4127205</v>
      </c>
      <c r="J27" s="2">
        <v>298329</v>
      </c>
      <c r="K27" s="2">
        <v>-327351</v>
      </c>
      <c r="L27" s="2">
        <v>-29022</v>
      </c>
      <c r="M27" s="2">
        <v>7860</v>
      </c>
      <c r="N27" s="2">
        <v>-24470</v>
      </c>
      <c r="O27" s="2">
        <v>-355</v>
      </c>
      <c r="P27" s="2">
        <v>-61707</v>
      </c>
      <c r="Q27" s="12" t="s">
        <v>33</v>
      </c>
      <c r="R27" s="12" t="s">
        <v>33</v>
      </c>
      <c r="S27" s="2">
        <v>-61707</v>
      </c>
      <c r="U27" s="41">
        <v>4425534</v>
      </c>
      <c r="V27" s="42">
        <v>3687515</v>
      </c>
      <c r="W27" s="42">
        <v>738019</v>
      </c>
      <c r="X27" s="42">
        <v>439690</v>
      </c>
      <c r="Y27" s="42">
        <v>38</v>
      </c>
      <c r="Z27" s="42">
        <v>439652</v>
      </c>
      <c r="AA27" s="42">
        <v>4127205</v>
      </c>
      <c r="AB27" s="42">
        <v>298329</v>
      </c>
      <c r="AC27" s="41">
        <v>-327351</v>
      </c>
      <c r="AD27" s="42">
        <v>-29022</v>
      </c>
      <c r="AE27" s="42">
        <v>7860</v>
      </c>
      <c r="AF27" s="42">
        <v>-24470</v>
      </c>
      <c r="AG27" s="42">
        <v>-355</v>
      </c>
      <c r="AH27" s="41">
        <v>-61707</v>
      </c>
      <c r="AI27" s="44" t="s">
        <v>33</v>
      </c>
      <c r="AJ27" s="44" t="s">
        <v>33</v>
      </c>
      <c r="AK27" s="42">
        <v>-61707</v>
      </c>
      <c r="AM27" s="49">
        <f t="shared" si="1"/>
        <v>0</v>
      </c>
      <c r="AN27" s="49">
        <f t="shared" si="2"/>
        <v>0</v>
      </c>
      <c r="AO27" s="49">
        <f t="shared" si="3"/>
        <v>0</v>
      </c>
      <c r="AP27" s="49">
        <f t="shared" si="4"/>
        <v>0</v>
      </c>
      <c r="AQ27" s="49">
        <f t="shared" si="5"/>
        <v>0</v>
      </c>
      <c r="AR27" s="49">
        <f t="shared" si="6"/>
        <v>0</v>
      </c>
      <c r="AS27" s="49">
        <f t="shared" si="7"/>
        <v>0</v>
      </c>
      <c r="AT27" s="49">
        <f t="shared" si="8"/>
        <v>0</v>
      </c>
      <c r="AU27" s="54">
        <f t="shared" si="9"/>
        <v>0</v>
      </c>
      <c r="AV27" s="54">
        <f t="shared" si="10"/>
        <v>0</v>
      </c>
      <c r="AW27" s="54">
        <f t="shared" si="11"/>
        <v>0</v>
      </c>
      <c r="AX27" s="54">
        <f t="shared" si="12"/>
        <v>0</v>
      </c>
      <c r="AY27" s="54">
        <f t="shared" si="13"/>
        <v>0</v>
      </c>
      <c r="AZ27" s="45">
        <f t="shared" si="14"/>
        <v>0</v>
      </c>
      <c r="BA27" s="45" t="e">
        <f t="shared" si="15"/>
        <v>#VALUE!</v>
      </c>
      <c r="BB27" s="45" t="e">
        <f t="shared" si="16"/>
        <v>#VALUE!</v>
      </c>
      <c r="BC27" s="45">
        <f t="shared" si="17"/>
        <v>0</v>
      </c>
      <c r="BD27" s="45">
        <f t="shared" si="18"/>
        <v>0</v>
      </c>
    </row>
    <row r="28" spans="1:56" ht="26.25">
      <c r="A28" s="18" t="s">
        <v>62</v>
      </c>
      <c r="B28" s="19" t="s">
        <v>63</v>
      </c>
      <c r="C28" s="2">
        <v>4686150</v>
      </c>
      <c r="D28" s="2">
        <v>4274976</v>
      </c>
      <c r="E28" s="2">
        <v>411174</v>
      </c>
      <c r="F28" s="2">
        <v>242167</v>
      </c>
      <c r="G28" s="2" t="s">
        <v>33</v>
      </c>
      <c r="H28" s="2">
        <v>242167</v>
      </c>
      <c r="I28" s="2">
        <v>4517143</v>
      </c>
      <c r="J28" s="2">
        <v>169007</v>
      </c>
      <c r="K28" s="2">
        <v>-298642</v>
      </c>
      <c r="L28" s="2">
        <v>-129635</v>
      </c>
      <c r="M28" s="2">
        <v>80981</v>
      </c>
      <c r="N28" s="2">
        <v>-42708</v>
      </c>
      <c r="O28" s="2" t="s">
        <v>33</v>
      </c>
      <c r="P28" s="2">
        <v>-253324</v>
      </c>
      <c r="Q28" s="12">
        <v>150340</v>
      </c>
      <c r="R28" s="12" t="s">
        <v>33</v>
      </c>
      <c r="S28" s="2">
        <v>-102984</v>
      </c>
      <c r="U28" s="41">
        <v>4686150</v>
      </c>
      <c r="V28" s="42">
        <v>4274976</v>
      </c>
      <c r="W28" s="42">
        <v>411174</v>
      </c>
      <c r="X28" s="42">
        <v>242167</v>
      </c>
      <c r="Y28" s="42" t="s">
        <v>33</v>
      </c>
      <c r="Z28" s="42">
        <v>242167</v>
      </c>
      <c r="AA28" s="42">
        <v>4517143</v>
      </c>
      <c r="AB28" s="42">
        <v>169007</v>
      </c>
      <c r="AC28" s="41">
        <v>-298642</v>
      </c>
      <c r="AD28" s="42">
        <v>-129635</v>
      </c>
      <c r="AE28" s="42">
        <v>80981</v>
      </c>
      <c r="AF28" s="42">
        <v>-42708</v>
      </c>
      <c r="AG28" s="42" t="s">
        <v>33</v>
      </c>
      <c r="AH28" s="41">
        <v>-253324</v>
      </c>
      <c r="AI28" s="44">
        <v>150340</v>
      </c>
      <c r="AJ28" s="44" t="s">
        <v>33</v>
      </c>
      <c r="AK28" s="42">
        <v>-102984</v>
      </c>
      <c r="AM28" s="49">
        <f t="shared" si="1"/>
        <v>0</v>
      </c>
      <c r="AN28" s="49">
        <f t="shared" si="2"/>
        <v>0</v>
      </c>
      <c r="AO28" s="49">
        <f t="shared" si="3"/>
        <v>0</v>
      </c>
      <c r="AP28" s="49">
        <f t="shared" si="4"/>
        <v>0</v>
      </c>
      <c r="AQ28" s="49" t="e">
        <f t="shared" si="5"/>
        <v>#VALUE!</v>
      </c>
      <c r="AR28" s="49">
        <f t="shared" si="6"/>
        <v>0</v>
      </c>
      <c r="AS28" s="49">
        <f t="shared" si="7"/>
        <v>0</v>
      </c>
      <c r="AT28" s="49">
        <f t="shared" si="8"/>
        <v>0</v>
      </c>
      <c r="AU28" s="54">
        <f t="shared" si="9"/>
        <v>0</v>
      </c>
      <c r="AV28" s="54">
        <f t="shared" si="10"/>
        <v>0</v>
      </c>
      <c r="AW28" s="54">
        <f t="shared" si="11"/>
        <v>0</v>
      </c>
      <c r="AX28" s="54">
        <f t="shared" si="12"/>
        <v>0</v>
      </c>
      <c r="AY28" s="54" t="e">
        <f t="shared" si="13"/>
        <v>#VALUE!</v>
      </c>
      <c r="AZ28" s="45">
        <f t="shared" si="14"/>
        <v>0</v>
      </c>
      <c r="BA28" s="45">
        <f t="shared" si="15"/>
        <v>0</v>
      </c>
      <c r="BB28" s="45" t="e">
        <f t="shared" si="16"/>
        <v>#VALUE!</v>
      </c>
      <c r="BC28" s="45">
        <f t="shared" si="17"/>
        <v>0</v>
      </c>
      <c r="BD28" s="45">
        <f t="shared" si="18"/>
        <v>0</v>
      </c>
    </row>
    <row r="29" spans="1:56" ht="26.25">
      <c r="A29" s="18" t="s">
        <v>64</v>
      </c>
      <c r="B29" s="19" t="s">
        <v>65</v>
      </c>
      <c r="C29" s="2">
        <v>112185</v>
      </c>
      <c r="D29" s="2">
        <v>82476</v>
      </c>
      <c r="E29" s="2">
        <v>29709</v>
      </c>
      <c r="F29" s="2">
        <v>9065</v>
      </c>
      <c r="G29" s="2" t="s">
        <v>33</v>
      </c>
      <c r="H29" s="2">
        <v>9065</v>
      </c>
      <c r="I29" s="2">
        <v>91541</v>
      </c>
      <c r="J29" s="2">
        <v>20644</v>
      </c>
      <c r="K29" s="2">
        <v>-7764</v>
      </c>
      <c r="L29" s="2">
        <v>12880</v>
      </c>
      <c r="M29" s="2">
        <v>5568</v>
      </c>
      <c r="N29" s="2">
        <v>3696</v>
      </c>
      <c r="O29" s="2" t="s">
        <v>33</v>
      </c>
      <c r="P29" s="2">
        <v>11008</v>
      </c>
      <c r="Q29" s="12" t="s">
        <v>33</v>
      </c>
      <c r="R29" s="12" t="s">
        <v>33</v>
      </c>
      <c r="S29" s="2">
        <v>11008</v>
      </c>
      <c r="U29" s="41">
        <v>112185</v>
      </c>
      <c r="V29" s="42">
        <v>82476</v>
      </c>
      <c r="W29" s="42">
        <v>29709</v>
      </c>
      <c r="X29" s="42">
        <v>9065</v>
      </c>
      <c r="Y29" s="42" t="s">
        <v>33</v>
      </c>
      <c r="Z29" s="42">
        <v>9065</v>
      </c>
      <c r="AA29" s="42">
        <v>91541</v>
      </c>
      <c r="AB29" s="42">
        <v>20644</v>
      </c>
      <c r="AC29" s="41">
        <v>-7764</v>
      </c>
      <c r="AD29" s="42">
        <v>12880</v>
      </c>
      <c r="AE29" s="42">
        <v>5568</v>
      </c>
      <c r="AF29" s="42">
        <v>3696</v>
      </c>
      <c r="AG29" s="42" t="s">
        <v>33</v>
      </c>
      <c r="AH29" s="41">
        <v>11008</v>
      </c>
      <c r="AI29" s="44" t="s">
        <v>33</v>
      </c>
      <c r="AJ29" s="44" t="s">
        <v>33</v>
      </c>
      <c r="AK29" s="42">
        <v>11008</v>
      </c>
      <c r="AM29" s="49">
        <f t="shared" si="1"/>
        <v>0</v>
      </c>
      <c r="AN29" s="49">
        <f t="shared" si="2"/>
        <v>0</v>
      </c>
      <c r="AO29" s="49">
        <f t="shared" si="3"/>
        <v>0</v>
      </c>
      <c r="AP29" s="49">
        <f t="shared" si="4"/>
        <v>0</v>
      </c>
      <c r="AQ29" s="49" t="e">
        <f t="shared" si="5"/>
        <v>#VALUE!</v>
      </c>
      <c r="AR29" s="49">
        <f t="shared" si="6"/>
        <v>0</v>
      </c>
      <c r="AS29" s="49">
        <f t="shared" si="7"/>
        <v>0</v>
      </c>
      <c r="AT29" s="49">
        <f t="shared" si="8"/>
        <v>0</v>
      </c>
      <c r="AU29" s="54">
        <f t="shared" si="9"/>
        <v>0</v>
      </c>
      <c r="AV29" s="54">
        <f t="shared" si="10"/>
        <v>0</v>
      </c>
      <c r="AW29" s="54">
        <f t="shared" si="11"/>
        <v>0</v>
      </c>
      <c r="AX29" s="54">
        <f t="shared" si="12"/>
        <v>0</v>
      </c>
      <c r="AY29" s="54" t="e">
        <f t="shared" si="13"/>
        <v>#VALUE!</v>
      </c>
      <c r="AZ29" s="45">
        <f t="shared" si="14"/>
        <v>0</v>
      </c>
      <c r="BA29" s="45" t="e">
        <f t="shared" si="15"/>
        <v>#VALUE!</v>
      </c>
      <c r="BB29" s="45" t="e">
        <f t="shared" si="16"/>
        <v>#VALUE!</v>
      </c>
      <c r="BC29" s="45">
        <f t="shared" si="17"/>
        <v>0</v>
      </c>
      <c r="BD29" s="45">
        <f t="shared" si="18"/>
        <v>0</v>
      </c>
    </row>
    <row r="30" spans="1:56" s="24" customFormat="1" ht="51.75">
      <c r="A30" s="20" t="s">
        <v>131</v>
      </c>
      <c r="B30" s="25" t="s">
        <v>66</v>
      </c>
      <c r="C30" s="22">
        <v>89363384</v>
      </c>
      <c r="D30" s="22">
        <v>78811394</v>
      </c>
      <c r="E30" s="22">
        <v>10551990</v>
      </c>
      <c r="F30" s="22">
        <v>7031794</v>
      </c>
      <c r="G30" s="22">
        <v>5536741</v>
      </c>
      <c r="H30" s="22">
        <v>1495053</v>
      </c>
      <c r="I30" s="22">
        <v>85843188</v>
      </c>
      <c r="J30" s="22">
        <v>3520196</v>
      </c>
      <c r="K30" s="22">
        <v>-1767762</v>
      </c>
      <c r="L30" s="22">
        <v>1752434</v>
      </c>
      <c r="M30" s="22">
        <v>462418</v>
      </c>
      <c r="N30" s="22">
        <v>82983</v>
      </c>
      <c r="O30" s="22">
        <v>-2377</v>
      </c>
      <c r="P30" s="22">
        <v>1370622</v>
      </c>
      <c r="Q30" s="23" t="s">
        <v>33</v>
      </c>
      <c r="R30" s="23" t="s">
        <v>33</v>
      </c>
      <c r="S30" s="22">
        <v>1370622</v>
      </c>
      <c r="U30" s="41">
        <v>89363384</v>
      </c>
      <c r="V30" s="42">
        <v>78811394</v>
      </c>
      <c r="W30" s="42">
        <v>10551990</v>
      </c>
      <c r="X30" s="42">
        <v>7031794</v>
      </c>
      <c r="Y30" s="42">
        <v>5536741</v>
      </c>
      <c r="Z30" s="42">
        <v>1495053</v>
      </c>
      <c r="AA30" s="42">
        <v>85843188</v>
      </c>
      <c r="AB30" s="42">
        <v>3520196</v>
      </c>
      <c r="AC30" s="41">
        <v>-1767762</v>
      </c>
      <c r="AD30" s="42">
        <v>1752434</v>
      </c>
      <c r="AE30" s="42">
        <v>462418</v>
      </c>
      <c r="AF30" s="42">
        <v>82983</v>
      </c>
      <c r="AG30" s="42">
        <v>-2377</v>
      </c>
      <c r="AH30" s="41">
        <v>1370622</v>
      </c>
      <c r="AI30" s="44" t="s">
        <v>33</v>
      </c>
      <c r="AJ30" s="44" t="s">
        <v>33</v>
      </c>
      <c r="AK30" s="42">
        <v>1370622</v>
      </c>
      <c r="AM30" s="49">
        <f t="shared" si="1"/>
        <v>0</v>
      </c>
      <c r="AN30" s="49">
        <f t="shared" si="2"/>
        <v>0</v>
      </c>
      <c r="AO30" s="49">
        <f t="shared" si="3"/>
        <v>0</v>
      </c>
      <c r="AP30" s="49">
        <f t="shared" si="4"/>
        <v>0</v>
      </c>
      <c r="AQ30" s="49">
        <f t="shared" si="5"/>
        <v>0</v>
      </c>
      <c r="AR30" s="49">
        <f t="shared" si="6"/>
        <v>0</v>
      </c>
      <c r="AS30" s="49">
        <f t="shared" si="7"/>
        <v>0</v>
      </c>
      <c r="AT30" s="49">
        <f t="shared" si="8"/>
        <v>0</v>
      </c>
      <c r="AU30" s="54">
        <f t="shared" si="9"/>
        <v>0</v>
      </c>
      <c r="AV30" s="54">
        <f t="shared" si="10"/>
        <v>0</v>
      </c>
      <c r="AW30" s="54">
        <f t="shared" si="11"/>
        <v>0</v>
      </c>
      <c r="AX30" s="54">
        <f t="shared" si="12"/>
        <v>0</v>
      </c>
      <c r="AY30" s="54">
        <f t="shared" si="13"/>
        <v>0</v>
      </c>
      <c r="AZ30" s="45">
        <f t="shared" si="14"/>
        <v>0</v>
      </c>
      <c r="BA30" s="45" t="e">
        <f t="shared" si="15"/>
        <v>#VALUE!</v>
      </c>
      <c r="BB30" s="45" t="e">
        <f t="shared" si="16"/>
        <v>#VALUE!</v>
      </c>
      <c r="BC30" s="45">
        <f t="shared" si="17"/>
        <v>0</v>
      </c>
      <c r="BD30" s="45">
        <f t="shared" si="18"/>
        <v>0</v>
      </c>
    </row>
    <row r="31" spans="1:56" ht="51.75">
      <c r="A31" s="18" t="s">
        <v>67</v>
      </c>
      <c r="B31" s="19" t="s">
        <v>68</v>
      </c>
      <c r="C31" s="2">
        <v>74660027</v>
      </c>
      <c r="D31" s="2">
        <v>67581312</v>
      </c>
      <c r="E31" s="2">
        <v>7078715</v>
      </c>
      <c r="F31" s="2">
        <v>4086433</v>
      </c>
      <c r="G31" s="2">
        <v>3109439</v>
      </c>
      <c r="H31" s="2">
        <v>976994</v>
      </c>
      <c r="I31" s="2">
        <v>71667745</v>
      </c>
      <c r="J31" s="2">
        <v>2992282</v>
      </c>
      <c r="K31" s="2">
        <v>-1337224</v>
      </c>
      <c r="L31" s="2">
        <v>1655058</v>
      </c>
      <c r="M31" s="2">
        <v>392980</v>
      </c>
      <c r="N31" s="2">
        <v>51935</v>
      </c>
      <c r="O31" s="2">
        <v>-1434</v>
      </c>
      <c r="P31" s="2">
        <v>1312579</v>
      </c>
      <c r="Q31" s="12" t="s">
        <v>33</v>
      </c>
      <c r="R31" s="12" t="s">
        <v>33</v>
      </c>
      <c r="S31" s="2">
        <v>1312579</v>
      </c>
      <c r="U31" s="41">
        <v>74660027</v>
      </c>
      <c r="V31" s="42">
        <v>67581312</v>
      </c>
      <c r="W31" s="42">
        <v>7078715</v>
      </c>
      <c r="X31" s="42">
        <v>4086433</v>
      </c>
      <c r="Y31" s="42">
        <v>3109439</v>
      </c>
      <c r="Z31" s="42">
        <v>976994</v>
      </c>
      <c r="AA31" s="42">
        <v>71667745</v>
      </c>
      <c r="AB31" s="42">
        <v>2992282</v>
      </c>
      <c r="AC31" s="41">
        <v>-1337224</v>
      </c>
      <c r="AD31" s="42">
        <v>1655058</v>
      </c>
      <c r="AE31" s="42">
        <v>392980</v>
      </c>
      <c r="AF31" s="42">
        <v>51935</v>
      </c>
      <c r="AG31" s="42">
        <v>-1434</v>
      </c>
      <c r="AH31" s="41">
        <v>1312579</v>
      </c>
      <c r="AI31" s="44" t="s">
        <v>33</v>
      </c>
      <c r="AJ31" s="44" t="s">
        <v>33</v>
      </c>
      <c r="AK31" s="42">
        <v>1312579</v>
      </c>
      <c r="AM31" s="49">
        <f t="shared" si="1"/>
        <v>0</v>
      </c>
      <c r="AN31" s="49">
        <f t="shared" si="2"/>
        <v>0</v>
      </c>
      <c r="AO31" s="49">
        <f t="shared" si="3"/>
        <v>0</v>
      </c>
      <c r="AP31" s="49">
        <f t="shared" si="4"/>
        <v>0</v>
      </c>
      <c r="AQ31" s="49">
        <f t="shared" si="5"/>
        <v>0</v>
      </c>
      <c r="AR31" s="49">
        <f t="shared" si="6"/>
        <v>0</v>
      </c>
      <c r="AS31" s="49">
        <f t="shared" si="7"/>
        <v>0</v>
      </c>
      <c r="AT31" s="49">
        <f t="shared" si="8"/>
        <v>0</v>
      </c>
      <c r="AU31" s="54">
        <f t="shared" si="9"/>
        <v>0</v>
      </c>
      <c r="AV31" s="54">
        <f t="shared" si="10"/>
        <v>0</v>
      </c>
      <c r="AW31" s="54">
        <f t="shared" si="11"/>
        <v>0</v>
      </c>
      <c r="AX31" s="54">
        <f t="shared" si="12"/>
        <v>0</v>
      </c>
      <c r="AY31" s="54">
        <f t="shared" si="13"/>
        <v>0</v>
      </c>
      <c r="AZ31" s="45">
        <f t="shared" si="14"/>
        <v>0</v>
      </c>
      <c r="BA31" s="45" t="e">
        <f t="shared" si="15"/>
        <v>#VALUE!</v>
      </c>
      <c r="BB31" s="45" t="e">
        <f t="shared" si="16"/>
        <v>#VALUE!</v>
      </c>
      <c r="BC31" s="45">
        <f t="shared" si="17"/>
        <v>0</v>
      </c>
      <c r="BD31" s="45">
        <f t="shared" si="18"/>
        <v>0</v>
      </c>
    </row>
    <row r="32" spans="1:56" ht="39">
      <c r="A32" s="18" t="s">
        <v>69</v>
      </c>
      <c r="B32" s="19" t="s">
        <v>70</v>
      </c>
      <c r="C32" s="2">
        <v>14703357</v>
      </c>
      <c r="D32" s="2">
        <v>11230082</v>
      </c>
      <c r="E32" s="2">
        <v>3473275</v>
      </c>
      <c r="F32" s="2">
        <v>2945361</v>
      </c>
      <c r="G32" s="2">
        <v>2427302</v>
      </c>
      <c r="H32" s="2">
        <v>518059</v>
      </c>
      <c r="I32" s="2">
        <v>14175443</v>
      </c>
      <c r="J32" s="2">
        <v>527914</v>
      </c>
      <c r="K32" s="2">
        <v>-430538</v>
      </c>
      <c r="L32" s="2">
        <v>97376</v>
      </c>
      <c r="M32" s="2">
        <v>69438</v>
      </c>
      <c r="N32" s="2">
        <v>31048</v>
      </c>
      <c r="O32" s="2">
        <v>-943</v>
      </c>
      <c r="P32" s="2">
        <v>58043</v>
      </c>
      <c r="Q32" s="12" t="s">
        <v>33</v>
      </c>
      <c r="R32" s="12" t="s">
        <v>33</v>
      </c>
      <c r="S32" s="2">
        <v>58043</v>
      </c>
      <c r="U32" s="41">
        <v>14703357</v>
      </c>
      <c r="V32" s="42">
        <v>11230082</v>
      </c>
      <c r="W32" s="42">
        <v>3473275</v>
      </c>
      <c r="X32" s="42">
        <v>2945361</v>
      </c>
      <c r="Y32" s="42">
        <v>2427302</v>
      </c>
      <c r="Z32" s="42">
        <v>518059</v>
      </c>
      <c r="AA32" s="42">
        <v>14175443</v>
      </c>
      <c r="AB32" s="42">
        <v>527914</v>
      </c>
      <c r="AC32" s="41">
        <v>-430538</v>
      </c>
      <c r="AD32" s="42">
        <v>97376</v>
      </c>
      <c r="AE32" s="42">
        <v>69438</v>
      </c>
      <c r="AF32" s="42">
        <v>31048</v>
      </c>
      <c r="AG32" s="42">
        <v>-943</v>
      </c>
      <c r="AH32" s="41">
        <v>58043</v>
      </c>
      <c r="AI32" s="44" t="s">
        <v>33</v>
      </c>
      <c r="AJ32" s="44" t="s">
        <v>33</v>
      </c>
      <c r="AK32" s="42">
        <v>58043</v>
      </c>
      <c r="AM32" s="49">
        <f t="shared" si="1"/>
        <v>0</v>
      </c>
      <c r="AN32" s="49">
        <f t="shared" si="2"/>
        <v>0</v>
      </c>
      <c r="AO32" s="49">
        <f t="shared" si="3"/>
        <v>0</v>
      </c>
      <c r="AP32" s="49">
        <f t="shared" si="4"/>
        <v>0</v>
      </c>
      <c r="AQ32" s="49">
        <f t="shared" si="5"/>
        <v>0</v>
      </c>
      <c r="AR32" s="49">
        <f t="shared" si="6"/>
        <v>0</v>
      </c>
      <c r="AS32" s="49">
        <f t="shared" si="7"/>
        <v>0</v>
      </c>
      <c r="AT32" s="49">
        <f t="shared" si="8"/>
        <v>0</v>
      </c>
      <c r="AU32" s="54">
        <f t="shared" si="9"/>
        <v>0</v>
      </c>
      <c r="AV32" s="54">
        <f t="shared" si="10"/>
        <v>0</v>
      </c>
      <c r="AW32" s="54">
        <f t="shared" si="11"/>
        <v>0</v>
      </c>
      <c r="AX32" s="54">
        <f t="shared" si="12"/>
        <v>0</v>
      </c>
      <c r="AY32" s="54">
        <f t="shared" si="13"/>
        <v>0</v>
      </c>
      <c r="AZ32" s="45">
        <f t="shared" si="14"/>
        <v>0</v>
      </c>
      <c r="BA32" s="45" t="e">
        <f t="shared" si="15"/>
        <v>#VALUE!</v>
      </c>
      <c r="BB32" s="45" t="e">
        <f t="shared" si="16"/>
        <v>#VALUE!</v>
      </c>
      <c r="BC32" s="45">
        <f t="shared" si="17"/>
        <v>0</v>
      </c>
      <c r="BD32" s="45">
        <f t="shared" si="18"/>
        <v>0</v>
      </c>
    </row>
    <row r="33" spans="1:56" s="24" customFormat="1" ht="26.25">
      <c r="A33" s="20" t="s">
        <v>132</v>
      </c>
      <c r="B33" s="25" t="s">
        <v>71</v>
      </c>
      <c r="C33" s="22">
        <v>14071800</v>
      </c>
      <c r="D33" s="22">
        <v>11967109</v>
      </c>
      <c r="E33" s="22">
        <v>2104691</v>
      </c>
      <c r="F33" s="22">
        <v>1690002</v>
      </c>
      <c r="G33" s="22">
        <v>50675</v>
      </c>
      <c r="H33" s="22">
        <v>1639327</v>
      </c>
      <c r="I33" s="22">
        <v>13657111</v>
      </c>
      <c r="J33" s="22">
        <v>414689</v>
      </c>
      <c r="K33" s="22">
        <v>661550</v>
      </c>
      <c r="L33" s="22">
        <v>1076239</v>
      </c>
      <c r="M33" s="22">
        <v>104577</v>
      </c>
      <c r="N33" s="22">
        <v>-203427</v>
      </c>
      <c r="O33" s="22">
        <v>-48085</v>
      </c>
      <c r="P33" s="22">
        <v>720150</v>
      </c>
      <c r="Q33" s="23">
        <v>133452</v>
      </c>
      <c r="R33" s="23">
        <v>1441</v>
      </c>
      <c r="S33" s="22">
        <v>855043</v>
      </c>
      <c r="U33" s="41">
        <v>14071800</v>
      </c>
      <c r="V33" s="42">
        <v>11967109</v>
      </c>
      <c r="W33" s="42">
        <v>2104691</v>
      </c>
      <c r="X33" s="42">
        <v>1690002</v>
      </c>
      <c r="Y33" s="42">
        <v>50675</v>
      </c>
      <c r="Z33" s="42">
        <v>1639327</v>
      </c>
      <c r="AA33" s="42">
        <v>13657111</v>
      </c>
      <c r="AB33" s="42">
        <v>414689</v>
      </c>
      <c r="AC33" s="41">
        <v>661550</v>
      </c>
      <c r="AD33" s="42">
        <v>1076239</v>
      </c>
      <c r="AE33" s="42">
        <v>104577</v>
      </c>
      <c r="AF33" s="42">
        <v>-203427</v>
      </c>
      <c r="AG33" s="42">
        <v>-48085</v>
      </c>
      <c r="AH33" s="41">
        <v>720150</v>
      </c>
      <c r="AI33" s="44">
        <v>133452</v>
      </c>
      <c r="AJ33" s="44">
        <v>1441</v>
      </c>
      <c r="AK33" s="42">
        <v>855043</v>
      </c>
      <c r="AM33" s="49">
        <f t="shared" si="1"/>
        <v>0</v>
      </c>
      <c r="AN33" s="49">
        <f t="shared" si="2"/>
        <v>0</v>
      </c>
      <c r="AO33" s="49">
        <f t="shared" si="3"/>
        <v>0</v>
      </c>
      <c r="AP33" s="49">
        <f t="shared" si="4"/>
        <v>0</v>
      </c>
      <c r="AQ33" s="49">
        <f t="shared" si="5"/>
        <v>0</v>
      </c>
      <c r="AR33" s="49">
        <f t="shared" si="6"/>
        <v>0</v>
      </c>
      <c r="AS33" s="49">
        <f t="shared" si="7"/>
        <v>0</v>
      </c>
      <c r="AT33" s="49">
        <f t="shared" si="8"/>
        <v>0</v>
      </c>
      <c r="AU33" s="54">
        <f t="shared" si="9"/>
        <v>0</v>
      </c>
      <c r="AV33" s="54">
        <f t="shared" si="10"/>
        <v>0</v>
      </c>
      <c r="AW33" s="54">
        <f t="shared" si="11"/>
        <v>0</v>
      </c>
      <c r="AX33" s="54">
        <f t="shared" si="12"/>
        <v>0</v>
      </c>
      <c r="AY33" s="54">
        <f t="shared" si="13"/>
        <v>0</v>
      </c>
      <c r="AZ33" s="45">
        <f t="shared" si="14"/>
        <v>0</v>
      </c>
      <c r="BA33" s="45">
        <f t="shared" si="15"/>
        <v>0</v>
      </c>
      <c r="BB33" s="45">
        <f t="shared" si="16"/>
        <v>0</v>
      </c>
      <c r="BC33" s="45">
        <f t="shared" si="17"/>
        <v>0</v>
      </c>
      <c r="BD33" s="45">
        <f t="shared" si="18"/>
        <v>0</v>
      </c>
    </row>
    <row r="34" spans="1:56" ht="26.25">
      <c r="A34" s="18" t="s">
        <v>72</v>
      </c>
      <c r="B34" s="19" t="s">
        <v>73</v>
      </c>
      <c r="C34" s="2">
        <v>526946</v>
      </c>
      <c r="D34" s="2">
        <v>417338</v>
      </c>
      <c r="E34" s="2">
        <v>109608</v>
      </c>
      <c r="F34" s="2">
        <v>78876</v>
      </c>
      <c r="G34" s="2" t="s">
        <v>33</v>
      </c>
      <c r="H34" s="2">
        <v>78876</v>
      </c>
      <c r="I34" s="2">
        <v>496214</v>
      </c>
      <c r="J34" s="2">
        <v>30732</v>
      </c>
      <c r="K34" s="2">
        <v>36106</v>
      </c>
      <c r="L34" s="2">
        <v>66838</v>
      </c>
      <c r="M34" s="2">
        <v>12585</v>
      </c>
      <c r="N34" s="2">
        <v>58</v>
      </c>
      <c r="O34" s="2">
        <v>19</v>
      </c>
      <c r="P34" s="2">
        <v>54330</v>
      </c>
      <c r="Q34" s="12">
        <v>133452</v>
      </c>
      <c r="R34" s="12">
        <v>1441</v>
      </c>
      <c r="S34" s="2">
        <v>189223</v>
      </c>
      <c r="U34" s="41">
        <v>526946</v>
      </c>
      <c r="V34" s="42">
        <v>417338</v>
      </c>
      <c r="W34" s="42">
        <v>109608</v>
      </c>
      <c r="X34" s="42">
        <v>78876</v>
      </c>
      <c r="Y34" s="42" t="s">
        <v>33</v>
      </c>
      <c r="Z34" s="42">
        <v>78876</v>
      </c>
      <c r="AA34" s="42">
        <v>496214</v>
      </c>
      <c r="AB34" s="42">
        <v>30732</v>
      </c>
      <c r="AC34" s="41">
        <v>36106</v>
      </c>
      <c r="AD34" s="42">
        <v>66838</v>
      </c>
      <c r="AE34" s="42">
        <v>12585</v>
      </c>
      <c r="AF34" s="42">
        <v>58</v>
      </c>
      <c r="AG34" s="42">
        <v>19</v>
      </c>
      <c r="AH34" s="41">
        <v>54330</v>
      </c>
      <c r="AI34" s="44">
        <v>133452</v>
      </c>
      <c r="AJ34" s="44">
        <v>1441</v>
      </c>
      <c r="AK34" s="42">
        <v>189223</v>
      </c>
      <c r="AM34" s="49">
        <f t="shared" si="1"/>
        <v>0</v>
      </c>
      <c r="AN34" s="49">
        <f t="shared" si="2"/>
        <v>0</v>
      </c>
      <c r="AO34" s="49">
        <f t="shared" si="3"/>
        <v>0</v>
      </c>
      <c r="AP34" s="49">
        <f t="shared" si="4"/>
        <v>0</v>
      </c>
      <c r="AQ34" s="49" t="e">
        <f t="shared" si="5"/>
        <v>#VALUE!</v>
      </c>
      <c r="AR34" s="49">
        <f t="shared" si="6"/>
        <v>0</v>
      </c>
      <c r="AS34" s="49">
        <f t="shared" si="7"/>
        <v>0</v>
      </c>
      <c r="AT34" s="49">
        <f t="shared" si="8"/>
        <v>0</v>
      </c>
      <c r="AU34" s="54">
        <f t="shared" si="9"/>
        <v>0</v>
      </c>
      <c r="AV34" s="54">
        <f t="shared" si="10"/>
        <v>0</v>
      </c>
      <c r="AW34" s="54">
        <f t="shared" si="11"/>
        <v>0</v>
      </c>
      <c r="AX34" s="54">
        <f t="shared" si="12"/>
        <v>0</v>
      </c>
      <c r="AY34" s="54">
        <f t="shared" si="13"/>
        <v>0</v>
      </c>
      <c r="AZ34" s="45">
        <f t="shared" si="14"/>
        <v>0</v>
      </c>
      <c r="BA34" s="45">
        <f t="shared" si="15"/>
        <v>0</v>
      </c>
      <c r="BB34" s="45">
        <f t="shared" si="16"/>
        <v>0</v>
      </c>
      <c r="BC34" s="45">
        <f t="shared" si="17"/>
        <v>0</v>
      </c>
      <c r="BD34" s="45">
        <f t="shared" si="18"/>
        <v>0</v>
      </c>
    </row>
    <row r="35" spans="1:56" ht="27" thickBot="1">
      <c r="A35" s="18" t="s">
        <v>74</v>
      </c>
      <c r="B35" s="19" t="s">
        <v>75</v>
      </c>
      <c r="C35" s="2">
        <v>3282331</v>
      </c>
      <c r="D35" s="2">
        <v>3185097</v>
      </c>
      <c r="E35" s="2">
        <v>97234</v>
      </c>
      <c r="F35" s="2">
        <v>335740</v>
      </c>
      <c r="G35" s="2">
        <v>11587</v>
      </c>
      <c r="H35" s="2">
        <v>324153</v>
      </c>
      <c r="I35" s="2">
        <v>3520837</v>
      </c>
      <c r="J35" s="2">
        <v>-238506</v>
      </c>
      <c r="K35" s="2">
        <v>144512</v>
      </c>
      <c r="L35" s="2">
        <v>-93994</v>
      </c>
      <c r="M35" s="2" t="s">
        <v>33</v>
      </c>
      <c r="N35" s="2">
        <v>5099</v>
      </c>
      <c r="O35" s="2" t="s">
        <v>33</v>
      </c>
      <c r="P35" s="2">
        <v>-88895</v>
      </c>
      <c r="Q35" s="12" t="s">
        <v>33</v>
      </c>
      <c r="R35" s="12" t="s">
        <v>33</v>
      </c>
      <c r="S35" s="2">
        <v>-88895</v>
      </c>
      <c r="U35" s="41">
        <v>3282331</v>
      </c>
      <c r="V35" s="42">
        <v>3185097</v>
      </c>
      <c r="W35" s="42">
        <v>97234</v>
      </c>
      <c r="X35" s="42">
        <v>335740</v>
      </c>
      <c r="Y35" s="42">
        <v>11587</v>
      </c>
      <c r="Z35" s="42">
        <v>324153</v>
      </c>
      <c r="AA35" s="42">
        <v>3520837</v>
      </c>
      <c r="AB35" s="42">
        <v>-238506</v>
      </c>
      <c r="AC35" s="41">
        <v>144512</v>
      </c>
      <c r="AD35" s="42">
        <v>-93994</v>
      </c>
      <c r="AE35" s="42" t="s">
        <v>33</v>
      </c>
      <c r="AF35" s="42">
        <v>5099</v>
      </c>
      <c r="AG35" s="42" t="s">
        <v>33</v>
      </c>
      <c r="AH35" s="41">
        <v>-88895</v>
      </c>
      <c r="AI35" s="42" t="s">
        <v>33</v>
      </c>
      <c r="AJ35" s="42" t="s">
        <v>33</v>
      </c>
      <c r="AK35" s="42">
        <v>-88895</v>
      </c>
      <c r="AM35" s="49">
        <f t="shared" si="1"/>
        <v>0</v>
      </c>
      <c r="AN35" s="49">
        <f t="shared" si="2"/>
        <v>0</v>
      </c>
      <c r="AO35" s="49">
        <f t="shared" si="3"/>
        <v>0</v>
      </c>
      <c r="AP35" s="49">
        <f t="shared" si="4"/>
        <v>0</v>
      </c>
      <c r="AQ35" s="49">
        <f t="shared" si="5"/>
        <v>0</v>
      </c>
      <c r="AR35" s="49">
        <f t="shared" si="6"/>
        <v>0</v>
      </c>
      <c r="AS35" s="49">
        <f t="shared" si="7"/>
        <v>0</v>
      </c>
      <c r="AT35" s="49">
        <f t="shared" si="8"/>
        <v>0</v>
      </c>
      <c r="AU35" s="54">
        <f t="shared" si="9"/>
        <v>0</v>
      </c>
      <c r="AV35" s="54">
        <f t="shared" si="10"/>
        <v>0</v>
      </c>
      <c r="AW35" s="54" t="e">
        <f t="shared" si="11"/>
        <v>#VALUE!</v>
      </c>
      <c r="AX35" s="54">
        <f t="shared" si="12"/>
        <v>0</v>
      </c>
      <c r="AY35" s="54" t="e">
        <f t="shared" si="13"/>
        <v>#VALUE!</v>
      </c>
      <c r="AZ35" s="45">
        <f t="shared" si="14"/>
        <v>0</v>
      </c>
      <c r="BA35" s="45" t="e">
        <f t="shared" si="15"/>
        <v>#VALUE!</v>
      </c>
      <c r="BB35" s="45" t="e">
        <f t="shared" si="16"/>
        <v>#VALUE!</v>
      </c>
      <c r="BC35" s="45">
        <f t="shared" si="17"/>
        <v>0</v>
      </c>
      <c r="BD35" s="45">
        <f t="shared" si="18"/>
        <v>0</v>
      </c>
    </row>
    <row r="36" spans="1:56" ht="26.25">
      <c r="A36" s="18" t="s">
        <v>76</v>
      </c>
      <c r="B36" s="19" t="s">
        <v>77</v>
      </c>
      <c r="C36" s="2">
        <v>5264985</v>
      </c>
      <c r="D36" s="2">
        <v>4618218</v>
      </c>
      <c r="E36" s="2">
        <v>646767</v>
      </c>
      <c r="F36" s="2">
        <v>294892</v>
      </c>
      <c r="G36" s="2">
        <v>39088</v>
      </c>
      <c r="H36" s="2">
        <v>255804</v>
      </c>
      <c r="I36" s="2">
        <v>4913110</v>
      </c>
      <c r="J36" s="2">
        <v>351875</v>
      </c>
      <c r="K36" s="2">
        <v>-27456</v>
      </c>
      <c r="L36" s="2">
        <v>324419</v>
      </c>
      <c r="M36" s="2">
        <v>14306</v>
      </c>
      <c r="N36" s="2">
        <v>-99116</v>
      </c>
      <c r="O36" s="2">
        <v>869</v>
      </c>
      <c r="P36" s="2">
        <v>211866</v>
      </c>
      <c r="Q36" s="12" t="s">
        <v>33</v>
      </c>
      <c r="R36" s="12" t="s">
        <v>33</v>
      </c>
      <c r="S36" s="2">
        <v>211866</v>
      </c>
      <c r="U36" s="39">
        <v>5264985</v>
      </c>
      <c r="V36" s="40">
        <v>4618218</v>
      </c>
      <c r="W36" s="40">
        <v>646767</v>
      </c>
      <c r="X36" s="40">
        <v>294892</v>
      </c>
      <c r="Y36" s="40">
        <v>39088</v>
      </c>
      <c r="Z36" s="40">
        <v>255804</v>
      </c>
      <c r="AA36" s="40">
        <v>4913110</v>
      </c>
      <c r="AB36" s="40">
        <v>351875</v>
      </c>
      <c r="AC36" s="41">
        <v>-27456</v>
      </c>
      <c r="AD36" s="42">
        <v>324419</v>
      </c>
      <c r="AE36" s="42">
        <v>14306</v>
      </c>
      <c r="AF36" s="42">
        <v>-99116</v>
      </c>
      <c r="AG36" s="42">
        <v>869</v>
      </c>
      <c r="AH36" s="39">
        <v>211866</v>
      </c>
      <c r="AI36" s="43" t="s">
        <v>33</v>
      </c>
      <c r="AJ36" s="43" t="s">
        <v>33</v>
      </c>
      <c r="AK36" s="40">
        <v>211866</v>
      </c>
      <c r="AM36" s="49">
        <f t="shared" si="1"/>
        <v>0</v>
      </c>
      <c r="AN36" s="49">
        <f t="shared" si="2"/>
        <v>0</v>
      </c>
      <c r="AO36" s="49">
        <f t="shared" si="3"/>
        <v>0</v>
      </c>
      <c r="AP36" s="49">
        <f t="shared" si="4"/>
        <v>0</v>
      </c>
      <c r="AQ36" s="49">
        <f t="shared" si="5"/>
        <v>0</v>
      </c>
      <c r="AR36" s="49">
        <f t="shared" si="6"/>
        <v>0</v>
      </c>
      <c r="AS36" s="49">
        <f t="shared" si="7"/>
        <v>0</v>
      </c>
      <c r="AT36" s="49">
        <f t="shared" si="8"/>
        <v>0</v>
      </c>
      <c r="AU36" s="54">
        <f t="shared" si="9"/>
        <v>0</v>
      </c>
      <c r="AV36" s="54">
        <f t="shared" si="10"/>
        <v>0</v>
      </c>
      <c r="AW36" s="54">
        <f t="shared" si="11"/>
        <v>0</v>
      </c>
      <c r="AX36" s="54">
        <f t="shared" si="12"/>
        <v>0</v>
      </c>
      <c r="AY36" s="54">
        <f t="shared" si="13"/>
        <v>0</v>
      </c>
      <c r="AZ36" s="45">
        <f t="shared" si="14"/>
        <v>0</v>
      </c>
      <c r="BA36" s="45" t="e">
        <f t="shared" si="15"/>
        <v>#VALUE!</v>
      </c>
      <c r="BB36" s="45" t="e">
        <f t="shared" si="16"/>
        <v>#VALUE!</v>
      </c>
      <c r="BC36" s="45">
        <f t="shared" si="17"/>
        <v>0</v>
      </c>
      <c r="BD36" s="45">
        <f t="shared" si="18"/>
        <v>0</v>
      </c>
    </row>
    <row r="37" spans="1:56" ht="39">
      <c r="A37" s="18" t="s">
        <v>78</v>
      </c>
      <c r="B37" s="19" t="s">
        <v>79</v>
      </c>
      <c r="C37" s="2">
        <v>4997538</v>
      </c>
      <c r="D37" s="2">
        <v>3746456</v>
      </c>
      <c r="E37" s="2">
        <v>1251082</v>
      </c>
      <c r="F37" s="2">
        <v>980494</v>
      </c>
      <c r="G37" s="2" t="s">
        <v>33</v>
      </c>
      <c r="H37" s="2">
        <v>980494</v>
      </c>
      <c r="I37" s="2">
        <v>4726950</v>
      </c>
      <c r="J37" s="2">
        <v>270588</v>
      </c>
      <c r="K37" s="2">
        <v>508388</v>
      </c>
      <c r="L37" s="2">
        <v>778976</v>
      </c>
      <c r="M37" s="2">
        <v>77686</v>
      </c>
      <c r="N37" s="2">
        <v>-109468</v>
      </c>
      <c r="O37" s="2">
        <v>-48973</v>
      </c>
      <c r="P37" s="2">
        <v>542849</v>
      </c>
      <c r="Q37" s="12" t="s">
        <v>33</v>
      </c>
      <c r="R37" s="12" t="s">
        <v>33</v>
      </c>
      <c r="S37" s="2">
        <v>542849</v>
      </c>
      <c r="U37" s="41">
        <v>4997538</v>
      </c>
      <c r="V37" s="42">
        <v>3746456</v>
      </c>
      <c r="W37" s="42">
        <v>1251082</v>
      </c>
      <c r="X37" s="42">
        <v>980494</v>
      </c>
      <c r="Y37" s="42" t="s">
        <v>33</v>
      </c>
      <c r="Z37" s="42">
        <v>980494</v>
      </c>
      <c r="AA37" s="42">
        <v>4726950</v>
      </c>
      <c r="AB37" s="42">
        <v>270588</v>
      </c>
      <c r="AC37" s="41">
        <v>508388</v>
      </c>
      <c r="AD37" s="42">
        <v>778976</v>
      </c>
      <c r="AE37" s="42">
        <v>77686</v>
      </c>
      <c r="AF37" s="42">
        <v>-109468</v>
      </c>
      <c r="AG37" s="42">
        <v>-48973</v>
      </c>
      <c r="AH37" s="41">
        <v>542849</v>
      </c>
      <c r="AI37" s="44" t="s">
        <v>33</v>
      </c>
      <c r="AJ37" s="44" t="s">
        <v>33</v>
      </c>
      <c r="AK37" s="42">
        <v>542849</v>
      </c>
      <c r="AM37" s="49">
        <f t="shared" si="1"/>
        <v>0</v>
      </c>
      <c r="AN37" s="49">
        <f t="shared" si="2"/>
        <v>0</v>
      </c>
      <c r="AO37" s="49">
        <f t="shared" si="3"/>
        <v>0</v>
      </c>
      <c r="AP37" s="49">
        <f t="shared" si="4"/>
        <v>0</v>
      </c>
      <c r="AQ37" s="49" t="e">
        <f t="shared" si="5"/>
        <v>#VALUE!</v>
      </c>
      <c r="AR37" s="49">
        <f t="shared" si="6"/>
        <v>0</v>
      </c>
      <c r="AS37" s="49">
        <f t="shared" si="7"/>
        <v>0</v>
      </c>
      <c r="AT37" s="49">
        <f t="shared" si="8"/>
        <v>0</v>
      </c>
      <c r="AU37" s="54">
        <f t="shared" si="9"/>
        <v>0</v>
      </c>
      <c r="AV37" s="54">
        <f t="shared" si="10"/>
        <v>0</v>
      </c>
      <c r="AW37" s="54">
        <f t="shared" si="11"/>
        <v>0</v>
      </c>
      <c r="AX37" s="54">
        <f t="shared" si="12"/>
        <v>0</v>
      </c>
      <c r="AY37" s="54">
        <f t="shared" si="13"/>
        <v>0</v>
      </c>
      <c r="AZ37" s="45">
        <f t="shared" si="14"/>
        <v>0</v>
      </c>
      <c r="BA37" s="45" t="e">
        <f t="shared" si="15"/>
        <v>#VALUE!</v>
      </c>
      <c r="BB37" s="45" t="e">
        <f t="shared" si="16"/>
        <v>#VALUE!</v>
      </c>
      <c r="BC37" s="45">
        <f t="shared" si="17"/>
        <v>0</v>
      </c>
      <c r="BD37" s="45">
        <f t="shared" si="18"/>
        <v>0</v>
      </c>
    </row>
    <row r="38" spans="1:56" s="24" customFormat="1" ht="51.75">
      <c r="A38" s="20" t="s">
        <v>133</v>
      </c>
      <c r="B38" s="25" t="s">
        <v>80</v>
      </c>
      <c r="C38" s="22">
        <v>1439032</v>
      </c>
      <c r="D38" s="22">
        <v>1392217</v>
      </c>
      <c r="E38" s="22">
        <v>46815</v>
      </c>
      <c r="F38" s="22">
        <v>395665</v>
      </c>
      <c r="G38" s="22">
        <v>31445</v>
      </c>
      <c r="H38" s="22">
        <v>364220</v>
      </c>
      <c r="I38" s="22">
        <v>1787882</v>
      </c>
      <c r="J38" s="22">
        <v>-348850</v>
      </c>
      <c r="K38" s="22">
        <v>-250324</v>
      </c>
      <c r="L38" s="22">
        <v>-599174</v>
      </c>
      <c r="M38" s="22">
        <v>267</v>
      </c>
      <c r="N38" s="22">
        <v>2985</v>
      </c>
      <c r="O38" s="22">
        <v>-18021</v>
      </c>
      <c r="P38" s="22">
        <v>-614477</v>
      </c>
      <c r="Q38" s="23" t="s">
        <v>33</v>
      </c>
      <c r="R38" s="23" t="s">
        <v>33</v>
      </c>
      <c r="S38" s="22">
        <v>-614477</v>
      </c>
      <c r="U38" s="41">
        <v>1439032</v>
      </c>
      <c r="V38" s="42">
        <v>1392217</v>
      </c>
      <c r="W38" s="42">
        <v>46815</v>
      </c>
      <c r="X38" s="42">
        <v>395665</v>
      </c>
      <c r="Y38" s="42">
        <v>31445</v>
      </c>
      <c r="Z38" s="42">
        <v>364220</v>
      </c>
      <c r="AA38" s="42">
        <v>1787882</v>
      </c>
      <c r="AB38" s="42">
        <v>-348850</v>
      </c>
      <c r="AC38" s="41">
        <v>-250324</v>
      </c>
      <c r="AD38" s="42">
        <v>-599174</v>
      </c>
      <c r="AE38" s="42">
        <v>267</v>
      </c>
      <c r="AF38" s="42">
        <v>2985</v>
      </c>
      <c r="AG38" s="42">
        <v>-18021</v>
      </c>
      <c r="AH38" s="41">
        <v>-614477</v>
      </c>
      <c r="AI38" s="44" t="s">
        <v>33</v>
      </c>
      <c r="AJ38" s="44" t="s">
        <v>33</v>
      </c>
      <c r="AK38" s="42">
        <v>-614477</v>
      </c>
      <c r="AM38" s="49">
        <f t="shared" si="1"/>
        <v>0</v>
      </c>
      <c r="AN38" s="49">
        <f t="shared" si="2"/>
        <v>0</v>
      </c>
      <c r="AO38" s="49">
        <f t="shared" si="3"/>
        <v>0</v>
      </c>
      <c r="AP38" s="49">
        <f t="shared" si="4"/>
        <v>0</v>
      </c>
      <c r="AQ38" s="49">
        <f t="shared" si="5"/>
        <v>0</v>
      </c>
      <c r="AR38" s="49">
        <f t="shared" si="6"/>
        <v>0</v>
      </c>
      <c r="AS38" s="49">
        <f t="shared" si="7"/>
        <v>0</v>
      </c>
      <c r="AT38" s="49">
        <f t="shared" si="8"/>
        <v>0</v>
      </c>
      <c r="AU38" s="54">
        <f t="shared" si="9"/>
        <v>0</v>
      </c>
      <c r="AV38" s="54">
        <f t="shared" si="10"/>
        <v>0</v>
      </c>
      <c r="AW38" s="54">
        <f t="shared" si="11"/>
        <v>0</v>
      </c>
      <c r="AX38" s="54">
        <f t="shared" si="12"/>
        <v>0</v>
      </c>
      <c r="AY38" s="54">
        <f t="shared" si="13"/>
        <v>0</v>
      </c>
      <c r="AZ38" s="45">
        <f t="shared" si="14"/>
        <v>0</v>
      </c>
      <c r="BA38" s="45" t="e">
        <f t="shared" si="15"/>
        <v>#VALUE!</v>
      </c>
      <c r="BB38" s="45" t="e">
        <f t="shared" si="16"/>
        <v>#VALUE!</v>
      </c>
      <c r="BC38" s="45">
        <f t="shared" si="17"/>
        <v>0</v>
      </c>
      <c r="BD38" s="45">
        <f t="shared" si="18"/>
        <v>0</v>
      </c>
    </row>
    <row r="39" spans="1:56" ht="39">
      <c r="A39" s="18" t="s">
        <v>81</v>
      </c>
      <c r="B39" s="19" t="s">
        <v>82</v>
      </c>
      <c r="C39" s="2">
        <v>1364829</v>
      </c>
      <c r="D39" s="2">
        <v>1317847</v>
      </c>
      <c r="E39" s="2">
        <v>46982</v>
      </c>
      <c r="F39" s="2">
        <v>395665</v>
      </c>
      <c r="G39" s="2">
        <v>31445</v>
      </c>
      <c r="H39" s="2">
        <v>364220</v>
      </c>
      <c r="I39" s="2">
        <v>1713512</v>
      </c>
      <c r="J39" s="2">
        <v>-348683</v>
      </c>
      <c r="K39" s="2">
        <v>-250943</v>
      </c>
      <c r="L39" s="2">
        <v>-599626</v>
      </c>
      <c r="M39" s="2">
        <v>267</v>
      </c>
      <c r="N39" s="2">
        <v>2985</v>
      </c>
      <c r="O39" s="2">
        <v>-17275</v>
      </c>
      <c r="P39" s="2">
        <v>-614183</v>
      </c>
      <c r="Q39" s="12" t="s">
        <v>33</v>
      </c>
      <c r="R39" s="12" t="s">
        <v>33</v>
      </c>
      <c r="S39" s="2">
        <v>-614183</v>
      </c>
      <c r="U39" s="41">
        <v>1364829</v>
      </c>
      <c r="V39" s="42">
        <v>1317847</v>
      </c>
      <c r="W39" s="42">
        <v>46982</v>
      </c>
      <c r="X39" s="42">
        <v>395665</v>
      </c>
      <c r="Y39" s="42">
        <v>31445</v>
      </c>
      <c r="Z39" s="42">
        <v>364220</v>
      </c>
      <c r="AA39" s="42">
        <v>1713512</v>
      </c>
      <c r="AB39" s="42">
        <v>-348683</v>
      </c>
      <c r="AC39" s="41">
        <v>-250943</v>
      </c>
      <c r="AD39" s="42">
        <v>-599626</v>
      </c>
      <c r="AE39" s="42">
        <v>267</v>
      </c>
      <c r="AF39" s="42">
        <v>2985</v>
      </c>
      <c r="AG39" s="42">
        <v>-17275</v>
      </c>
      <c r="AH39" s="41">
        <v>-614183</v>
      </c>
      <c r="AI39" s="44" t="s">
        <v>33</v>
      </c>
      <c r="AJ39" s="44" t="s">
        <v>33</v>
      </c>
      <c r="AK39" s="42">
        <v>-614183</v>
      </c>
      <c r="AM39" s="49">
        <f t="shared" si="1"/>
        <v>0</v>
      </c>
      <c r="AN39" s="49">
        <f t="shared" si="2"/>
        <v>0</v>
      </c>
      <c r="AO39" s="49">
        <f t="shared" si="3"/>
        <v>0</v>
      </c>
      <c r="AP39" s="49">
        <f t="shared" si="4"/>
        <v>0</v>
      </c>
      <c r="AQ39" s="49">
        <f t="shared" si="5"/>
        <v>0</v>
      </c>
      <c r="AR39" s="49">
        <f t="shared" si="6"/>
        <v>0</v>
      </c>
      <c r="AS39" s="49">
        <f t="shared" si="7"/>
        <v>0</v>
      </c>
      <c r="AT39" s="49">
        <f t="shared" si="8"/>
        <v>0</v>
      </c>
      <c r="AU39" s="54">
        <f t="shared" si="9"/>
        <v>0</v>
      </c>
      <c r="AV39" s="54">
        <f t="shared" si="10"/>
        <v>0</v>
      </c>
      <c r="AW39" s="54">
        <f t="shared" si="11"/>
        <v>0</v>
      </c>
      <c r="AX39" s="54">
        <f t="shared" si="12"/>
        <v>0</v>
      </c>
      <c r="AY39" s="54">
        <f t="shared" si="13"/>
        <v>0</v>
      </c>
      <c r="AZ39" s="45">
        <f t="shared" si="14"/>
        <v>0</v>
      </c>
      <c r="BA39" s="45" t="e">
        <f t="shared" si="15"/>
        <v>#VALUE!</v>
      </c>
      <c r="BB39" s="45" t="e">
        <f t="shared" si="16"/>
        <v>#VALUE!</v>
      </c>
      <c r="BC39" s="45">
        <f t="shared" si="17"/>
        <v>0</v>
      </c>
      <c r="BD39" s="45">
        <f t="shared" si="18"/>
        <v>0</v>
      </c>
    </row>
    <row r="40" spans="1:56" ht="39">
      <c r="A40" s="18" t="s">
        <v>83</v>
      </c>
      <c r="B40" s="19" t="s">
        <v>84</v>
      </c>
      <c r="C40" s="2">
        <v>74203</v>
      </c>
      <c r="D40" s="2">
        <v>74370</v>
      </c>
      <c r="E40" s="2">
        <v>-167</v>
      </c>
      <c r="F40" s="2" t="s">
        <v>33</v>
      </c>
      <c r="G40" s="2" t="s">
        <v>33</v>
      </c>
      <c r="H40" s="2" t="s">
        <v>33</v>
      </c>
      <c r="I40" s="2">
        <v>74370</v>
      </c>
      <c r="J40" s="2">
        <v>-167</v>
      </c>
      <c r="K40" s="2">
        <v>619</v>
      </c>
      <c r="L40" s="2">
        <v>452</v>
      </c>
      <c r="M40" s="2" t="s">
        <v>33</v>
      </c>
      <c r="N40" s="2" t="s">
        <v>33</v>
      </c>
      <c r="O40" s="2">
        <v>-746</v>
      </c>
      <c r="P40" s="2">
        <v>-294</v>
      </c>
      <c r="Q40" s="12" t="s">
        <v>33</v>
      </c>
      <c r="R40" s="12" t="s">
        <v>33</v>
      </c>
      <c r="S40" s="2">
        <v>-294</v>
      </c>
      <c r="U40" s="41">
        <v>74203</v>
      </c>
      <c r="V40" s="42">
        <v>74370</v>
      </c>
      <c r="W40" s="42">
        <v>-167</v>
      </c>
      <c r="X40" s="42" t="s">
        <v>33</v>
      </c>
      <c r="Y40" s="42" t="s">
        <v>33</v>
      </c>
      <c r="Z40" s="42" t="s">
        <v>33</v>
      </c>
      <c r="AA40" s="42">
        <v>74370</v>
      </c>
      <c r="AB40" s="42">
        <v>-167</v>
      </c>
      <c r="AC40" s="41">
        <v>619</v>
      </c>
      <c r="AD40" s="42">
        <v>452</v>
      </c>
      <c r="AE40" s="42" t="s">
        <v>33</v>
      </c>
      <c r="AF40" s="42" t="s">
        <v>33</v>
      </c>
      <c r="AG40" s="42">
        <v>-746</v>
      </c>
      <c r="AH40" s="41">
        <v>-294</v>
      </c>
      <c r="AI40" s="44" t="s">
        <v>33</v>
      </c>
      <c r="AJ40" s="44" t="s">
        <v>33</v>
      </c>
      <c r="AK40" s="42">
        <v>-294</v>
      </c>
      <c r="AM40" s="49">
        <f t="shared" si="1"/>
        <v>0</v>
      </c>
      <c r="AN40" s="49">
        <f t="shared" si="2"/>
        <v>0</v>
      </c>
      <c r="AO40" s="49">
        <f t="shared" si="3"/>
        <v>0</v>
      </c>
      <c r="AP40" s="49" t="e">
        <f t="shared" si="4"/>
        <v>#VALUE!</v>
      </c>
      <c r="AQ40" s="49" t="e">
        <f t="shared" si="5"/>
        <v>#VALUE!</v>
      </c>
      <c r="AR40" s="49" t="e">
        <f t="shared" si="6"/>
        <v>#VALUE!</v>
      </c>
      <c r="AS40" s="49">
        <f t="shared" si="7"/>
        <v>0</v>
      </c>
      <c r="AT40" s="49">
        <f t="shared" si="8"/>
        <v>0</v>
      </c>
      <c r="AU40" s="54">
        <f t="shared" si="9"/>
        <v>0</v>
      </c>
      <c r="AV40" s="54">
        <f t="shared" si="10"/>
        <v>0</v>
      </c>
      <c r="AW40" s="54" t="e">
        <f t="shared" si="11"/>
        <v>#VALUE!</v>
      </c>
      <c r="AX40" s="54" t="e">
        <f t="shared" si="12"/>
        <v>#VALUE!</v>
      </c>
      <c r="AY40" s="54">
        <f t="shared" si="13"/>
        <v>0</v>
      </c>
      <c r="AZ40" s="45">
        <f t="shared" si="14"/>
        <v>0</v>
      </c>
      <c r="BA40" s="45" t="e">
        <f t="shared" si="15"/>
        <v>#VALUE!</v>
      </c>
      <c r="BB40" s="45" t="e">
        <f t="shared" si="16"/>
        <v>#VALUE!</v>
      </c>
      <c r="BC40" s="45">
        <f t="shared" si="17"/>
        <v>0</v>
      </c>
      <c r="BD40" s="45">
        <f t="shared" si="18"/>
        <v>0</v>
      </c>
    </row>
    <row r="41" spans="1:56" s="24" customFormat="1" ht="39">
      <c r="A41" s="20" t="s">
        <v>134</v>
      </c>
      <c r="B41" s="25" t="s">
        <v>85</v>
      </c>
      <c r="C41" s="22">
        <v>22820</v>
      </c>
      <c r="D41" s="22" t="s">
        <v>33</v>
      </c>
      <c r="E41" s="22">
        <v>22820</v>
      </c>
      <c r="F41" s="22">
        <v>41207</v>
      </c>
      <c r="G41" s="22" t="s">
        <v>33</v>
      </c>
      <c r="H41" s="22">
        <v>41207</v>
      </c>
      <c r="I41" s="22">
        <v>41207</v>
      </c>
      <c r="J41" s="22">
        <v>-18387</v>
      </c>
      <c r="K41" s="22">
        <v>-3331118</v>
      </c>
      <c r="L41" s="22">
        <v>-3349505</v>
      </c>
      <c r="M41" s="22">
        <v>270485</v>
      </c>
      <c r="N41" s="22">
        <v>1696724</v>
      </c>
      <c r="O41" s="22">
        <v>3545479</v>
      </c>
      <c r="P41" s="22">
        <v>1622213</v>
      </c>
      <c r="Q41" s="23" t="s">
        <v>33</v>
      </c>
      <c r="R41" s="23" t="s">
        <v>33</v>
      </c>
      <c r="S41" s="22">
        <v>1622213</v>
      </c>
      <c r="U41" s="41">
        <v>22820</v>
      </c>
      <c r="V41" s="42" t="s">
        <v>33</v>
      </c>
      <c r="W41" s="42">
        <v>22820</v>
      </c>
      <c r="X41" s="42">
        <v>41207</v>
      </c>
      <c r="Y41" s="42" t="s">
        <v>33</v>
      </c>
      <c r="Z41" s="42">
        <v>41207</v>
      </c>
      <c r="AA41" s="42">
        <v>41207</v>
      </c>
      <c r="AB41" s="42">
        <v>-18387</v>
      </c>
      <c r="AC41" s="41">
        <v>-3331118</v>
      </c>
      <c r="AD41" s="42">
        <v>-3349505</v>
      </c>
      <c r="AE41" s="42">
        <v>270485</v>
      </c>
      <c r="AF41" s="42">
        <v>1696724</v>
      </c>
      <c r="AG41" s="42">
        <v>3545479</v>
      </c>
      <c r="AH41" s="41">
        <v>1622213</v>
      </c>
      <c r="AI41" s="44" t="s">
        <v>33</v>
      </c>
      <c r="AJ41" s="44" t="s">
        <v>33</v>
      </c>
      <c r="AK41" s="42">
        <v>1622213</v>
      </c>
      <c r="AM41" s="49">
        <f t="shared" si="1"/>
        <v>0</v>
      </c>
      <c r="AN41" s="49" t="e">
        <f t="shared" si="2"/>
        <v>#VALUE!</v>
      </c>
      <c r="AO41" s="49">
        <f t="shared" si="3"/>
        <v>0</v>
      </c>
      <c r="AP41" s="49">
        <f t="shared" si="4"/>
        <v>0</v>
      </c>
      <c r="AQ41" s="49" t="e">
        <f t="shared" si="5"/>
        <v>#VALUE!</v>
      </c>
      <c r="AR41" s="49">
        <f t="shared" si="6"/>
        <v>0</v>
      </c>
      <c r="AS41" s="49">
        <f t="shared" si="7"/>
        <v>0</v>
      </c>
      <c r="AT41" s="49">
        <f t="shared" si="8"/>
        <v>0</v>
      </c>
      <c r="AU41" s="54">
        <f t="shared" si="9"/>
        <v>0</v>
      </c>
      <c r="AV41" s="54">
        <f t="shared" si="10"/>
        <v>0</v>
      </c>
      <c r="AW41" s="54">
        <f t="shared" si="11"/>
        <v>0</v>
      </c>
      <c r="AX41" s="54">
        <f t="shared" si="12"/>
        <v>0</v>
      </c>
      <c r="AY41" s="54">
        <f t="shared" si="13"/>
        <v>0</v>
      </c>
      <c r="AZ41" s="45">
        <f t="shared" si="14"/>
        <v>0</v>
      </c>
      <c r="BA41" s="45" t="e">
        <f t="shared" si="15"/>
        <v>#VALUE!</v>
      </c>
      <c r="BB41" s="45" t="e">
        <f t="shared" si="16"/>
        <v>#VALUE!</v>
      </c>
      <c r="BC41" s="45">
        <f t="shared" si="17"/>
        <v>0</v>
      </c>
      <c r="BD41" s="45">
        <f t="shared" si="18"/>
        <v>0</v>
      </c>
    </row>
    <row r="42" spans="1:56" ht="65.25" thickBot="1">
      <c r="A42" s="18" t="s">
        <v>86</v>
      </c>
      <c r="B42" s="19" t="s">
        <v>87</v>
      </c>
      <c r="C42" s="2">
        <v>22820</v>
      </c>
      <c r="D42" s="2" t="s">
        <v>33</v>
      </c>
      <c r="E42" s="2">
        <v>22820</v>
      </c>
      <c r="F42" s="2">
        <v>41207</v>
      </c>
      <c r="G42" s="2" t="s">
        <v>33</v>
      </c>
      <c r="H42" s="2">
        <v>41207</v>
      </c>
      <c r="I42" s="2">
        <v>41207</v>
      </c>
      <c r="J42" s="2">
        <v>-18387</v>
      </c>
      <c r="K42" s="2">
        <v>-3331118</v>
      </c>
      <c r="L42" s="2">
        <v>-3349505</v>
      </c>
      <c r="M42" s="2">
        <v>270485</v>
      </c>
      <c r="N42" s="2">
        <v>1696724</v>
      </c>
      <c r="O42" s="2">
        <v>3545479</v>
      </c>
      <c r="P42" s="2">
        <v>1622213</v>
      </c>
      <c r="Q42" s="12" t="s">
        <v>33</v>
      </c>
      <c r="R42" s="12" t="s">
        <v>33</v>
      </c>
      <c r="S42" s="2">
        <v>1622213</v>
      </c>
      <c r="U42" s="41">
        <v>22820</v>
      </c>
      <c r="V42" s="42" t="s">
        <v>33</v>
      </c>
      <c r="W42" s="42">
        <v>22820</v>
      </c>
      <c r="X42" s="42">
        <v>41207</v>
      </c>
      <c r="Y42" s="42" t="s">
        <v>33</v>
      </c>
      <c r="Z42" s="42">
        <v>41207</v>
      </c>
      <c r="AA42" s="42">
        <v>41207</v>
      </c>
      <c r="AB42" s="42">
        <v>-18387</v>
      </c>
      <c r="AC42" s="41">
        <v>-3331118</v>
      </c>
      <c r="AD42" s="42">
        <v>-3349505</v>
      </c>
      <c r="AE42" s="42">
        <v>270485</v>
      </c>
      <c r="AF42" s="42">
        <v>1696724</v>
      </c>
      <c r="AG42" s="42">
        <v>3545479</v>
      </c>
      <c r="AH42" s="41">
        <v>1622213</v>
      </c>
      <c r="AI42" s="44" t="s">
        <v>33</v>
      </c>
      <c r="AJ42" s="44" t="s">
        <v>33</v>
      </c>
      <c r="AK42" s="42">
        <v>1622213</v>
      </c>
      <c r="AM42" s="49">
        <f t="shared" si="1"/>
        <v>0</v>
      </c>
      <c r="AN42" s="49" t="e">
        <f t="shared" si="2"/>
        <v>#VALUE!</v>
      </c>
      <c r="AO42" s="49">
        <f t="shared" si="3"/>
        <v>0</v>
      </c>
      <c r="AP42" s="49">
        <f t="shared" si="4"/>
        <v>0</v>
      </c>
      <c r="AQ42" s="49" t="e">
        <f t="shared" si="5"/>
        <v>#VALUE!</v>
      </c>
      <c r="AR42" s="49">
        <f t="shared" si="6"/>
        <v>0</v>
      </c>
      <c r="AS42" s="49">
        <f t="shared" si="7"/>
        <v>0</v>
      </c>
      <c r="AT42" s="49">
        <f t="shared" si="8"/>
        <v>0</v>
      </c>
      <c r="AU42" s="54">
        <f t="shared" si="9"/>
        <v>0</v>
      </c>
      <c r="AV42" s="54">
        <f t="shared" si="10"/>
        <v>0</v>
      </c>
      <c r="AW42" s="54">
        <f t="shared" si="11"/>
        <v>0</v>
      </c>
      <c r="AX42" s="54">
        <f t="shared" si="12"/>
        <v>0</v>
      </c>
      <c r="AY42" s="54">
        <f t="shared" si="13"/>
        <v>0</v>
      </c>
      <c r="AZ42" s="45">
        <f t="shared" si="14"/>
        <v>0</v>
      </c>
      <c r="BA42" s="45" t="e">
        <f t="shared" si="15"/>
        <v>#VALUE!</v>
      </c>
      <c r="BB42" s="45" t="e">
        <f t="shared" si="16"/>
        <v>#VALUE!</v>
      </c>
      <c r="BC42" s="45">
        <f t="shared" si="17"/>
        <v>0</v>
      </c>
      <c r="BD42" s="45">
        <f t="shared" si="18"/>
        <v>0</v>
      </c>
    </row>
    <row r="43" spans="1:56" s="24" customFormat="1" ht="51.75">
      <c r="A43" s="20" t="s">
        <v>135</v>
      </c>
      <c r="B43" s="25" t="s">
        <v>88</v>
      </c>
      <c r="C43" s="22">
        <v>4085123</v>
      </c>
      <c r="D43" s="22">
        <v>2832538</v>
      </c>
      <c r="E43" s="22">
        <v>1252585</v>
      </c>
      <c r="F43" s="22">
        <v>988251</v>
      </c>
      <c r="G43" s="22">
        <v>433800</v>
      </c>
      <c r="H43" s="22">
        <v>554451</v>
      </c>
      <c r="I43" s="22">
        <v>3820789</v>
      </c>
      <c r="J43" s="22">
        <v>264334</v>
      </c>
      <c r="K43" s="22">
        <v>-30579</v>
      </c>
      <c r="L43" s="22">
        <v>233755</v>
      </c>
      <c r="M43" s="22">
        <v>101698</v>
      </c>
      <c r="N43" s="22">
        <v>72657</v>
      </c>
      <c r="O43" s="22">
        <v>19107</v>
      </c>
      <c r="P43" s="22">
        <v>223821</v>
      </c>
      <c r="Q43" s="23" t="s">
        <v>33</v>
      </c>
      <c r="R43" s="23" t="s">
        <v>33</v>
      </c>
      <c r="S43" s="22">
        <v>223821</v>
      </c>
      <c r="U43" s="39">
        <v>4085123</v>
      </c>
      <c r="V43" s="40">
        <v>2832538</v>
      </c>
      <c r="W43" s="40">
        <v>1252585</v>
      </c>
      <c r="X43" s="40">
        <v>988251</v>
      </c>
      <c r="Y43" s="40">
        <v>433800</v>
      </c>
      <c r="Z43" s="40">
        <v>554451</v>
      </c>
      <c r="AA43" s="40">
        <v>3820789</v>
      </c>
      <c r="AB43" s="40">
        <v>264334</v>
      </c>
      <c r="AC43" s="39">
        <v>-30579</v>
      </c>
      <c r="AD43" s="40">
        <v>233755</v>
      </c>
      <c r="AE43" s="40">
        <v>101698</v>
      </c>
      <c r="AF43" s="40">
        <v>72657</v>
      </c>
      <c r="AG43" s="40">
        <v>19107</v>
      </c>
      <c r="AH43" s="41">
        <v>223821</v>
      </c>
      <c r="AI43" s="44" t="s">
        <v>33</v>
      </c>
      <c r="AJ43" s="44" t="s">
        <v>33</v>
      </c>
      <c r="AK43" s="42">
        <v>223821</v>
      </c>
      <c r="AM43" s="49">
        <f t="shared" si="1"/>
        <v>0</v>
      </c>
      <c r="AN43" s="49">
        <f t="shared" si="2"/>
        <v>0</v>
      </c>
      <c r="AO43" s="49">
        <f t="shared" si="3"/>
        <v>0</v>
      </c>
      <c r="AP43" s="49">
        <f t="shared" si="4"/>
        <v>0</v>
      </c>
      <c r="AQ43" s="49">
        <f t="shared" si="5"/>
        <v>0</v>
      </c>
      <c r="AR43" s="49">
        <f t="shared" si="6"/>
        <v>0</v>
      </c>
      <c r="AS43" s="49">
        <f t="shared" si="7"/>
        <v>0</v>
      </c>
      <c r="AT43" s="49">
        <f t="shared" si="8"/>
        <v>0</v>
      </c>
      <c r="AU43" s="54">
        <f t="shared" ref="AU43:AU44" si="19">K43-AC43</f>
        <v>0</v>
      </c>
      <c r="AV43" s="54">
        <f t="shared" ref="AV43:AV44" si="20">L43-AD43</f>
        <v>0</v>
      </c>
      <c r="AW43" s="54">
        <f t="shared" ref="AW43:AW44" si="21">M43-AE43</f>
        <v>0</v>
      </c>
      <c r="AX43" s="54">
        <f t="shared" ref="AX43:AX44" si="22">N43-AF43</f>
        <v>0</v>
      </c>
      <c r="AY43" s="54">
        <f t="shared" ref="AY43:AY44" si="23">O43-AG43</f>
        <v>0</v>
      </c>
      <c r="AZ43" s="45">
        <f t="shared" si="14"/>
        <v>0</v>
      </c>
      <c r="BA43" s="45" t="e">
        <f t="shared" si="15"/>
        <v>#VALUE!</v>
      </c>
      <c r="BB43" s="45" t="e">
        <f t="shared" si="16"/>
        <v>#VALUE!</v>
      </c>
      <c r="BC43" s="45">
        <f t="shared" si="17"/>
        <v>0</v>
      </c>
      <c r="BD43" s="45">
        <f t="shared" si="18"/>
        <v>0</v>
      </c>
    </row>
    <row r="44" spans="1:56" ht="26.25">
      <c r="A44" s="18" t="s">
        <v>89</v>
      </c>
      <c r="B44" s="19" t="s">
        <v>90</v>
      </c>
      <c r="C44" s="2">
        <v>4085123</v>
      </c>
      <c r="D44" s="2">
        <v>2832538</v>
      </c>
      <c r="E44" s="2">
        <v>1252585</v>
      </c>
      <c r="F44" s="2">
        <v>988251</v>
      </c>
      <c r="G44" s="2">
        <v>433800</v>
      </c>
      <c r="H44" s="2">
        <v>554451</v>
      </c>
      <c r="I44" s="2">
        <v>3820789</v>
      </c>
      <c r="J44" s="2">
        <v>264334</v>
      </c>
      <c r="K44" s="2">
        <v>-30579</v>
      </c>
      <c r="L44" s="2">
        <v>233755</v>
      </c>
      <c r="M44" s="2">
        <v>101698</v>
      </c>
      <c r="N44" s="2">
        <v>72657</v>
      </c>
      <c r="O44" s="2">
        <v>19107</v>
      </c>
      <c r="P44" s="2">
        <v>223821</v>
      </c>
      <c r="Q44" s="12" t="s">
        <v>33</v>
      </c>
      <c r="R44" s="12" t="s">
        <v>33</v>
      </c>
      <c r="S44" s="2">
        <v>223821</v>
      </c>
      <c r="U44" s="41">
        <v>4085123</v>
      </c>
      <c r="V44" s="42">
        <v>2832538</v>
      </c>
      <c r="W44" s="42">
        <v>1252585</v>
      </c>
      <c r="X44" s="42">
        <v>988251</v>
      </c>
      <c r="Y44" s="42">
        <v>433800</v>
      </c>
      <c r="Z44" s="42">
        <v>554451</v>
      </c>
      <c r="AA44" s="42">
        <v>3820789</v>
      </c>
      <c r="AB44" s="42">
        <v>264334</v>
      </c>
      <c r="AC44" s="41">
        <v>-30579</v>
      </c>
      <c r="AD44" s="42">
        <v>233755</v>
      </c>
      <c r="AE44" s="42">
        <v>101698</v>
      </c>
      <c r="AF44" s="42">
        <v>72657</v>
      </c>
      <c r="AG44" s="42">
        <v>19107</v>
      </c>
      <c r="AH44" s="41">
        <v>223821</v>
      </c>
      <c r="AI44" s="44" t="s">
        <v>33</v>
      </c>
      <c r="AJ44" s="44" t="s">
        <v>33</v>
      </c>
      <c r="AK44" s="42">
        <v>223821</v>
      </c>
      <c r="AM44" s="49">
        <f t="shared" si="1"/>
        <v>0</v>
      </c>
      <c r="AN44" s="49">
        <f t="shared" si="2"/>
        <v>0</v>
      </c>
      <c r="AO44" s="49">
        <f t="shared" si="3"/>
        <v>0</v>
      </c>
      <c r="AP44" s="49">
        <f t="shared" si="4"/>
        <v>0</v>
      </c>
      <c r="AQ44" s="49">
        <f t="shared" si="5"/>
        <v>0</v>
      </c>
      <c r="AR44" s="49">
        <f t="shared" si="6"/>
        <v>0</v>
      </c>
      <c r="AS44" s="49">
        <f t="shared" si="7"/>
        <v>0</v>
      </c>
      <c r="AT44" s="49">
        <f t="shared" si="8"/>
        <v>0</v>
      </c>
      <c r="AU44" s="54">
        <f t="shared" si="19"/>
        <v>0</v>
      </c>
      <c r="AV44" s="54">
        <f t="shared" si="20"/>
        <v>0</v>
      </c>
      <c r="AW44" s="54">
        <f t="shared" si="21"/>
        <v>0</v>
      </c>
      <c r="AX44" s="54">
        <f t="shared" si="22"/>
        <v>0</v>
      </c>
      <c r="AY44" s="54">
        <f t="shared" si="23"/>
        <v>0</v>
      </c>
      <c r="AZ44" s="45">
        <f t="shared" si="14"/>
        <v>0</v>
      </c>
      <c r="BA44" s="45" t="e">
        <f t="shared" si="15"/>
        <v>#VALUE!</v>
      </c>
      <c r="BB44" s="45" t="e">
        <f t="shared" si="16"/>
        <v>#VALUE!</v>
      </c>
      <c r="BC44" s="45">
        <f t="shared" si="17"/>
        <v>0</v>
      </c>
      <c r="BD44" s="45">
        <f t="shared" si="18"/>
        <v>0</v>
      </c>
    </row>
    <row r="45" spans="1:56" s="24" customFormat="1" ht="39">
      <c r="A45" s="20" t="s">
        <v>136</v>
      </c>
      <c r="B45" s="25" t="s">
        <v>91</v>
      </c>
      <c r="C45" s="22">
        <v>485058</v>
      </c>
      <c r="D45" s="22">
        <v>544198</v>
      </c>
      <c r="E45" s="22">
        <v>-59140</v>
      </c>
      <c r="F45" s="22">
        <v>367570</v>
      </c>
      <c r="G45" s="22">
        <v>198</v>
      </c>
      <c r="H45" s="22">
        <v>367372</v>
      </c>
      <c r="I45" s="22">
        <v>911768</v>
      </c>
      <c r="J45" s="22">
        <v>-426710</v>
      </c>
      <c r="K45" s="22">
        <v>-395605</v>
      </c>
      <c r="L45" s="22">
        <v>-822315</v>
      </c>
      <c r="M45" s="22">
        <v>5219</v>
      </c>
      <c r="N45" s="22">
        <v>210069</v>
      </c>
      <c r="O45" s="22">
        <v>20470</v>
      </c>
      <c r="P45" s="22">
        <v>-596995</v>
      </c>
      <c r="Q45" s="23" t="s">
        <v>33</v>
      </c>
      <c r="R45" s="23" t="s">
        <v>33</v>
      </c>
      <c r="S45" s="22">
        <v>-596995</v>
      </c>
      <c r="U45" s="41">
        <v>485058</v>
      </c>
      <c r="V45" s="42">
        <v>544198</v>
      </c>
      <c r="W45" s="42">
        <v>-59140</v>
      </c>
      <c r="X45" s="42">
        <v>367570</v>
      </c>
      <c r="Y45" s="42">
        <v>198</v>
      </c>
      <c r="Z45" s="42">
        <v>367372</v>
      </c>
      <c r="AA45" s="42">
        <v>911768</v>
      </c>
      <c r="AB45" s="42">
        <v>-426710</v>
      </c>
      <c r="AC45" s="41">
        <v>-395605</v>
      </c>
      <c r="AD45" s="42">
        <v>-822315</v>
      </c>
      <c r="AE45" s="42">
        <v>5219</v>
      </c>
      <c r="AF45" s="42">
        <v>210069</v>
      </c>
      <c r="AG45" s="42">
        <v>20470</v>
      </c>
      <c r="AH45" s="41">
        <v>-596995</v>
      </c>
      <c r="AI45" s="44" t="s">
        <v>33</v>
      </c>
      <c r="AJ45" s="44" t="s">
        <v>33</v>
      </c>
      <c r="AK45" s="42">
        <v>-596995</v>
      </c>
      <c r="AM45" s="49">
        <f t="shared" si="1"/>
        <v>0</v>
      </c>
      <c r="AN45" s="49">
        <f t="shared" si="2"/>
        <v>0</v>
      </c>
      <c r="AO45" s="49">
        <f t="shared" si="3"/>
        <v>0</v>
      </c>
      <c r="AP45" s="49">
        <f t="shared" si="4"/>
        <v>0</v>
      </c>
      <c r="AQ45" s="49">
        <f t="shared" si="5"/>
        <v>0</v>
      </c>
      <c r="AR45" s="49">
        <f t="shared" si="6"/>
        <v>0</v>
      </c>
      <c r="AS45" s="49">
        <f t="shared" si="7"/>
        <v>0</v>
      </c>
      <c r="AT45" s="49">
        <f t="shared" si="8"/>
        <v>0</v>
      </c>
      <c r="AU45" s="54">
        <f t="shared" si="9"/>
        <v>0</v>
      </c>
      <c r="AV45" s="54">
        <f t="shared" si="10"/>
        <v>0</v>
      </c>
      <c r="AW45" s="54">
        <f t="shared" si="11"/>
        <v>0</v>
      </c>
      <c r="AX45" s="54">
        <f t="shared" si="12"/>
        <v>0</v>
      </c>
      <c r="AY45" s="54">
        <f t="shared" si="13"/>
        <v>0</v>
      </c>
      <c r="AZ45" s="45">
        <f t="shared" si="14"/>
        <v>0</v>
      </c>
      <c r="BA45" s="45" t="e">
        <f t="shared" si="15"/>
        <v>#VALUE!</v>
      </c>
      <c r="BB45" s="45" t="e">
        <f t="shared" si="16"/>
        <v>#VALUE!</v>
      </c>
      <c r="BC45" s="45">
        <f t="shared" si="17"/>
        <v>0</v>
      </c>
      <c r="BD45" s="45">
        <f t="shared" si="18"/>
        <v>0</v>
      </c>
    </row>
    <row r="46" spans="1:56" ht="27" thickBot="1">
      <c r="A46" s="18" t="s">
        <v>92</v>
      </c>
      <c r="B46" s="19" t="s">
        <v>93</v>
      </c>
      <c r="C46" s="2">
        <v>395</v>
      </c>
      <c r="D46" s="2" t="s">
        <v>33</v>
      </c>
      <c r="E46" s="2">
        <v>395</v>
      </c>
      <c r="F46" s="2">
        <v>362</v>
      </c>
      <c r="G46" s="2" t="s">
        <v>33</v>
      </c>
      <c r="H46" s="2">
        <v>362</v>
      </c>
      <c r="I46" s="2">
        <v>362</v>
      </c>
      <c r="J46" s="2">
        <v>33</v>
      </c>
      <c r="K46" s="2">
        <v>-3</v>
      </c>
      <c r="L46" s="2">
        <v>30</v>
      </c>
      <c r="M46" s="2" t="s">
        <v>33</v>
      </c>
      <c r="N46" s="2" t="s">
        <v>33</v>
      </c>
      <c r="O46" s="2" t="s">
        <v>33</v>
      </c>
      <c r="P46" s="2">
        <v>30</v>
      </c>
      <c r="Q46" s="12" t="s">
        <v>33</v>
      </c>
      <c r="R46" s="12" t="s">
        <v>33</v>
      </c>
      <c r="S46" s="2">
        <v>30</v>
      </c>
      <c r="U46" s="41">
        <v>395</v>
      </c>
      <c r="V46" s="42" t="s">
        <v>33</v>
      </c>
      <c r="W46" s="42">
        <v>395</v>
      </c>
      <c r="X46" s="42">
        <v>362</v>
      </c>
      <c r="Y46" s="42" t="s">
        <v>33</v>
      </c>
      <c r="Z46" s="42">
        <v>362</v>
      </c>
      <c r="AA46" s="42">
        <v>362</v>
      </c>
      <c r="AB46" s="42">
        <v>33</v>
      </c>
      <c r="AC46" s="41">
        <v>-3</v>
      </c>
      <c r="AD46" s="42">
        <v>30</v>
      </c>
      <c r="AE46" s="42" t="s">
        <v>33</v>
      </c>
      <c r="AF46" s="42" t="s">
        <v>33</v>
      </c>
      <c r="AG46" s="42" t="s">
        <v>33</v>
      </c>
      <c r="AH46" s="41">
        <v>30</v>
      </c>
      <c r="AI46" s="44" t="s">
        <v>33</v>
      </c>
      <c r="AJ46" s="44" t="s">
        <v>33</v>
      </c>
      <c r="AK46" s="42">
        <v>30</v>
      </c>
      <c r="AM46" s="49">
        <f t="shared" si="1"/>
        <v>0</v>
      </c>
      <c r="AN46" s="49" t="e">
        <f t="shared" si="2"/>
        <v>#VALUE!</v>
      </c>
      <c r="AO46" s="49">
        <f t="shared" si="3"/>
        <v>0</v>
      </c>
      <c r="AP46" s="49">
        <f t="shared" si="4"/>
        <v>0</v>
      </c>
      <c r="AQ46" s="49" t="e">
        <f t="shared" si="5"/>
        <v>#VALUE!</v>
      </c>
      <c r="AR46" s="49">
        <f t="shared" si="6"/>
        <v>0</v>
      </c>
      <c r="AS46" s="49">
        <f t="shared" si="7"/>
        <v>0</v>
      </c>
      <c r="AT46" s="49">
        <f t="shared" si="8"/>
        <v>0</v>
      </c>
      <c r="AU46" s="54">
        <f t="shared" si="9"/>
        <v>0</v>
      </c>
      <c r="AV46" s="54">
        <f t="shared" si="10"/>
        <v>0</v>
      </c>
      <c r="AW46" s="54" t="e">
        <f t="shared" si="11"/>
        <v>#VALUE!</v>
      </c>
      <c r="AX46" s="54" t="e">
        <f t="shared" si="12"/>
        <v>#VALUE!</v>
      </c>
      <c r="AY46" s="54" t="e">
        <f t="shared" si="13"/>
        <v>#VALUE!</v>
      </c>
      <c r="AZ46" s="45">
        <f t="shared" si="14"/>
        <v>0</v>
      </c>
      <c r="BA46" s="45" t="e">
        <f t="shared" si="15"/>
        <v>#VALUE!</v>
      </c>
      <c r="BB46" s="45" t="e">
        <f t="shared" si="16"/>
        <v>#VALUE!</v>
      </c>
      <c r="BC46" s="45">
        <f t="shared" si="17"/>
        <v>0</v>
      </c>
      <c r="BD46" s="45">
        <f t="shared" si="18"/>
        <v>0</v>
      </c>
    </row>
    <row r="47" spans="1:56" ht="39">
      <c r="A47" s="18" t="s">
        <v>94</v>
      </c>
      <c r="B47" s="19" t="s">
        <v>95</v>
      </c>
      <c r="C47" s="2">
        <v>254563</v>
      </c>
      <c r="D47" s="2">
        <v>324837</v>
      </c>
      <c r="E47" s="2">
        <v>-70274</v>
      </c>
      <c r="F47" s="2">
        <v>274187</v>
      </c>
      <c r="G47" s="2">
        <v>198</v>
      </c>
      <c r="H47" s="2">
        <v>273989</v>
      </c>
      <c r="I47" s="2">
        <v>599024</v>
      </c>
      <c r="J47" s="2">
        <v>-344461</v>
      </c>
      <c r="K47" s="2">
        <v>84026</v>
      </c>
      <c r="L47" s="2">
        <v>-260435</v>
      </c>
      <c r="M47" s="2">
        <v>5219</v>
      </c>
      <c r="N47" s="2">
        <v>141799</v>
      </c>
      <c r="O47" s="2">
        <v>-15</v>
      </c>
      <c r="P47" s="2">
        <v>-123870</v>
      </c>
      <c r="Q47" s="12" t="s">
        <v>33</v>
      </c>
      <c r="R47" s="12" t="s">
        <v>33</v>
      </c>
      <c r="S47" s="2">
        <v>-123870</v>
      </c>
      <c r="U47" s="41">
        <v>254563</v>
      </c>
      <c r="V47" s="42">
        <v>324837</v>
      </c>
      <c r="W47" s="42">
        <v>-70274</v>
      </c>
      <c r="X47" s="42">
        <v>274187</v>
      </c>
      <c r="Y47" s="42">
        <v>198</v>
      </c>
      <c r="Z47" s="42">
        <v>273989</v>
      </c>
      <c r="AA47" s="42">
        <v>599024</v>
      </c>
      <c r="AB47" s="42">
        <v>-344461</v>
      </c>
      <c r="AC47" s="41">
        <v>84026</v>
      </c>
      <c r="AD47" s="42">
        <v>-260435</v>
      </c>
      <c r="AE47" s="42">
        <v>5219</v>
      </c>
      <c r="AF47" s="42">
        <v>141799</v>
      </c>
      <c r="AG47" s="42">
        <v>-15</v>
      </c>
      <c r="AH47" s="39">
        <v>-123870</v>
      </c>
      <c r="AI47" s="43" t="s">
        <v>33</v>
      </c>
      <c r="AJ47" s="43" t="s">
        <v>33</v>
      </c>
      <c r="AK47" s="40">
        <v>-123870</v>
      </c>
      <c r="AM47" s="49">
        <f t="shared" si="1"/>
        <v>0</v>
      </c>
      <c r="AN47" s="49">
        <f t="shared" si="2"/>
        <v>0</v>
      </c>
      <c r="AO47" s="49">
        <f t="shared" si="3"/>
        <v>0</v>
      </c>
      <c r="AP47" s="49">
        <f t="shared" si="4"/>
        <v>0</v>
      </c>
      <c r="AQ47" s="49">
        <f t="shared" si="5"/>
        <v>0</v>
      </c>
      <c r="AR47" s="49">
        <f t="shared" si="6"/>
        <v>0</v>
      </c>
      <c r="AS47" s="49">
        <f t="shared" si="7"/>
        <v>0</v>
      </c>
      <c r="AT47" s="49">
        <f t="shared" si="8"/>
        <v>0</v>
      </c>
      <c r="AU47" s="54">
        <f t="shared" si="9"/>
        <v>0</v>
      </c>
      <c r="AV47" s="54">
        <f t="shared" si="10"/>
        <v>0</v>
      </c>
      <c r="AW47" s="54">
        <f t="shared" si="11"/>
        <v>0</v>
      </c>
      <c r="AX47" s="54">
        <f t="shared" si="12"/>
        <v>0</v>
      </c>
      <c r="AY47" s="54">
        <f t="shared" si="13"/>
        <v>0</v>
      </c>
      <c r="AZ47" s="45">
        <f t="shared" si="14"/>
        <v>0</v>
      </c>
      <c r="BA47" s="45" t="e">
        <f t="shared" si="15"/>
        <v>#VALUE!</v>
      </c>
      <c r="BB47" s="45" t="e">
        <f t="shared" si="16"/>
        <v>#VALUE!</v>
      </c>
      <c r="BC47" s="45">
        <f t="shared" si="17"/>
        <v>0</v>
      </c>
      <c r="BD47" s="45">
        <f t="shared" si="18"/>
        <v>0</v>
      </c>
    </row>
    <row r="48" spans="1:56" ht="64.5">
      <c r="A48" s="18" t="s">
        <v>96</v>
      </c>
      <c r="B48" s="19" t="s">
        <v>97</v>
      </c>
      <c r="C48" s="2">
        <v>213900</v>
      </c>
      <c r="D48" s="2">
        <v>203430</v>
      </c>
      <c r="E48" s="2">
        <v>10470</v>
      </c>
      <c r="F48" s="2">
        <v>93021</v>
      </c>
      <c r="G48" s="2" t="s">
        <v>33</v>
      </c>
      <c r="H48" s="2">
        <v>93021</v>
      </c>
      <c r="I48" s="2">
        <v>296451</v>
      </c>
      <c r="J48" s="2">
        <v>-82551</v>
      </c>
      <c r="K48" s="2">
        <v>-478241</v>
      </c>
      <c r="L48" s="2">
        <v>-560792</v>
      </c>
      <c r="M48" s="2" t="s">
        <v>33</v>
      </c>
      <c r="N48" s="2">
        <v>68433</v>
      </c>
      <c r="O48" s="2">
        <v>20485</v>
      </c>
      <c r="P48" s="2">
        <v>-471874</v>
      </c>
      <c r="Q48" s="12" t="s">
        <v>33</v>
      </c>
      <c r="R48" s="12" t="s">
        <v>33</v>
      </c>
      <c r="S48" s="2">
        <v>-471874</v>
      </c>
      <c r="U48" s="41">
        <v>213900</v>
      </c>
      <c r="V48" s="42">
        <v>203430</v>
      </c>
      <c r="W48" s="42">
        <v>10470</v>
      </c>
      <c r="X48" s="42">
        <v>93021</v>
      </c>
      <c r="Y48" s="42" t="s">
        <v>33</v>
      </c>
      <c r="Z48" s="42">
        <v>93021</v>
      </c>
      <c r="AA48" s="42">
        <v>296451</v>
      </c>
      <c r="AB48" s="42">
        <v>-82551</v>
      </c>
      <c r="AC48" s="41">
        <v>-478241</v>
      </c>
      <c r="AD48" s="42">
        <v>-560792</v>
      </c>
      <c r="AE48" s="42" t="s">
        <v>33</v>
      </c>
      <c r="AF48" s="42">
        <v>68433</v>
      </c>
      <c r="AG48" s="42">
        <v>20485</v>
      </c>
      <c r="AH48" s="41">
        <v>-471874</v>
      </c>
      <c r="AI48" s="44" t="s">
        <v>33</v>
      </c>
      <c r="AJ48" s="44" t="s">
        <v>33</v>
      </c>
      <c r="AK48" s="42">
        <v>-471874</v>
      </c>
      <c r="AM48" s="49">
        <f t="shared" si="1"/>
        <v>0</v>
      </c>
      <c r="AN48" s="49">
        <f t="shared" si="2"/>
        <v>0</v>
      </c>
      <c r="AO48" s="49">
        <f t="shared" si="3"/>
        <v>0</v>
      </c>
      <c r="AP48" s="49">
        <f t="shared" si="4"/>
        <v>0</v>
      </c>
      <c r="AQ48" s="49" t="e">
        <f t="shared" si="5"/>
        <v>#VALUE!</v>
      </c>
      <c r="AR48" s="49">
        <f t="shared" si="6"/>
        <v>0</v>
      </c>
      <c r="AS48" s="49">
        <f t="shared" si="7"/>
        <v>0</v>
      </c>
      <c r="AT48" s="49">
        <f t="shared" si="8"/>
        <v>0</v>
      </c>
      <c r="AU48" s="54">
        <f t="shared" si="9"/>
        <v>0</v>
      </c>
      <c r="AV48" s="54">
        <f t="shared" si="10"/>
        <v>0</v>
      </c>
      <c r="AW48" s="54" t="e">
        <f t="shared" si="11"/>
        <v>#VALUE!</v>
      </c>
      <c r="AX48" s="54">
        <f t="shared" si="12"/>
        <v>0</v>
      </c>
      <c r="AY48" s="54">
        <f t="shared" si="13"/>
        <v>0</v>
      </c>
      <c r="AZ48" s="45">
        <f t="shared" si="14"/>
        <v>0</v>
      </c>
      <c r="BA48" s="45" t="e">
        <f t="shared" si="15"/>
        <v>#VALUE!</v>
      </c>
      <c r="BB48" s="45" t="e">
        <f t="shared" si="16"/>
        <v>#VALUE!</v>
      </c>
      <c r="BC48" s="45">
        <f t="shared" si="17"/>
        <v>0</v>
      </c>
      <c r="BD48" s="45">
        <f t="shared" si="18"/>
        <v>0</v>
      </c>
    </row>
    <row r="49" spans="1:56" ht="39.75" thickBot="1">
      <c r="A49" s="18" t="s">
        <v>98</v>
      </c>
      <c r="B49" s="19" t="s">
        <v>99</v>
      </c>
      <c r="C49" s="2">
        <v>16200</v>
      </c>
      <c r="D49" s="2">
        <v>15931</v>
      </c>
      <c r="E49" s="2">
        <v>269</v>
      </c>
      <c r="F49" s="2" t="s">
        <v>33</v>
      </c>
      <c r="G49" s="2" t="s">
        <v>33</v>
      </c>
      <c r="H49" s="2" t="s">
        <v>33</v>
      </c>
      <c r="I49" s="2">
        <v>15931</v>
      </c>
      <c r="J49" s="2">
        <v>269</v>
      </c>
      <c r="K49" s="2">
        <v>-1387</v>
      </c>
      <c r="L49" s="2">
        <v>-1118</v>
      </c>
      <c r="M49" s="2" t="s">
        <v>33</v>
      </c>
      <c r="N49" s="2">
        <v>-163</v>
      </c>
      <c r="O49" s="2" t="s">
        <v>33</v>
      </c>
      <c r="P49" s="2">
        <v>-1281</v>
      </c>
      <c r="Q49" s="12" t="s">
        <v>33</v>
      </c>
      <c r="R49" s="12" t="s">
        <v>33</v>
      </c>
      <c r="S49" s="2">
        <v>-1281</v>
      </c>
      <c r="U49" s="41">
        <v>16200</v>
      </c>
      <c r="V49" s="42">
        <v>15931</v>
      </c>
      <c r="W49" s="42">
        <v>269</v>
      </c>
      <c r="X49" s="42" t="s">
        <v>33</v>
      </c>
      <c r="Y49" s="42" t="s">
        <v>33</v>
      </c>
      <c r="Z49" s="42" t="s">
        <v>33</v>
      </c>
      <c r="AA49" s="42">
        <v>15931</v>
      </c>
      <c r="AB49" s="42">
        <v>269</v>
      </c>
      <c r="AC49" s="41">
        <v>-1387</v>
      </c>
      <c r="AD49" s="42">
        <v>-1118</v>
      </c>
      <c r="AE49" s="42" t="s">
        <v>33</v>
      </c>
      <c r="AF49" s="42">
        <v>-163</v>
      </c>
      <c r="AG49" s="42" t="s">
        <v>33</v>
      </c>
      <c r="AH49" s="41">
        <v>-1281</v>
      </c>
      <c r="AI49" s="44" t="s">
        <v>33</v>
      </c>
      <c r="AJ49" s="44" t="s">
        <v>33</v>
      </c>
      <c r="AK49" s="42">
        <v>-1281</v>
      </c>
      <c r="AM49" s="49">
        <f t="shared" si="1"/>
        <v>0</v>
      </c>
      <c r="AN49" s="49">
        <f t="shared" si="2"/>
        <v>0</v>
      </c>
      <c r="AO49" s="49">
        <f t="shared" si="3"/>
        <v>0</v>
      </c>
      <c r="AP49" s="49" t="e">
        <f t="shared" si="4"/>
        <v>#VALUE!</v>
      </c>
      <c r="AQ49" s="49" t="e">
        <f t="shared" si="5"/>
        <v>#VALUE!</v>
      </c>
      <c r="AR49" s="49" t="e">
        <f t="shared" si="6"/>
        <v>#VALUE!</v>
      </c>
      <c r="AS49" s="49">
        <f t="shared" si="7"/>
        <v>0</v>
      </c>
      <c r="AT49" s="49">
        <f t="shared" si="8"/>
        <v>0</v>
      </c>
      <c r="AU49" s="54">
        <f t="shared" si="9"/>
        <v>0</v>
      </c>
      <c r="AV49" s="54">
        <f t="shared" si="10"/>
        <v>0</v>
      </c>
      <c r="AW49" s="54" t="e">
        <f t="shared" si="11"/>
        <v>#VALUE!</v>
      </c>
      <c r="AX49" s="54">
        <f t="shared" si="12"/>
        <v>0</v>
      </c>
      <c r="AY49" s="54" t="e">
        <f t="shared" si="13"/>
        <v>#VALUE!</v>
      </c>
      <c r="AZ49" s="45">
        <f t="shared" si="14"/>
        <v>0</v>
      </c>
      <c r="BA49" s="45" t="e">
        <f t="shared" si="15"/>
        <v>#VALUE!</v>
      </c>
      <c r="BB49" s="45" t="e">
        <f t="shared" si="16"/>
        <v>#VALUE!</v>
      </c>
      <c r="BC49" s="45">
        <f t="shared" si="17"/>
        <v>0</v>
      </c>
      <c r="BD49" s="45">
        <f t="shared" si="18"/>
        <v>0</v>
      </c>
    </row>
    <row r="50" spans="1:56" s="24" customFormat="1" ht="64.5">
      <c r="A50" s="20" t="s">
        <v>137</v>
      </c>
      <c r="B50" s="25" t="s">
        <v>100</v>
      </c>
      <c r="C50" s="22">
        <v>1028978</v>
      </c>
      <c r="D50" s="22">
        <v>815818</v>
      </c>
      <c r="E50" s="22">
        <v>213160</v>
      </c>
      <c r="F50" s="22">
        <v>178290</v>
      </c>
      <c r="G50" s="22">
        <v>125590</v>
      </c>
      <c r="H50" s="22">
        <v>52700</v>
      </c>
      <c r="I50" s="22">
        <v>994108</v>
      </c>
      <c r="J50" s="22">
        <v>34870</v>
      </c>
      <c r="K50" s="22">
        <v>-41610</v>
      </c>
      <c r="L50" s="22">
        <v>-6740</v>
      </c>
      <c r="M50" s="22">
        <v>12470</v>
      </c>
      <c r="N50" s="22">
        <v>367628</v>
      </c>
      <c r="O50" s="22">
        <v>-72534</v>
      </c>
      <c r="P50" s="22">
        <v>275884</v>
      </c>
      <c r="Q50" s="23" t="s">
        <v>33</v>
      </c>
      <c r="R50" s="23" t="s">
        <v>33</v>
      </c>
      <c r="S50" s="22">
        <v>275884</v>
      </c>
      <c r="U50" s="39">
        <v>1028978</v>
      </c>
      <c r="V50" s="40">
        <v>815818</v>
      </c>
      <c r="W50" s="40">
        <v>213160</v>
      </c>
      <c r="X50" s="40">
        <v>178290</v>
      </c>
      <c r="Y50" s="40">
        <v>125590</v>
      </c>
      <c r="Z50" s="40">
        <v>52700</v>
      </c>
      <c r="AA50" s="40">
        <v>994108</v>
      </c>
      <c r="AB50" s="40">
        <v>34870</v>
      </c>
      <c r="AC50" s="41">
        <v>-41610</v>
      </c>
      <c r="AD50" s="42">
        <v>-6740</v>
      </c>
      <c r="AE50" s="42">
        <v>12470</v>
      </c>
      <c r="AF50" s="42">
        <v>367628</v>
      </c>
      <c r="AG50" s="42">
        <v>-72534</v>
      </c>
      <c r="AH50" s="41">
        <v>275884</v>
      </c>
      <c r="AI50" s="44" t="s">
        <v>33</v>
      </c>
      <c r="AJ50" s="44" t="s">
        <v>33</v>
      </c>
      <c r="AK50" s="42">
        <v>275884</v>
      </c>
      <c r="AM50" s="49">
        <f t="shared" si="1"/>
        <v>0</v>
      </c>
      <c r="AN50" s="49">
        <f t="shared" si="2"/>
        <v>0</v>
      </c>
      <c r="AO50" s="49">
        <f t="shared" si="3"/>
        <v>0</v>
      </c>
      <c r="AP50" s="49">
        <f t="shared" si="4"/>
        <v>0</v>
      </c>
      <c r="AQ50" s="49">
        <f t="shared" si="5"/>
        <v>0</v>
      </c>
      <c r="AR50" s="49">
        <f t="shared" si="6"/>
        <v>0</v>
      </c>
      <c r="AS50" s="49">
        <f t="shared" si="7"/>
        <v>0</v>
      </c>
      <c r="AT50" s="49">
        <f t="shared" si="8"/>
        <v>0</v>
      </c>
      <c r="AU50" s="54">
        <f t="shared" si="9"/>
        <v>0</v>
      </c>
      <c r="AV50" s="54">
        <f t="shared" si="10"/>
        <v>0</v>
      </c>
      <c r="AW50" s="54">
        <f t="shared" si="11"/>
        <v>0</v>
      </c>
      <c r="AX50" s="54">
        <f t="shared" si="12"/>
        <v>0</v>
      </c>
      <c r="AY50" s="54">
        <f t="shared" si="13"/>
        <v>0</v>
      </c>
      <c r="AZ50" s="45">
        <f t="shared" si="14"/>
        <v>0</v>
      </c>
      <c r="BA50" s="45" t="e">
        <f t="shared" si="15"/>
        <v>#VALUE!</v>
      </c>
      <c r="BB50" s="45" t="e">
        <f t="shared" si="16"/>
        <v>#VALUE!</v>
      </c>
      <c r="BC50" s="45">
        <f t="shared" si="17"/>
        <v>0</v>
      </c>
      <c r="BD50" s="45">
        <f t="shared" si="18"/>
        <v>0</v>
      </c>
    </row>
    <row r="51" spans="1:56" ht="15.75">
      <c r="A51" s="18" t="s">
        <v>101</v>
      </c>
      <c r="B51" s="19" t="s">
        <v>102</v>
      </c>
      <c r="C51" s="2">
        <v>248329</v>
      </c>
      <c r="D51" s="2">
        <v>101120</v>
      </c>
      <c r="E51" s="2">
        <v>147209</v>
      </c>
      <c r="F51" s="2">
        <v>175284</v>
      </c>
      <c r="G51" s="2">
        <v>125590</v>
      </c>
      <c r="H51" s="2">
        <v>49694</v>
      </c>
      <c r="I51" s="2">
        <v>276404</v>
      </c>
      <c r="J51" s="2">
        <v>-28075</v>
      </c>
      <c r="K51" s="2">
        <v>-22990</v>
      </c>
      <c r="L51" s="2">
        <v>-51065</v>
      </c>
      <c r="M51" s="2">
        <v>1525</v>
      </c>
      <c r="N51" s="2">
        <v>361830</v>
      </c>
      <c r="O51" s="2" t="s">
        <v>33</v>
      </c>
      <c r="P51" s="2">
        <v>309240</v>
      </c>
      <c r="Q51" s="12" t="s">
        <v>33</v>
      </c>
      <c r="R51" s="12" t="s">
        <v>33</v>
      </c>
      <c r="S51" s="2">
        <v>309240</v>
      </c>
      <c r="U51" s="41">
        <v>248329</v>
      </c>
      <c r="V51" s="42">
        <v>101120</v>
      </c>
      <c r="W51" s="42">
        <v>147209</v>
      </c>
      <c r="X51" s="42">
        <v>175284</v>
      </c>
      <c r="Y51" s="42">
        <v>125590</v>
      </c>
      <c r="Z51" s="42">
        <v>49694</v>
      </c>
      <c r="AA51" s="42">
        <v>276404</v>
      </c>
      <c r="AB51" s="42">
        <v>-28075</v>
      </c>
      <c r="AC51" s="41">
        <v>-22990</v>
      </c>
      <c r="AD51" s="42">
        <v>-51065</v>
      </c>
      <c r="AE51" s="42">
        <v>1525</v>
      </c>
      <c r="AF51" s="42">
        <v>361830</v>
      </c>
      <c r="AG51" s="42" t="s">
        <v>33</v>
      </c>
      <c r="AH51" s="41">
        <v>309240</v>
      </c>
      <c r="AI51" s="44" t="s">
        <v>33</v>
      </c>
      <c r="AJ51" s="44" t="s">
        <v>33</v>
      </c>
      <c r="AK51" s="42">
        <v>309240</v>
      </c>
      <c r="AM51" s="49">
        <f t="shared" si="1"/>
        <v>0</v>
      </c>
      <c r="AN51" s="49">
        <f t="shared" si="2"/>
        <v>0</v>
      </c>
      <c r="AO51" s="49">
        <f t="shared" si="3"/>
        <v>0</v>
      </c>
      <c r="AP51" s="49">
        <f t="shared" si="4"/>
        <v>0</v>
      </c>
      <c r="AQ51" s="49">
        <f t="shared" si="5"/>
        <v>0</v>
      </c>
      <c r="AR51" s="49">
        <f t="shared" si="6"/>
        <v>0</v>
      </c>
      <c r="AS51" s="49">
        <f t="shared" si="7"/>
        <v>0</v>
      </c>
      <c r="AT51" s="49">
        <f t="shared" si="8"/>
        <v>0</v>
      </c>
      <c r="AU51" s="54">
        <f t="shared" si="9"/>
        <v>0</v>
      </c>
      <c r="AV51" s="54">
        <f t="shared" si="10"/>
        <v>0</v>
      </c>
      <c r="AW51" s="54">
        <f t="shared" si="11"/>
        <v>0</v>
      </c>
      <c r="AX51" s="54">
        <f t="shared" si="12"/>
        <v>0</v>
      </c>
      <c r="AY51" s="54" t="e">
        <f t="shared" si="13"/>
        <v>#VALUE!</v>
      </c>
      <c r="AZ51" s="45">
        <f t="shared" si="14"/>
        <v>0</v>
      </c>
      <c r="BA51" s="45" t="e">
        <f t="shared" si="15"/>
        <v>#VALUE!</v>
      </c>
      <c r="BB51" s="45" t="e">
        <f t="shared" si="16"/>
        <v>#VALUE!</v>
      </c>
      <c r="BC51" s="45">
        <f t="shared" si="17"/>
        <v>0</v>
      </c>
      <c r="BD51" s="45">
        <f t="shared" si="18"/>
        <v>0</v>
      </c>
    </row>
    <row r="52" spans="1:56" ht="51.75">
      <c r="A52" s="18" t="s">
        <v>103</v>
      </c>
      <c r="B52" s="19" t="s">
        <v>104</v>
      </c>
      <c r="C52" s="2">
        <v>2603</v>
      </c>
      <c r="D52" s="2">
        <v>43946</v>
      </c>
      <c r="E52" s="2">
        <v>-41343</v>
      </c>
      <c r="F52" s="2">
        <v>3006</v>
      </c>
      <c r="G52" s="2" t="s">
        <v>33</v>
      </c>
      <c r="H52" s="2">
        <v>3006</v>
      </c>
      <c r="I52" s="2">
        <v>46952</v>
      </c>
      <c r="J52" s="2">
        <v>-44349</v>
      </c>
      <c r="K52" s="2">
        <v>-19947</v>
      </c>
      <c r="L52" s="2">
        <v>-64296</v>
      </c>
      <c r="M52" s="2" t="s">
        <v>33</v>
      </c>
      <c r="N52" s="2">
        <v>15245</v>
      </c>
      <c r="O52" s="2" t="s">
        <v>33</v>
      </c>
      <c r="P52" s="2">
        <v>-49051</v>
      </c>
      <c r="Q52" s="12" t="s">
        <v>33</v>
      </c>
      <c r="R52" s="12" t="s">
        <v>33</v>
      </c>
      <c r="S52" s="2">
        <v>-49051</v>
      </c>
      <c r="U52" s="41">
        <v>2603</v>
      </c>
      <c r="V52" s="42">
        <v>43946</v>
      </c>
      <c r="W52" s="42">
        <v>-41343</v>
      </c>
      <c r="X52" s="42">
        <v>3006</v>
      </c>
      <c r="Y52" s="42" t="s">
        <v>33</v>
      </c>
      <c r="Z52" s="42">
        <v>3006</v>
      </c>
      <c r="AA52" s="42">
        <v>46952</v>
      </c>
      <c r="AB52" s="42">
        <v>-44349</v>
      </c>
      <c r="AC52" s="41">
        <v>-19947</v>
      </c>
      <c r="AD52" s="42">
        <v>-64296</v>
      </c>
      <c r="AE52" s="42" t="s">
        <v>33</v>
      </c>
      <c r="AF52" s="42">
        <v>15245</v>
      </c>
      <c r="AG52" s="42" t="s">
        <v>33</v>
      </c>
      <c r="AH52" s="41">
        <v>-49051</v>
      </c>
      <c r="AI52" s="44" t="s">
        <v>33</v>
      </c>
      <c r="AJ52" s="44" t="s">
        <v>33</v>
      </c>
      <c r="AK52" s="42">
        <v>-49051</v>
      </c>
      <c r="AM52" s="49">
        <f t="shared" si="1"/>
        <v>0</v>
      </c>
      <c r="AN52" s="49">
        <f t="shared" si="2"/>
        <v>0</v>
      </c>
      <c r="AO52" s="49">
        <f t="shared" si="3"/>
        <v>0</v>
      </c>
      <c r="AP52" s="49">
        <f t="shared" si="4"/>
        <v>0</v>
      </c>
      <c r="AQ52" s="49" t="e">
        <f t="shared" si="5"/>
        <v>#VALUE!</v>
      </c>
      <c r="AR52" s="49">
        <f t="shared" si="6"/>
        <v>0</v>
      </c>
      <c r="AS52" s="49">
        <f t="shared" si="7"/>
        <v>0</v>
      </c>
      <c r="AT52" s="49">
        <f t="shared" si="8"/>
        <v>0</v>
      </c>
      <c r="AU52" s="54">
        <f t="shared" si="9"/>
        <v>0</v>
      </c>
      <c r="AV52" s="54">
        <f t="shared" si="10"/>
        <v>0</v>
      </c>
      <c r="AW52" s="54" t="e">
        <f t="shared" si="11"/>
        <v>#VALUE!</v>
      </c>
      <c r="AX52" s="54">
        <f t="shared" si="12"/>
        <v>0</v>
      </c>
      <c r="AY52" s="54" t="e">
        <f t="shared" si="13"/>
        <v>#VALUE!</v>
      </c>
      <c r="AZ52" s="45">
        <f t="shared" si="14"/>
        <v>0</v>
      </c>
      <c r="BA52" s="45" t="e">
        <f t="shared" si="15"/>
        <v>#VALUE!</v>
      </c>
      <c r="BB52" s="45" t="e">
        <f t="shared" si="16"/>
        <v>#VALUE!</v>
      </c>
      <c r="BC52" s="45">
        <f t="shared" si="17"/>
        <v>0</v>
      </c>
      <c r="BD52" s="45">
        <f t="shared" si="18"/>
        <v>0</v>
      </c>
    </row>
    <row r="53" spans="1:56" ht="27" thickBot="1">
      <c r="A53" s="18" t="s">
        <v>105</v>
      </c>
      <c r="B53" s="19" t="s">
        <v>106</v>
      </c>
      <c r="C53" s="2">
        <v>765591</v>
      </c>
      <c r="D53" s="2">
        <v>659246</v>
      </c>
      <c r="E53" s="2">
        <v>106345</v>
      </c>
      <c r="F53" s="2" t="s">
        <v>33</v>
      </c>
      <c r="G53" s="2" t="s">
        <v>33</v>
      </c>
      <c r="H53" s="2" t="s">
        <v>33</v>
      </c>
      <c r="I53" s="2">
        <v>659246</v>
      </c>
      <c r="J53" s="2">
        <v>106345</v>
      </c>
      <c r="K53" s="2">
        <v>1524</v>
      </c>
      <c r="L53" s="2">
        <v>107869</v>
      </c>
      <c r="M53" s="2">
        <v>10819</v>
      </c>
      <c r="N53" s="2">
        <v>-9447</v>
      </c>
      <c r="O53" s="2">
        <v>-72534</v>
      </c>
      <c r="P53" s="2">
        <v>15069</v>
      </c>
      <c r="Q53" s="12" t="s">
        <v>33</v>
      </c>
      <c r="R53" s="12" t="s">
        <v>33</v>
      </c>
      <c r="S53" s="2">
        <v>15069</v>
      </c>
      <c r="U53" s="41">
        <v>765591</v>
      </c>
      <c r="V53" s="42">
        <v>659246</v>
      </c>
      <c r="W53" s="42">
        <v>106345</v>
      </c>
      <c r="X53" s="42" t="s">
        <v>33</v>
      </c>
      <c r="Y53" s="42" t="s">
        <v>33</v>
      </c>
      <c r="Z53" s="42" t="s">
        <v>33</v>
      </c>
      <c r="AA53" s="42">
        <v>659246</v>
      </c>
      <c r="AB53" s="42">
        <v>106345</v>
      </c>
      <c r="AC53" s="41">
        <v>1524</v>
      </c>
      <c r="AD53" s="42">
        <v>107869</v>
      </c>
      <c r="AE53" s="42">
        <v>10819</v>
      </c>
      <c r="AF53" s="42">
        <v>-9447</v>
      </c>
      <c r="AG53" s="42">
        <v>-72534</v>
      </c>
      <c r="AH53" s="41">
        <v>15069</v>
      </c>
      <c r="AI53" s="44" t="s">
        <v>33</v>
      </c>
      <c r="AJ53" s="44" t="s">
        <v>33</v>
      </c>
      <c r="AK53" s="42">
        <v>15069</v>
      </c>
      <c r="AM53" s="49">
        <f t="shared" si="1"/>
        <v>0</v>
      </c>
      <c r="AN53" s="49">
        <f t="shared" si="2"/>
        <v>0</v>
      </c>
      <c r="AO53" s="49">
        <f t="shared" si="3"/>
        <v>0</v>
      </c>
      <c r="AP53" s="49" t="e">
        <f t="shared" si="4"/>
        <v>#VALUE!</v>
      </c>
      <c r="AQ53" s="49" t="e">
        <f t="shared" si="5"/>
        <v>#VALUE!</v>
      </c>
      <c r="AR53" s="49" t="e">
        <f t="shared" si="6"/>
        <v>#VALUE!</v>
      </c>
      <c r="AS53" s="49">
        <f t="shared" si="7"/>
        <v>0</v>
      </c>
      <c r="AT53" s="49">
        <f t="shared" si="8"/>
        <v>0</v>
      </c>
      <c r="AU53" s="54">
        <f t="shared" si="9"/>
        <v>0</v>
      </c>
      <c r="AV53" s="54">
        <f t="shared" si="10"/>
        <v>0</v>
      </c>
      <c r="AW53" s="54">
        <f t="shared" si="11"/>
        <v>0</v>
      </c>
      <c r="AX53" s="54">
        <f t="shared" si="12"/>
        <v>0</v>
      </c>
      <c r="AY53" s="54">
        <f t="shared" si="13"/>
        <v>0</v>
      </c>
      <c r="AZ53" s="45">
        <f t="shared" si="14"/>
        <v>0</v>
      </c>
      <c r="BA53" s="45" t="e">
        <f t="shared" si="15"/>
        <v>#VALUE!</v>
      </c>
      <c r="BB53" s="45" t="e">
        <f t="shared" si="16"/>
        <v>#VALUE!</v>
      </c>
      <c r="BC53" s="45">
        <f t="shared" si="17"/>
        <v>0</v>
      </c>
      <c r="BD53" s="45">
        <f t="shared" si="18"/>
        <v>0</v>
      </c>
    </row>
    <row r="54" spans="1:56" ht="103.5" thickBot="1">
      <c r="A54" s="18" t="s">
        <v>107</v>
      </c>
      <c r="B54" s="19" t="s">
        <v>108</v>
      </c>
      <c r="C54" s="2">
        <v>12455</v>
      </c>
      <c r="D54" s="2">
        <v>11506</v>
      </c>
      <c r="E54" s="2">
        <v>949</v>
      </c>
      <c r="F54" s="2" t="s">
        <v>33</v>
      </c>
      <c r="G54" s="2" t="s">
        <v>33</v>
      </c>
      <c r="H54" s="2" t="s">
        <v>33</v>
      </c>
      <c r="I54" s="2">
        <v>11506</v>
      </c>
      <c r="J54" s="2">
        <v>949</v>
      </c>
      <c r="K54" s="2">
        <v>-197</v>
      </c>
      <c r="L54" s="2">
        <v>752</v>
      </c>
      <c r="M54" s="2">
        <v>126</v>
      </c>
      <c r="N54" s="2" t="s">
        <v>33</v>
      </c>
      <c r="O54" s="2" t="s">
        <v>33</v>
      </c>
      <c r="P54" s="2">
        <v>626</v>
      </c>
      <c r="Q54" s="12" t="s">
        <v>33</v>
      </c>
      <c r="R54" s="12" t="s">
        <v>33</v>
      </c>
      <c r="S54" s="2">
        <v>626</v>
      </c>
      <c r="U54" s="41">
        <v>12455</v>
      </c>
      <c r="V54" s="42">
        <v>11506</v>
      </c>
      <c r="W54" s="42">
        <v>949</v>
      </c>
      <c r="X54" s="42" t="s">
        <v>33</v>
      </c>
      <c r="Y54" s="42" t="s">
        <v>33</v>
      </c>
      <c r="Z54" s="42" t="s">
        <v>33</v>
      </c>
      <c r="AA54" s="42">
        <v>11506</v>
      </c>
      <c r="AB54" s="42">
        <v>949</v>
      </c>
      <c r="AC54" s="39">
        <v>-197</v>
      </c>
      <c r="AD54" s="40">
        <v>752</v>
      </c>
      <c r="AE54" s="40">
        <v>126</v>
      </c>
      <c r="AF54" s="40" t="s">
        <v>33</v>
      </c>
      <c r="AG54" s="40" t="s">
        <v>33</v>
      </c>
      <c r="AH54" s="41">
        <v>626</v>
      </c>
      <c r="AI54" s="44" t="s">
        <v>33</v>
      </c>
      <c r="AJ54" s="44" t="s">
        <v>33</v>
      </c>
      <c r="AK54" s="42">
        <v>626</v>
      </c>
      <c r="AM54" s="49">
        <f t="shared" si="1"/>
        <v>0</v>
      </c>
      <c r="AN54" s="49">
        <f t="shared" si="2"/>
        <v>0</v>
      </c>
      <c r="AO54" s="49">
        <f t="shared" si="3"/>
        <v>0</v>
      </c>
      <c r="AP54" s="49" t="e">
        <f t="shared" si="4"/>
        <v>#VALUE!</v>
      </c>
      <c r="AQ54" s="49" t="e">
        <f t="shared" si="5"/>
        <v>#VALUE!</v>
      </c>
      <c r="AR54" s="49" t="e">
        <f t="shared" si="6"/>
        <v>#VALUE!</v>
      </c>
      <c r="AS54" s="49">
        <f t="shared" si="7"/>
        <v>0</v>
      </c>
      <c r="AT54" s="49">
        <f t="shared" si="8"/>
        <v>0</v>
      </c>
      <c r="AU54" s="54">
        <f t="shared" si="9"/>
        <v>0</v>
      </c>
      <c r="AV54" s="54">
        <f t="shared" si="10"/>
        <v>0</v>
      </c>
      <c r="AW54" s="54">
        <f t="shared" si="11"/>
        <v>0</v>
      </c>
      <c r="AX54" s="54" t="e">
        <f t="shared" si="12"/>
        <v>#VALUE!</v>
      </c>
      <c r="AY54" s="54" t="e">
        <f t="shared" si="13"/>
        <v>#VALUE!</v>
      </c>
      <c r="AZ54" s="45">
        <f t="shared" si="14"/>
        <v>0</v>
      </c>
      <c r="BA54" s="45" t="e">
        <f t="shared" si="15"/>
        <v>#VALUE!</v>
      </c>
      <c r="BB54" s="45" t="e">
        <f t="shared" si="16"/>
        <v>#VALUE!</v>
      </c>
      <c r="BC54" s="45">
        <f t="shared" si="17"/>
        <v>0</v>
      </c>
      <c r="BD54" s="45">
        <f t="shared" si="18"/>
        <v>0</v>
      </c>
    </row>
    <row r="55" spans="1:56" s="24" customFormat="1" ht="78" thickBot="1">
      <c r="A55" s="20" t="s">
        <v>138</v>
      </c>
      <c r="B55" s="25" t="s">
        <v>109</v>
      </c>
      <c r="C55" s="22">
        <v>4525</v>
      </c>
      <c r="D55" s="22">
        <v>5536</v>
      </c>
      <c r="E55" s="22">
        <v>-1011</v>
      </c>
      <c r="F55" s="22" t="s">
        <v>33</v>
      </c>
      <c r="G55" s="22" t="s">
        <v>33</v>
      </c>
      <c r="H55" s="22" t="s">
        <v>33</v>
      </c>
      <c r="I55" s="22">
        <v>5536</v>
      </c>
      <c r="J55" s="22">
        <v>-1011</v>
      </c>
      <c r="K55" s="22">
        <v>8277</v>
      </c>
      <c r="L55" s="22">
        <v>7266</v>
      </c>
      <c r="M55" s="22">
        <v>551</v>
      </c>
      <c r="N55" s="22" t="s">
        <v>33</v>
      </c>
      <c r="O55" s="22" t="s">
        <v>33</v>
      </c>
      <c r="P55" s="22">
        <v>671.5</v>
      </c>
      <c r="Q55" s="23" t="s">
        <v>33</v>
      </c>
      <c r="R55" s="23" t="s">
        <v>33</v>
      </c>
      <c r="S55" s="22">
        <v>6715</v>
      </c>
      <c r="U55" s="41">
        <v>4525</v>
      </c>
      <c r="V55" s="42">
        <v>5536</v>
      </c>
      <c r="W55" s="42">
        <v>-1011</v>
      </c>
      <c r="X55" s="42" t="s">
        <v>33</v>
      </c>
      <c r="Y55" s="42" t="s">
        <v>33</v>
      </c>
      <c r="Z55" s="42" t="s">
        <v>33</v>
      </c>
      <c r="AA55" s="42">
        <v>5536</v>
      </c>
      <c r="AB55" s="42">
        <v>-1011</v>
      </c>
      <c r="AC55" s="41">
        <v>8277</v>
      </c>
      <c r="AD55" s="42">
        <v>7266</v>
      </c>
      <c r="AE55" s="42">
        <v>551</v>
      </c>
      <c r="AF55" s="42" t="s">
        <v>33</v>
      </c>
      <c r="AG55" s="42" t="s">
        <v>33</v>
      </c>
      <c r="AH55" s="39">
        <v>6715</v>
      </c>
      <c r="AI55" s="43" t="s">
        <v>33</v>
      </c>
      <c r="AJ55" s="43" t="s">
        <v>33</v>
      </c>
      <c r="AK55" s="40">
        <v>6715</v>
      </c>
      <c r="AM55" s="49">
        <f t="shared" si="1"/>
        <v>0</v>
      </c>
      <c r="AN55" s="49">
        <f t="shared" si="2"/>
        <v>0</v>
      </c>
      <c r="AO55" s="49">
        <f t="shared" si="3"/>
        <v>0</v>
      </c>
      <c r="AP55" s="49" t="e">
        <f t="shared" si="4"/>
        <v>#VALUE!</v>
      </c>
      <c r="AQ55" s="49" t="e">
        <f t="shared" si="5"/>
        <v>#VALUE!</v>
      </c>
      <c r="AR55" s="49" t="e">
        <f t="shared" si="6"/>
        <v>#VALUE!</v>
      </c>
      <c r="AS55" s="49">
        <f t="shared" si="7"/>
        <v>0</v>
      </c>
      <c r="AT55" s="49">
        <f t="shared" si="8"/>
        <v>0</v>
      </c>
      <c r="AU55" s="54">
        <f t="shared" si="9"/>
        <v>0</v>
      </c>
      <c r="AV55" s="54">
        <f t="shared" si="10"/>
        <v>0</v>
      </c>
      <c r="AW55" s="54">
        <f t="shared" si="11"/>
        <v>0</v>
      </c>
      <c r="AX55" s="54" t="e">
        <f t="shared" si="12"/>
        <v>#VALUE!</v>
      </c>
      <c r="AY55" s="54" t="e">
        <f t="shared" si="13"/>
        <v>#VALUE!</v>
      </c>
      <c r="AZ55" s="45">
        <f t="shared" si="14"/>
        <v>-6043.5</v>
      </c>
      <c r="BA55" s="45" t="e">
        <f t="shared" si="15"/>
        <v>#VALUE!</v>
      </c>
      <c r="BB55" s="45" t="e">
        <f t="shared" si="16"/>
        <v>#VALUE!</v>
      </c>
      <c r="BC55" s="45">
        <f t="shared" si="17"/>
        <v>0</v>
      </c>
      <c r="BD55" s="45">
        <f t="shared" si="18"/>
        <v>0</v>
      </c>
    </row>
    <row r="56" spans="1:56" ht="64.5">
      <c r="A56" s="18" t="s">
        <v>110</v>
      </c>
      <c r="B56" s="19" t="s">
        <v>111</v>
      </c>
      <c r="C56" s="2">
        <v>4525</v>
      </c>
      <c r="D56" s="2">
        <v>5536</v>
      </c>
      <c r="E56" s="2">
        <v>-1011</v>
      </c>
      <c r="F56" s="2" t="s">
        <v>33</v>
      </c>
      <c r="G56" s="2" t="s">
        <v>33</v>
      </c>
      <c r="H56" s="2" t="s">
        <v>33</v>
      </c>
      <c r="I56" s="2">
        <v>5536</v>
      </c>
      <c r="J56" s="2">
        <v>-1011</v>
      </c>
      <c r="K56" s="2">
        <v>8277</v>
      </c>
      <c r="L56" s="2">
        <v>7266</v>
      </c>
      <c r="M56" s="2">
        <v>551</v>
      </c>
      <c r="N56" s="2" t="s">
        <v>33</v>
      </c>
      <c r="O56" s="2" t="s">
        <v>33</v>
      </c>
      <c r="P56" s="2">
        <v>6715</v>
      </c>
      <c r="Q56" s="12" t="s">
        <v>33</v>
      </c>
      <c r="R56" s="12" t="s">
        <v>33</v>
      </c>
      <c r="S56" s="2">
        <v>6715</v>
      </c>
      <c r="U56" s="39">
        <v>4525</v>
      </c>
      <c r="V56" s="40">
        <v>5536</v>
      </c>
      <c r="W56" s="40">
        <v>-1011</v>
      </c>
      <c r="X56" s="40" t="s">
        <v>33</v>
      </c>
      <c r="Y56" s="40" t="s">
        <v>33</v>
      </c>
      <c r="Z56" s="40" t="s">
        <v>33</v>
      </c>
      <c r="AA56" s="40">
        <v>5536</v>
      </c>
      <c r="AB56" s="40">
        <v>-1011</v>
      </c>
      <c r="AC56" s="41">
        <v>8277</v>
      </c>
      <c r="AD56" s="42">
        <v>7266</v>
      </c>
      <c r="AE56" s="42">
        <v>551</v>
      </c>
      <c r="AF56" s="42" t="s">
        <v>33</v>
      </c>
      <c r="AG56" s="42" t="s">
        <v>33</v>
      </c>
      <c r="AH56" s="41">
        <v>6715</v>
      </c>
      <c r="AI56" s="44" t="s">
        <v>33</v>
      </c>
      <c r="AJ56" s="44" t="s">
        <v>33</v>
      </c>
      <c r="AK56" s="42">
        <v>6715</v>
      </c>
      <c r="AM56" s="49">
        <f t="shared" si="1"/>
        <v>0</v>
      </c>
      <c r="AN56" s="49">
        <f t="shared" si="2"/>
        <v>0</v>
      </c>
      <c r="AO56" s="49">
        <f t="shared" si="3"/>
        <v>0</v>
      </c>
      <c r="AP56" s="49" t="e">
        <f t="shared" si="4"/>
        <v>#VALUE!</v>
      </c>
      <c r="AQ56" s="49" t="e">
        <f t="shared" si="5"/>
        <v>#VALUE!</v>
      </c>
      <c r="AR56" s="49" t="e">
        <f t="shared" si="6"/>
        <v>#VALUE!</v>
      </c>
      <c r="AS56" s="49">
        <f t="shared" si="7"/>
        <v>0</v>
      </c>
      <c r="AT56" s="49">
        <f t="shared" si="8"/>
        <v>0</v>
      </c>
      <c r="AU56" s="54">
        <f t="shared" si="9"/>
        <v>0</v>
      </c>
      <c r="AV56" s="54">
        <f t="shared" si="10"/>
        <v>0</v>
      </c>
      <c r="AW56" s="54">
        <f t="shared" si="11"/>
        <v>0</v>
      </c>
      <c r="AX56" s="54" t="e">
        <f t="shared" si="12"/>
        <v>#VALUE!</v>
      </c>
      <c r="AY56" s="54" t="e">
        <f t="shared" si="13"/>
        <v>#VALUE!</v>
      </c>
      <c r="AZ56" s="45">
        <f t="shared" si="14"/>
        <v>0</v>
      </c>
      <c r="BA56" s="45" t="e">
        <f t="shared" si="15"/>
        <v>#VALUE!</v>
      </c>
      <c r="BB56" s="45" t="e">
        <f t="shared" si="16"/>
        <v>#VALUE!</v>
      </c>
      <c r="BC56" s="45">
        <f t="shared" si="17"/>
        <v>0</v>
      </c>
      <c r="BD56" s="45">
        <f t="shared" si="18"/>
        <v>0</v>
      </c>
    </row>
    <row r="57" spans="1:56" s="24" customFormat="1" ht="15.75">
      <c r="A57" s="20" t="s">
        <v>139</v>
      </c>
      <c r="B57" s="25" t="s">
        <v>112</v>
      </c>
      <c r="C57" s="22">
        <v>6437</v>
      </c>
      <c r="D57" s="22">
        <v>5861</v>
      </c>
      <c r="E57" s="22">
        <v>576</v>
      </c>
      <c r="F57" s="22" t="s">
        <v>33</v>
      </c>
      <c r="G57" s="22" t="s">
        <v>33</v>
      </c>
      <c r="H57" s="22" t="s">
        <v>33</v>
      </c>
      <c r="I57" s="22">
        <v>5861</v>
      </c>
      <c r="J57" s="22">
        <v>576</v>
      </c>
      <c r="K57" s="22">
        <v>-100</v>
      </c>
      <c r="L57" s="22">
        <v>476</v>
      </c>
      <c r="M57" s="22" t="s">
        <v>33</v>
      </c>
      <c r="N57" s="22">
        <v>-193</v>
      </c>
      <c r="O57" s="22" t="s">
        <v>33</v>
      </c>
      <c r="P57" s="22">
        <v>283</v>
      </c>
      <c r="Q57" s="23" t="s">
        <v>33</v>
      </c>
      <c r="R57" s="23" t="s">
        <v>33</v>
      </c>
      <c r="S57" s="22">
        <v>283</v>
      </c>
      <c r="U57" s="41">
        <v>6437</v>
      </c>
      <c r="V57" s="42">
        <v>5861</v>
      </c>
      <c r="W57" s="42">
        <v>576</v>
      </c>
      <c r="X57" s="42" t="s">
        <v>33</v>
      </c>
      <c r="Y57" s="42" t="s">
        <v>33</v>
      </c>
      <c r="Z57" s="42" t="s">
        <v>33</v>
      </c>
      <c r="AA57" s="42">
        <v>5861</v>
      </c>
      <c r="AB57" s="42">
        <v>576</v>
      </c>
      <c r="AC57" s="41">
        <v>-100</v>
      </c>
      <c r="AD57" s="42">
        <v>476</v>
      </c>
      <c r="AE57" s="42" t="s">
        <v>33</v>
      </c>
      <c r="AF57" s="42">
        <v>-193</v>
      </c>
      <c r="AG57" s="42" t="s">
        <v>33</v>
      </c>
      <c r="AH57" s="41">
        <v>283</v>
      </c>
      <c r="AI57" s="44" t="s">
        <v>33</v>
      </c>
      <c r="AJ57" s="44" t="s">
        <v>33</v>
      </c>
      <c r="AK57" s="42">
        <v>283</v>
      </c>
      <c r="AM57" s="49">
        <f t="shared" si="1"/>
        <v>0</v>
      </c>
      <c r="AN57" s="49">
        <f t="shared" si="2"/>
        <v>0</v>
      </c>
      <c r="AO57" s="49">
        <f t="shared" si="3"/>
        <v>0</v>
      </c>
      <c r="AP57" s="49" t="e">
        <f t="shared" si="4"/>
        <v>#VALUE!</v>
      </c>
      <c r="AQ57" s="49" t="e">
        <f t="shared" si="5"/>
        <v>#VALUE!</v>
      </c>
      <c r="AR57" s="49" t="e">
        <f t="shared" si="6"/>
        <v>#VALUE!</v>
      </c>
      <c r="AS57" s="49">
        <f t="shared" si="7"/>
        <v>0</v>
      </c>
      <c r="AT57" s="49">
        <f t="shared" si="8"/>
        <v>0</v>
      </c>
      <c r="AU57" s="54">
        <f t="shared" si="9"/>
        <v>0</v>
      </c>
      <c r="AV57" s="54">
        <f t="shared" si="10"/>
        <v>0</v>
      </c>
      <c r="AW57" s="54" t="e">
        <f t="shared" si="11"/>
        <v>#VALUE!</v>
      </c>
      <c r="AX57" s="54">
        <f t="shared" si="12"/>
        <v>0</v>
      </c>
      <c r="AY57" s="54" t="e">
        <f t="shared" si="13"/>
        <v>#VALUE!</v>
      </c>
      <c r="AZ57" s="45">
        <f t="shared" si="14"/>
        <v>0</v>
      </c>
      <c r="BA57" s="45" t="e">
        <f t="shared" si="15"/>
        <v>#VALUE!</v>
      </c>
      <c r="BB57" s="45" t="e">
        <f t="shared" si="16"/>
        <v>#VALUE!</v>
      </c>
      <c r="BC57" s="45">
        <f t="shared" si="17"/>
        <v>0</v>
      </c>
      <c r="BD57" s="45">
        <f t="shared" si="18"/>
        <v>0</v>
      </c>
    </row>
    <row r="58" spans="1:56" ht="15.75">
      <c r="A58" s="18" t="s">
        <v>113</v>
      </c>
      <c r="B58" s="19" t="s">
        <v>114</v>
      </c>
      <c r="C58" s="2">
        <v>6437</v>
      </c>
      <c r="D58" s="2">
        <v>5861</v>
      </c>
      <c r="E58" s="2">
        <v>576</v>
      </c>
      <c r="F58" s="2" t="s">
        <v>33</v>
      </c>
      <c r="G58" s="2" t="s">
        <v>33</v>
      </c>
      <c r="H58" s="2" t="s">
        <v>33</v>
      </c>
      <c r="I58" s="2">
        <v>5861</v>
      </c>
      <c r="J58" s="2">
        <v>576</v>
      </c>
      <c r="K58" s="2">
        <v>-100</v>
      </c>
      <c r="L58" s="2">
        <v>476</v>
      </c>
      <c r="M58" s="2" t="s">
        <v>33</v>
      </c>
      <c r="N58" s="2">
        <v>-193</v>
      </c>
      <c r="O58" s="2" t="s">
        <v>33</v>
      </c>
      <c r="P58" s="2">
        <v>283</v>
      </c>
      <c r="Q58" s="12" t="s">
        <v>33</v>
      </c>
      <c r="R58" s="12" t="s">
        <v>33</v>
      </c>
      <c r="S58" s="2">
        <v>283</v>
      </c>
      <c r="U58" s="41">
        <v>6437</v>
      </c>
      <c r="V58" s="42">
        <v>5861</v>
      </c>
      <c r="W58" s="42">
        <v>576</v>
      </c>
      <c r="X58" s="42" t="s">
        <v>33</v>
      </c>
      <c r="Y58" s="42" t="s">
        <v>33</v>
      </c>
      <c r="Z58" s="42" t="s">
        <v>33</v>
      </c>
      <c r="AA58" s="42">
        <v>5861</v>
      </c>
      <c r="AB58" s="42">
        <v>576</v>
      </c>
      <c r="AC58" s="41">
        <v>-100</v>
      </c>
      <c r="AD58" s="42">
        <v>476</v>
      </c>
      <c r="AE58" s="42" t="s">
        <v>33</v>
      </c>
      <c r="AF58" s="42">
        <v>-193</v>
      </c>
      <c r="AG58" s="42" t="s">
        <v>33</v>
      </c>
      <c r="AH58" s="41">
        <v>283</v>
      </c>
      <c r="AI58" s="44" t="s">
        <v>33</v>
      </c>
      <c r="AJ58" s="44" t="s">
        <v>33</v>
      </c>
      <c r="AK58" s="42">
        <v>283</v>
      </c>
      <c r="AM58" s="49">
        <f t="shared" si="1"/>
        <v>0</v>
      </c>
      <c r="AN58" s="49">
        <f t="shared" si="2"/>
        <v>0</v>
      </c>
      <c r="AO58" s="49">
        <f t="shared" si="3"/>
        <v>0</v>
      </c>
      <c r="AP58" s="49" t="e">
        <f t="shared" si="4"/>
        <v>#VALUE!</v>
      </c>
      <c r="AQ58" s="49" t="e">
        <f t="shared" si="5"/>
        <v>#VALUE!</v>
      </c>
      <c r="AR58" s="49" t="e">
        <f t="shared" si="6"/>
        <v>#VALUE!</v>
      </c>
      <c r="AS58" s="49">
        <f t="shared" si="7"/>
        <v>0</v>
      </c>
      <c r="AT58" s="49">
        <f t="shared" si="8"/>
        <v>0</v>
      </c>
      <c r="AU58" s="54">
        <f t="shared" si="9"/>
        <v>0</v>
      </c>
      <c r="AV58" s="54">
        <f t="shared" si="10"/>
        <v>0</v>
      </c>
      <c r="AW58" s="54" t="e">
        <f t="shared" si="11"/>
        <v>#VALUE!</v>
      </c>
      <c r="AX58" s="54">
        <f t="shared" si="12"/>
        <v>0</v>
      </c>
      <c r="AY58" s="54" t="e">
        <f t="shared" si="13"/>
        <v>#VALUE!</v>
      </c>
      <c r="AZ58" s="45">
        <f t="shared" si="14"/>
        <v>0</v>
      </c>
      <c r="BA58" s="45" t="e">
        <f t="shared" si="15"/>
        <v>#VALUE!</v>
      </c>
      <c r="BB58" s="45" t="e">
        <f t="shared" si="16"/>
        <v>#VALUE!</v>
      </c>
      <c r="BC58" s="45">
        <f t="shared" si="17"/>
        <v>0</v>
      </c>
      <c r="BD58" s="45">
        <f t="shared" si="18"/>
        <v>0</v>
      </c>
    </row>
    <row r="59" spans="1:56" s="24" customFormat="1" ht="51.75">
      <c r="A59" s="20" t="s">
        <v>140</v>
      </c>
      <c r="B59" s="25" t="s">
        <v>115</v>
      </c>
      <c r="C59" s="22">
        <v>428</v>
      </c>
      <c r="D59" s="22" t="s">
        <v>33</v>
      </c>
      <c r="E59" s="22">
        <v>428</v>
      </c>
      <c r="F59" s="22" t="s">
        <v>33</v>
      </c>
      <c r="G59" s="22" t="s">
        <v>33</v>
      </c>
      <c r="H59" s="22" t="s">
        <v>33</v>
      </c>
      <c r="I59" s="22" t="s">
        <v>33</v>
      </c>
      <c r="J59" s="22">
        <v>428</v>
      </c>
      <c r="K59" s="22" t="s">
        <v>33</v>
      </c>
      <c r="L59" s="22">
        <v>428</v>
      </c>
      <c r="M59" s="22" t="s">
        <v>33</v>
      </c>
      <c r="N59" s="22" t="s">
        <v>33</v>
      </c>
      <c r="O59" s="22" t="s">
        <v>33</v>
      </c>
      <c r="P59" s="22">
        <v>428</v>
      </c>
      <c r="Q59" s="23" t="s">
        <v>33</v>
      </c>
      <c r="R59" s="23" t="s">
        <v>33</v>
      </c>
      <c r="S59" s="22">
        <v>428</v>
      </c>
      <c r="U59" s="41">
        <v>428</v>
      </c>
      <c r="V59" s="42" t="s">
        <v>33</v>
      </c>
      <c r="W59" s="42">
        <v>428</v>
      </c>
      <c r="X59" s="42" t="s">
        <v>33</v>
      </c>
      <c r="Y59" s="42" t="s">
        <v>33</v>
      </c>
      <c r="Z59" s="42" t="s">
        <v>33</v>
      </c>
      <c r="AA59" s="42" t="s">
        <v>33</v>
      </c>
      <c r="AB59" s="42">
        <v>428</v>
      </c>
      <c r="AC59" s="41" t="s">
        <v>33</v>
      </c>
      <c r="AD59" s="42">
        <v>428</v>
      </c>
      <c r="AE59" s="42" t="s">
        <v>33</v>
      </c>
      <c r="AF59" s="42" t="s">
        <v>33</v>
      </c>
      <c r="AG59" s="42" t="s">
        <v>33</v>
      </c>
      <c r="AH59" s="41">
        <v>428</v>
      </c>
      <c r="AI59" s="44" t="s">
        <v>33</v>
      </c>
      <c r="AJ59" s="44" t="s">
        <v>33</v>
      </c>
      <c r="AK59" s="42">
        <v>428</v>
      </c>
      <c r="AM59" s="49">
        <f t="shared" si="1"/>
        <v>0</v>
      </c>
      <c r="AN59" s="49" t="e">
        <f t="shared" si="2"/>
        <v>#VALUE!</v>
      </c>
      <c r="AO59" s="49">
        <f t="shared" si="3"/>
        <v>0</v>
      </c>
      <c r="AP59" s="49" t="e">
        <f t="shared" si="4"/>
        <v>#VALUE!</v>
      </c>
      <c r="AQ59" s="49" t="e">
        <f t="shared" si="5"/>
        <v>#VALUE!</v>
      </c>
      <c r="AR59" s="49" t="e">
        <f t="shared" si="6"/>
        <v>#VALUE!</v>
      </c>
      <c r="AS59" s="49" t="e">
        <f t="shared" si="7"/>
        <v>#VALUE!</v>
      </c>
      <c r="AT59" s="49">
        <f t="shared" si="8"/>
        <v>0</v>
      </c>
      <c r="AU59" s="54" t="e">
        <f t="shared" si="9"/>
        <v>#VALUE!</v>
      </c>
      <c r="AV59" s="54">
        <f t="shared" si="10"/>
        <v>0</v>
      </c>
      <c r="AW59" s="54" t="e">
        <f t="shared" si="11"/>
        <v>#VALUE!</v>
      </c>
      <c r="AX59" s="54" t="e">
        <f t="shared" si="12"/>
        <v>#VALUE!</v>
      </c>
      <c r="AY59" s="54" t="e">
        <f t="shared" si="13"/>
        <v>#VALUE!</v>
      </c>
      <c r="AZ59" s="45">
        <f t="shared" si="14"/>
        <v>0</v>
      </c>
      <c r="BA59" s="45" t="e">
        <f t="shared" si="15"/>
        <v>#VALUE!</v>
      </c>
      <c r="BB59" s="45" t="e">
        <f t="shared" si="16"/>
        <v>#VALUE!</v>
      </c>
      <c r="BC59" s="45">
        <f t="shared" si="17"/>
        <v>0</v>
      </c>
      <c r="BD59" s="45">
        <f t="shared" si="18"/>
        <v>0</v>
      </c>
    </row>
    <row r="60" spans="1:56" ht="26.25">
      <c r="A60" s="18" t="s">
        <v>116</v>
      </c>
      <c r="B60" s="19" t="s">
        <v>117</v>
      </c>
      <c r="C60" s="2">
        <v>428</v>
      </c>
      <c r="D60" s="2" t="s">
        <v>33</v>
      </c>
      <c r="E60" s="2">
        <v>428</v>
      </c>
      <c r="F60" s="2" t="s">
        <v>33</v>
      </c>
      <c r="G60" s="2" t="s">
        <v>33</v>
      </c>
      <c r="H60" s="2" t="s">
        <v>33</v>
      </c>
      <c r="I60" s="2" t="s">
        <v>33</v>
      </c>
      <c r="J60" s="2">
        <v>428</v>
      </c>
      <c r="K60" s="2" t="s">
        <v>33</v>
      </c>
      <c r="L60" s="2">
        <v>428</v>
      </c>
      <c r="M60" s="2" t="s">
        <v>33</v>
      </c>
      <c r="N60" s="2" t="s">
        <v>33</v>
      </c>
      <c r="O60" s="2" t="s">
        <v>33</v>
      </c>
      <c r="P60" s="2">
        <v>428</v>
      </c>
      <c r="Q60" s="12" t="s">
        <v>33</v>
      </c>
      <c r="R60" s="12" t="s">
        <v>33</v>
      </c>
      <c r="S60" s="2">
        <v>428</v>
      </c>
      <c r="U60" s="41">
        <v>428</v>
      </c>
      <c r="V60" s="42" t="s">
        <v>33</v>
      </c>
      <c r="W60" s="42">
        <v>428</v>
      </c>
      <c r="X60" s="42" t="s">
        <v>33</v>
      </c>
      <c r="Y60" s="42" t="s">
        <v>33</v>
      </c>
      <c r="Z60" s="42" t="s">
        <v>33</v>
      </c>
      <c r="AA60" s="42" t="s">
        <v>33</v>
      </c>
      <c r="AB60" s="42">
        <v>428</v>
      </c>
      <c r="AC60" s="41" t="s">
        <v>33</v>
      </c>
      <c r="AD60" s="42">
        <v>428</v>
      </c>
      <c r="AE60" s="42" t="s">
        <v>33</v>
      </c>
      <c r="AF60" s="42" t="s">
        <v>33</v>
      </c>
      <c r="AG60" s="42" t="s">
        <v>33</v>
      </c>
      <c r="AH60" s="41">
        <v>428</v>
      </c>
      <c r="AI60" s="44" t="s">
        <v>33</v>
      </c>
      <c r="AJ60" s="44" t="s">
        <v>33</v>
      </c>
      <c r="AK60" s="42">
        <v>428</v>
      </c>
      <c r="AM60" s="49">
        <f t="shared" si="1"/>
        <v>0</v>
      </c>
      <c r="AN60" s="49" t="e">
        <f t="shared" si="2"/>
        <v>#VALUE!</v>
      </c>
      <c r="AO60" s="49">
        <f t="shared" si="3"/>
        <v>0</v>
      </c>
      <c r="AP60" s="49" t="e">
        <f t="shared" si="4"/>
        <v>#VALUE!</v>
      </c>
      <c r="AQ60" s="49" t="e">
        <f t="shared" si="5"/>
        <v>#VALUE!</v>
      </c>
      <c r="AR60" s="49" t="e">
        <f t="shared" si="6"/>
        <v>#VALUE!</v>
      </c>
      <c r="AS60" s="49" t="e">
        <f t="shared" si="7"/>
        <v>#VALUE!</v>
      </c>
      <c r="AT60" s="49">
        <f t="shared" si="8"/>
        <v>0</v>
      </c>
      <c r="AU60" s="54" t="e">
        <f t="shared" si="9"/>
        <v>#VALUE!</v>
      </c>
      <c r="AV60" s="54">
        <f t="shared" si="10"/>
        <v>0</v>
      </c>
      <c r="AW60" s="54" t="e">
        <f t="shared" si="11"/>
        <v>#VALUE!</v>
      </c>
      <c r="AX60" s="54" t="e">
        <f t="shared" si="12"/>
        <v>#VALUE!</v>
      </c>
      <c r="AY60" s="54" t="e">
        <f t="shared" si="13"/>
        <v>#VALUE!</v>
      </c>
      <c r="AZ60" s="45">
        <f t="shared" si="14"/>
        <v>0</v>
      </c>
      <c r="BA60" s="45" t="e">
        <f t="shared" si="15"/>
        <v>#VALUE!</v>
      </c>
      <c r="BB60" s="45" t="e">
        <f t="shared" si="16"/>
        <v>#VALUE!</v>
      </c>
      <c r="BC60" s="45">
        <f t="shared" si="17"/>
        <v>0</v>
      </c>
      <c r="BD60" s="45">
        <f t="shared" si="18"/>
        <v>0</v>
      </c>
    </row>
    <row r="61" spans="1:56" s="24" customFormat="1" ht="26.25">
      <c r="A61" s="20" t="s">
        <v>141</v>
      </c>
      <c r="B61" s="25" t="s">
        <v>118</v>
      </c>
      <c r="C61" s="22">
        <v>6215</v>
      </c>
      <c r="D61" s="22">
        <v>6538</v>
      </c>
      <c r="E61" s="22">
        <v>-323</v>
      </c>
      <c r="F61" s="22">
        <v>6079</v>
      </c>
      <c r="G61" s="22" t="s">
        <v>33</v>
      </c>
      <c r="H61" s="22">
        <v>6079</v>
      </c>
      <c r="I61" s="22">
        <v>12617</v>
      </c>
      <c r="J61" s="22">
        <v>-6402</v>
      </c>
      <c r="K61" s="22">
        <v>70406</v>
      </c>
      <c r="L61" s="22">
        <v>64004</v>
      </c>
      <c r="M61" s="22">
        <v>12215</v>
      </c>
      <c r="N61" s="22">
        <v>-57</v>
      </c>
      <c r="O61" s="22" t="s">
        <v>33</v>
      </c>
      <c r="P61" s="22">
        <v>51732</v>
      </c>
      <c r="Q61" s="23" t="s">
        <v>33</v>
      </c>
      <c r="R61" s="23" t="s">
        <v>33</v>
      </c>
      <c r="S61" s="22">
        <v>51732</v>
      </c>
      <c r="U61" s="41">
        <v>6215</v>
      </c>
      <c r="V61" s="42">
        <v>6538</v>
      </c>
      <c r="W61" s="42">
        <v>-323</v>
      </c>
      <c r="X61" s="42">
        <v>6079</v>
      </c>
      <c r="Y61" s="42" t="s">
        <v>33</v>
      </c>
      <c r="Z61" s="42">
        <v>6079</v>
      </c>
      <c r="AA61" s="42">
        <v>12617</v>
      </c>
      <c r="AB61" s="42">
        <v>-6402</v>
      </c>
      <c r="AC61" s="41">
        <v>70406</v>
      </c>
      <c r="AD61" s="42">
        <v>64004</v>
      </c>
      <c r="AE61" s="42">
        <v>12215</v>
      </c>
      <c r="AF61" s="42">
        <v>-57</v>
      </c>
      <c r="AG61" s="42" t="s">
        <v>33</v>
      </c>
      <c r="AH61" s="41">
        <v>51732</v>
      </c>
      <c r="AI61" s="44" t="s">
        <v>33</v>
      </c>
      <c r="AJ61" s="44" t="s">
        <v>33</v>
      </c>
      <c r="AK61" s="42">
        <v>51732</v>
      </c>
      <c r="AM61" s="49">
        <f t="shared" si="1"/>
        <v>0</v>
      </c>
      <c r="AN61" s="49">
        <f t="shared" si="2"/>
        <v>0</v>
      </c>
      <c r="AO61" s="49">
        <f t="shared" si="3"/>
        <v>0</v>
      </c>
      <c r="AP61" s="49">
        <f t="shared" si="4"/>
        <v>0</v>
      </c>
      <c r="AQ61" s="49" t="e">
        <f t="shared" si="5"/>
        <v>#VALUE!</v>
      </c>
      <c r="AR61" s="49">
        <f t="shared" si="6"/>
        <v>0</v>
      </c>
      <c r="AS61" s="49">
        <f t="shared" si="7"/>
        <v>0</v>
      </c>
      <c r="AT61" s="49">
        <f t="shared" si="8"/>
        <v>0</v>
      </c>
      <c r="AU61" s="54">
        <f t="shared" si="9"/>
        <v>0</v>
      </c>
      <c r="AV61" s="54">
        <f t="shared" si="10"/>
        <v>0</v>
      </c>
      <c r="AW61" s="54">
        <f t="shared" si="11"/>
        <v>0</v>
      </c>
      <c r="AX61" s="54">
        <f t="shared" si="12"/>
        <v>0</v>
      </c>
      <c r="AY61" s="54" t="e">
        <f t="shared" si="13"/>
        <v>#VALUE!</v>
      </c>
      <c r="AZ61" s="45">
        <f t="shared" si="14"/>
        <v>0</v>
      </c>
      <c r="BA61" s="45" t="e">
        <f t="shared" si="15"/>
        <v>#VALUE!</v>
      </c>
      <c r="BB61" s="45" t="e">
        <f t="shared" si="16"/>
        <v>#VALUE!</v>
      </c>
      <c r="BC61" s="45">
        <f t="shared" si="17"/>
        <v>0</v>
      </c>
      <c r="BD61" s="45">
        <f t="shared" si="18"/>
        <v>0</v>
      </c>
    </row>
    <row r="62" spans="1:56" ht="39">
      <c r="A62" s="18" t="s">
        <v>119</v>
      </c>
      <c r="B62" s="19" t="s">
        <v>120</v>
      </c>
      <c r="C62" s="2">
        <v>1133</v>
      </c>
      <c r="D62" s="2">
        <v>1094</v>
      </c>
      <c r="E62" s="2">
        <v>39</v>
      </c>
      <c r="F62" s="2">
        <v>3</v>
      </c>
      <c r="G62" s="2" t="s">
        <v>33</v>
      </c>
      <c r="H62" s="2">
        <v>3</v>
      </c>
      <c r="I62" s="2">
        <v>1097</v>
      </c>
      <c r="J62" s="2">
        <v>36</v>
      </c>
      <c r="K62" s="2">
        <v>69174</v>
      </c>
      <c r="L62" s="2">
        <v>69210</v>
      </c>
      <c r="M62" s="2">
        <v>12177</v>
      </c>
      <c r="N62" s="2">
        <v>-20</v>
      </c>
      <c r="O62" s="2" t="s">
        <v>33</v>
      </c>
      <c r="P62" s="2">
        <v>57013</v>
      </c>
      <c r="Q62" s="12" t="s">
        <v>33</v>
      </c>
      <c r="R62" s="12" t="s">
        <v>33</v>
      </c>
      <c r="S62" s="2">
        <v>57013</v>
      </c>
      <c r="U62" s="41">
        <v>1133</v>
      </c>
      <c r="V62" s="42">
        <v>1094</v>
      </c>
      <c r="W62" s="42">
        <v>39</v>
      </c>
      <c r="X62" s="42">
        <v>3</v>
      </c>
      <c r="Y62" s="42" t="s">
        <v>33</v>
      </c>
      <c r="Z62" s="42">
        <v>3</v>
      </c>
      <c r="AA62" s="42">
        <v>1097</v>
      </c>
      <c r="AB62" s="42">
        <v>36</v>
      </c>
      <c r="AC62" s="41">
        <v>69174</v>
      </c>
      <c r="AD62" s="42">
        <v>69210</v>
      </c>
      <c r="AE62" s="42">
        <v>12177</v>
      </c>
      <c r="AF62" s="42">
        <v>-20</v>
      </c>
      <c r="AG62" s="42" t="s">
        <v>33</v>
      </c>
      <c r="AH62" s="41">
        <v>57013</v>
      </c>
      <c r="AI62" s="44" t="s">
        <v>33</v>
      </c>
      <c r="AJ62" s="44" t="s">
        <v>33</v>
      </c>
      <c r="AK62" s="42">
        <v>57013</v>
      </c>
      <c r="AM62" s="49">
        <f t="shared" si="1"/>
        <v>0</v>
      </c>
      <c r="AN62" s="49">
        <f t="shared" si="2"/>
        <v>0</v>
      </c>
      <c r="AO62" s="49">
        <f t="shared" si="3"/>
        <v>0</v>
      </c>
      <c r="AP62" s="49">
        <f t="shared" si="4"/>
        <v>0</v>
      </c>
      <c r="AQ62" s="49" t="e">
        <f t="shared" si="5"/>
        <v>#VALUE!</v>
      </c>
      <c r="AR62" s="49">
        <f t="shared" si="6"/>
        <v>0</v>
      </c>
      <c r="AS62" s="49">
        <f t="shared" si="7"/>
        <v>0</v>
      </c>
      <c r="AT62" s="49">
        <f t="shared" si="8"/>
        <v>0</v>
      </c>
      <c r="AU62" s="54">
        <f t="shared" si="9"/>
        <v>0</v>
      </c>
      <c r="AV62" s="54">
        <f t="shared" si="10"/>
        <v>0</v>
      </c>
      <c r="AW62" s="54">
        <f t="shared" si="11"/>
        <v>0</v>
      </c>
      <c r="AX62" s="54">
        <f t="shared" si="12"/>
        <v>0</v>
      </c>
      <c r="AY62" s="54" t="e">
        <f t="shared" si="13"/>
        <v>#VALUE!</v>
      </c>
      <c r="AZ62" s="45">
        <f t="shared" si="14"/>
        <v>0</v>
      </c>
      <c r="BA62" s="45" t="e">
        <f t="shared" si="15"/>
        <v>#VALUE!</v>
      </c>
      <c r="BB62" s="45" t="e">
        <f t="shared" si="16"/>
        <v>#VALUE!</v>
      </c>
      <c r="BC62" s="45">
        <f t="shared" si="17"/>
        <v>0</v>
      </c>
      <c r="BD62" s="45">
        <f t="shared" si="18"/>
        <v>0</v>
      </c>
    </row>
    <row r="63" spans="1:56" ht="39">
      <c r="A63" s="18" t="s">
        <v>121</v>
      </c>
      <c r="B63" s="19" t="s">
        <v>122</v>
      </c>
      <c r="C63" s="2">
        <v>5082</v>
      </c>
      <c r="D63" s="2">
        <v>5444</v>
      </c>
      <c r="E63" s="2">
        <v>-362</v>
      </c>
      <c r="F63" s="2">
        <v>6076</v>
      </c>
      <c r="G63" s="2" t="s">
        <v>33</v>
      </c>
      <c r="H63" s="2">
        <v>6076</v>
      </c>
      <c r="I63" s="2">
        <v>11520</v>
      </c>
      <c r="J63" s="2">
        <v>-6438</v>
      </c>
      <c r="K63" s="2">
        <v>1232</v>
      </c>
      <c r="L63" s="2">
        <v>-5206</v>
      </c>
      <c r="M63" s="2">
        <v>38</v>
      </c>
      <c r="N63" s="2">
        <v>-37</v>
      </c>
      <c r="O63" s="2" t="s">
        <v>33</v>
      </c>
      <c r="P63" s="2">
        <v>-5281</v>
      </c>
      <c r="Q63" s="12" t="s">
        <v>33</v>
      </c>
      <c r="R63" s="12" t="s">
        <v>33</v>
      </c>
      <c r="S63" s="2">
        <v>-5281</v>
      </c>
      <c r="U63" s="41">
        <v>5082</v>
      </c>
      <c r="V63" s="42">
        <v>5444</v>
      </c>
      <c r="W63" s="42">
        <v>-362</v>
      </c>
      <c r="X63" s="42">
        <v>6076</v>
      </c>
      <c r="Y63" s="42" t="s">
        <v>33</v>
      </c>
      <c r="Z63" s="42">
        <v>6076</v>
      </c>
      <c r="AA63" s="42">
        <v>11520</v>
      </c>
      <c r="AB63" s="42">
        <v>-6438</v>
      </c>
      <c r="AC63" s="41">
        <v>1232</v>
      </c>
      <c r="AD63" s="42">
        <v>-5206</v>
      </c>
      <c r="AE63" s="42">
        <v>38</v>
      </c>
      <c r="AF63" s="42">
        <v>-37</v>
      </c>
      <c r="AG63" s="42" t="s">
        <v>33</v>
      </c>
      <c r="AH63" s="41">
        <v>-5281</v>
      </c>
      <c r="AI63" s="44" t="s">
        <v>33</v>
      </c>
      <c r="AJ63" s="44" t="s">
        <v>33</v>
      </c>
      <c r="AK63" s="42">
        <v>-5281</v>
      </c>
      <c r="AM63" s="49">
        <f t="shared" si="1"/>
        <v>0</v>
      </c>
      <c r="AN63" s="49">
        <f t="shared" si="2"/>
        <v>0</v>
      </c>
      <c r="AO63" s="49">
        <f t="shared" si="3"/>
        <v>0</v>
      </c>
      <c r="AP63" s="49">
        <f t="shared" si="4"/>
        <v>0</v>
      </c>
      <c r="AQ63" s="49" t="e">
        <f t="shared" si="5"/>
        <v>#VALUE!</v>
      </c>
      <c r="AR63" s="49">
        <f t="shared" si="6"/>
        <v>0</v>
      </c>
      <c r="AS63" s="49">
        <f t="shared" si="7"/>
        <v>0</v>
      </c>
      <c r="AT63" s="49">
        <f t="shared" si="8"/>
        <v>0</v>
      </c>
      <c r="AU63" s="54">
        <f t="shared" si="9"/>
        <v>0</v>
      </c>
      <c r="AV63" s="54">
        <f t="shared" si="10"/>
        <v>0</v>
      </c>
      <c r="AW63" s="54">
        <f t="shared" si="11"/>
        <v>0</v>
      </c>
      <c r="AX63" s="54">
        <f t="shared" si="12"/>
        <v>0</v>
      </c>
      <c r="AY63" s="54" t="e">
        <f t="shared" si="13"/>
        <v>#VALUE!</v>
      </c>
      <c r="AZ63" s="45">
        <f t="shared" si="14"/>
        <v>0</v>
      </c>
      <c r="BA63" s="45" t="e">
        <f t="shared" si="15"/>
        <v>#VALUE!</v>
      </c>
      <c r="BB63" s="45" t="e">
        <f t="shared" si="16"/>
        <v>#VALUE!</v>
      </c>
      <c r="BC63" s="45">
        <f t="shared" si="17"/>
        <v>0</v>
      </c>
      <c r="BD63" s="45">
        <f t="shared" si="18"/>
        <v>0</v>
      </c>
    </row>
    <row r="64" spans="1:56" ht="15.75">
      <c r="AC64" s="41">
        <v>-197</v>
      </c>
      <c r="AD64" s="42">
        <v>752</v>
      </c>
      <c r="AE64" s="42">
        <v>126</v>
      </c>
      <c r="AF64" s="42" t="s">
        <v>33</v>
      </c>
      <c r="AG64" s="42" t="s">
        <v>33</v>
      </c>
    </row>
    <row r="65" spans="29:33" ht="15.75">
      <c r="AC65" s="41">
        <v>8277</v>
      </c>
      <c r="AD65" s="42">
        <v>7266</v>
      </c>
      <c r="AE65" s="42">
        <v>551</v>
      </c>
      <c r="AF65" s="42" t="s">
        <v>33</v>
      </c>
      <c r="AG65" s="42" t="s">
        <v>33</v>
      </c>
    </row>
  </sheetData>
  <mergeCells count="32">
    <mergeCell ref="P6:P7"/>
    <mergeCell ref="O6:O7"/>
    <mergeCell ref="A5:A7"/>
    <mergeCell ref="C1:H1"/>
    <mergeCell ref="C2:H2"/>
    <mergeCell ref="C3:H3"/>
    <mergeCell ref="C5:J5"/>
    <mergeCell ref="G6:H6"/>
    <mergeCell ref="C6:C7"/>
    <mergeCell ref="D6:D7"/>
    <mergeCell ref="J6:J7"/>
    <mergeCell ref="B5:B7"/>
    <mergeCell ref="E6:E7"/>
    <mergeCell ref="F6:F7"/>
    <mergeCell ref="I4:J4"/>
    <mergeCell ref="I6:I7"/>
    <mergeCell ref="Q1:S1"/>
    <mergeCell ref="Q2:S2"/>
    <mergeCell ref="Q3:S3"/>
    <mergeCell ref="N6:N7"/>
    <mergeCell ref="M6:M7"/>
    <mergeCell ref="O4:P4"/>
    <mergeCell ref="K1:O1"/>
    <mergeCell ref="K2:O2"/>
    <mergeCell ref="K3:O3"/>
    <mergeCell ref="K6:K7"/>
    <mergeCell ref="K5:P5"/>
    <mergeCell ref="Q5:S5"/>
    <mergeCell ref="L6:L7"/>
    <mergeCell ref="S6:S7"/>
    <mergeCell ref="R6:R7"/>
    <mergeCell ref="Q6:Q7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23  Лист &amp;P</oddHeader>
  </headerFooter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T23</vt:lpstr>
      <vt:lpstr>'T23'!ExternalData_1</vt:lpstr>
      <vt:lpstr>'T23'!Заголовки_для_печати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</dc:creator>
  <cp:lastModifiedBy>41.KolbikMV</cp:lastModifiedBy>
  <cp:lastPrinted>2025-01-17T11:24:31Z</cp:lastPrinted>
  <dcterms:created xsi:type="dcterms:W3CDTF">2006-03-06T10:31:21Z</dcterms:created>
  <dcterms:modified xsi:type="dcterms:W3CDTF">2025-09-04T04:03:36Z</dcterms:modified>
</cp:coreProperties>
</file>