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75" tabRatio="414"/>
  </bookViews>
  <sheets>
    <sheet name="T22" sheetId="1" r:id="rId1"/>
  </sheets>
  <definedNames>
    <definedName name="_xlnm._FilterDatabase" localSheetId="0" hidden="1">'T22'!$A$7:$EV$66</definedName>
    <definedName name="ExternalData_1" localSheetId="0">'T22'!$A$8:$Z$66</definedName>
    <definedName name="_xlnm.Print_Titles" localSheetId="0">'T22'!$A:$B,'T22'!$4:$7</definedName>
  </definedNames>
  <calcPr calcId="125725"/>
</workbook>
</file>

<file path=xl/calcChain.xml><?xml version="1.0" encoding="utf-8"?>
<calcChain xmlns="http://schemas.openxmlformats.org/spreadsheetml/2006/main">
  <c r="AZ10" i="1"/>
  <c r="BA10"/>
  <c r="BB10"/>
  <c r="BC10"/>
  <c r="BD10"/>
  <c r="BE10"/>
  <c r="BF10"/>
  <c r="BG10"/>
  <c r="BH10"/>
  <c r="BI10"/>
  <c r="BJ10"/>
  <c r="BK10"/>
  <c r="BL10"/>
  <c r="BM10"/>
  <c r="BN10"/>
  <c r="BO10"/>
  <c r="BP10"/>
  <c r="BQ10"/>
  <c r="BR10"/>
  <c r="BS10"/>
  <c r="BT10"/>
  <c r="BU10"/>
  <c r="BV10"/>
  <c r="BW10"/>
  <c r="AZ11"/>
  <c r="BA11"/>
  <c r="BB11"/>
  <c r="BC11"/>
  <c r="BD11"/>
  <c r="BE11"/>
  <c r="BF11"/>
  <c r="BG11"/>
  <c r="BH11"/>
  <c r="BI11"/>
  <c r="BJ11"/>
  <c r="BK11"/>
  <c r="BL11"/>
  <c r="BM11"/>
  <c r="BN11"/>
  <c r="BO11"/>
  <c r="BP11"/>
  <c r="BQ11"/>
  <c r="BR11"/>
  <c r="BS11"/>
  <c r="BT11"/>
  <c r="BU11"/>
  <c r="BV11"/>
  <c r="BW11"/>
  <c r="AZ12"/>
  <c r="BA12"/>
  <c r="BB12"/>
  <c r="BC12"/>
  <c r="BD12"/>
  <c r="BE12"/>
  <c r="BF12"/>
  <c r="BG12"/>
  <c r="BH12"/>
  <c r="BI12"/>
  <c r="BJ12"/>
  <c r="BK12"/>
  <c r="BL12"/>
  <c r="BM12"/>
  <c r="BN12"/>
  <c r="BO12"/>
  <c r="BP12"/>
  <c r="BQ12"/>
  <c r="BR12"/>
  <c r="BS12"/>
  <c r="BT12"/>
  <c r="BU12"/>
  <c r="BV12"/>
  <c r="BW12"/>
  <c r="AZ13"/>
  <c r="BA13"/>
  <c r="BB13"/>
  <c r="BC13"/>
  <c r="BD13"/>
  <c r="BE13"/>
  <c r="BF13"/>
  <c r="BG13"/>
  <c r="BH13"/>
  <c r="BI13"/>
  <c r="BJ13"/>
  <c r="BK13"/>
  <c r="BL13"/>
  <c r="BM13"/>
  <c r="BN13"/>
  <c r="BO13"/>
  <c r="BP13"/>
  <c r="BQ13"/>
  <c r="BR13"/>
  <c r="BS13"/>
  <c r="BT13"/>
  <c r="BU13"/>
  <c r="BV13"/>
  <c r="BW13"/>
  <c r="AZ14"/>
  <c r="BA14"/>
  <c r="BB14"/>
  <c r="BC14"/>
  <c r="BD14"/>
  <c r="BE14"/>
  <c r="BF14"/>
  <c r="BG14"/>
  <c r="BH14"/>
  <c r="BI14"/>
  <c r="BJ14"/>
  <c r="BK14"/>
  <c r="BL14"/>
  <c r="BM14"/>
  <c r="BN14"/>
  <c r="BO14"/>
  <c r="BP14"/>
  <c r="BQ14"/>
  <c r="BR14"/>
  <c r="BS14"/>
  <c r="BT14"/>
  <c r="BU14"/>
  <c r="BV14"/>
  <c r="BW14"/>
  <c r="AZ15"/>
  <c r="BA15"/>
  <c r="BB15"/>
  <c r="BC15"/>
  <c r="BD15"/>
  <c r="BE15"/>
  <c r="BF15"/>
  <c r="BG15"/>
  <c r="BH15"/>
  <c r="BI15"/>
  <c r="BJ15"/>
  <c r="BK15"/>
  <c r="BL15"/>
  <c r="BM15"/>
  <c r="BN15"/>
  <c r="BO15"/>
  <c r="BP15"/>
  <c r="BQ15"/>
  <c r="BR15"/>
  <c r="BS15"/>
  <c r="BT15"/>
  <c r="BU15"/>
  <c r="BV15"/>
  <c r="BW15"/>
  <c r="AZ16"/>
  <c r="BA16"/>
  <c r="BB16"/>
  <c r="BC16"/>
  <c r="BD16"/>
  <c r="BE16"/>
  <c r="BF16"/>
  <c r="BG16"/>
  <c r="BH16"/>
  <c r="BI16"/>
  <c r="BJ16"/>
  <c r="BK16"/>
  <c r="BL16"/>
  <c r="BM16"/>
  <c r="BN16"/>
  <c r="BO16"/>
  <c r="BP16"/>
  <c r="BQ16"/>
  <c r="BR16"/>
  <c r="BS16"/>
  <c r="BT16"/>
  <c r="BU16"/>
  <c r="BV16"/>
  <c r="BW16"/>
  <c r="AZ17"/>
  <c r="BA17"/>
  <c r="BB17"/>
  <c r="BC17"/>
  <c r="BD17"/>
  <c r="BE17"/>
  <c r="BF17"/>
  <c r="BG17"/>
  <c r="BH17"/>
  <c r="BI17"/>
  <c r="BJ17"/>
  <c r="BK17"/>
  <c r="BL17"/>
  <c r="BM17"/>
  <c r="BN17"/>
  <c r="BO17"/>
  <c r="BP17"/>
  <c r="BQ17"/>
  <c r="BR17"/>
  <c r="BS17"/>
  <c r="BT17"/>
  <c r="BU17"/>
  <c r="BV17"/>
  <c r="BW17"/>
  <c r="AZ18"/>
  <c r="BA18"/>
  <c r="BB18"/>
  <c r="BC18"/>
  <c r="BD18"/>
  <c r="BE18"/>
  <c r="BF18"/>
  <c r="BG18"/>
  <c r="BH18"/>
  <c r="BI18"/>
  <c r="BJ18"/>
  <c r="BK18"/>
  <c r="BL18"/>
  <c r="BM18"/>
  <c r="BN18"/>
  <c r="BO18"/>
  <c r="BP18"/>
  <c r="BQ18"/>
  <c r="BR18"/>
  <c r="BS18"/>
  <c r="BT18"/>
  <c r="BU18"/>
  <c r="BV18"/>
  <c r="BW18"/>
  <c r="AZ19"/>
  <c r="BA19"/>
  <c r="BB19"/>
  <c r="BC19"/>
  <c r="BD19"/>
  <c r="BE19"/>
  <c r="BF19"/>
  <c r="BG19"/>
  <c r="BH19"/>
  <c r="BI19"/>
  <c r="BJ19"/>
  <c r="BK19"/>
  <c r="BL19"/>
  <c r="BM19"/>
  <c r="BN19"/>
  <c r="BO19"/>
  <c r="BP19"/>
  <c r="BQ19"/>
  <c r="BR19"/>
  <c r="BS19"/>
  <c r="BT19"/>
  <c r="BU19"/>
  <c r="BV19"/>
  <c r="BW19"/>
  <c r="AZ20"/>
  <c r="BA20"/>
  <c r="BB20"/>
  <c r="BC20"/>
  <c r="BD20"/>
  <c r="BE20"/>
  <c r="BF20"/>
  <c r="BG20"/>
  <c r="BH20"/>
  <c r="BI20"/>
  <c r="BJ20"/>
  <c r="BK20"/>
  <c r="BL20"/>
  <c r="BM20"/>
  <c r="BN20"/>
  <c r="BO20"/>
  <c r="BP20"/>
  <c r="BQ20"/>
  <c r="BR20"/>
  <c r="BS20"/>
  <c r="BT20"/>
  <c r="BU20"/>
  <c r="BV20"/>
  <c r="BW20"/>
  <c r="AZ21"/>
  <c r="BA21"/>
  <c r="BB21"/>
  <c r="BC21"/>
  <c r="BD21"/>
  <c r="BE21"/>
  <c r="BF21"/>
  <c r="BG21"/>
  <c r="BH21"/>
  <c r="BI21"/>
  <c r="BJ21"/>
  <c r="BK21"/>
  <c r="BL21"/>
  <c r="BM21"/>
  <c r="BN21"/>
  <c r="BO21"/>
  <c r="BP21"/>
  <c r="BQ21"/>
  <c r="BR21"/>
  <c r="BS21"/>
  <c r="BT21"/>
  <c r="BU21"/>
  <c r="BV21"/>
  <c r="BW21"/>
  <c r="AZ22"/>
  <c r="BA22"/>
  <c r="BB22"/>
  <c r="BC22"/>
  <c r="BD22"/>
  <c r="BE22"/>
  <c r="BF22"/>
  <c r="BG22"/>
  <c r="BH22"/>
  <c r="BI22"/>
  <c r="BJ22"/>
  <c r="BK22"/>
  <c r="BL22"/>
  <c r="BM22"/>
  <c r="BN22"/>
  <c r="BO22"/>
  <c r="BP22"/>
  <c r="BQ22"/>
  <c r="BR22"/>
  <c r="BS22"/>
  <c r="BT22"/>
  <c r="BU22"/>
  <c r="BV22"/>
  <c r="BW22"/>
  <c r="AZ23"/>
  <c r="BA23"/>
  <c r="BB23"/>
  <c r="BC23"/>
  <c r="BD23"/>
  <c r="BE23"/>
  <c r="BF23"/>
  <c r="BG23"/>
  <c r="BH23"/>
  <c r="BI23"/>
  <c r="BJ23"/>
  <c r="BK23"/>
  <c r="BL23"/>
  <c r="BM23"/>
  <c r="BN23"/>
  <c r="BO23"/>
  <c r="BP23"/>
  <c r="BQ23"/>
  <c r="BR23"/>
  <c r="BS23"/>
  <c r="BT23"/>
  <c r="BU23"/>
  <c r="BV23"/>
  <c r="BW23"/>
  <c r="AZ24"/>
  <c r="BA24"/>
  <c r="BB24"/>
  <c r="BC24"/>
  <c r="BD24"/>
  <c r="BE24"/>
  <c r="BF24"/>
  <c r="BG24"/>
  <c r="BH24"/>
  <c r="BI24"/>
  <c r="BJ24"/>
  <c r="BK24"/>
  <c r="BL24"/>
  <c r="BM24"/>
  <c r="BN24"/>
  <c r="BO24"/>
  <c r="BP24"/>
  <c r="BQ24"/>
  <c r="BR24"/>
  <c r="BS24"/>
  <c r="BT24"/>
  <c r="BU24"/>
  <c r="BV24"/>
  <c r="BW24"/>
  <c r="AZ25"/>
  <c r="BA25"/>
  <c r="BB25"/>
  <c r="BC25"/>
  <c r="BD25"/>
  <c r="BE25"/>
  <c r="BF25"/>
  <c r="BG25"/>
  <c r="BH25"/>
  <c r="BI25"/>
  <c r="BJ25"/>
  <c r="BK25"/>
  <c r="BL25"/>
  <c r="BM25"/>
  <c r="BN25"/>
  <c r="BO25"/>
  <c r="BP25"/>
  <c r="BQ25"/>
  <c r="BR25"/>
  <c r="BS25"/>
  <c r="BT25"/>
  <c r="BU25"/>
  <c r="BV25"/>
  <c r="BW25"/>
  <c r="AZ26"/>
  <c r="BA26"/>
  <c r="BB26"/>
  <c r="BC26"/>
  <c r="BD26"/>
  <c r="BE26"/>
  <c r="BF26"/>
  <c r="BG26"/>
  <c r="BH26"/>
  <c r="BI26"/>
  <c r="BJ26"/>
  <c r="BK26"/>
  <c r="BL26"/>
  <c r="BM26"/>
  <c r="BN26"/>
  <c r="BO26"/>
  <c r="BP26"/>
  <c r="BQ26"/>
  <c r="BR26"/>
  <c r="BS26"/>
  <c r="BT26"/>
  <c r="BU26"/>
  <c r="BV26"/>
  <c r="BW26"/>
  <c r="AZ27"/>
  <c r="BA27"/>
  <c r="BB27"/>
  <c r="BC27"/>
  <c r="BD27"/>
  <c r="BE27"/>
  <c r="BF27"/>
  <c r="BG27"/>
  <c r="BH27"/>
  <c r="BI27"/>
  <c r="BJ27"/>
  <c r="BK27"/>
  <c r="BL27"/>
  <c r="BM27"/>
  <c r="BN27"/>
  <c r="BO27"/>
  <c r="BP27"/>
  <c r="BQ27"/>
  <c r="BR27"/>
  <c r="BS27"/>
  <c r="BT27"/>
  <c r="BU27"/>
  <c r="BV27"/>
  <c r="BW27"/>
  <c r="AZ28"/>
  <c r="BA28"/>
  <c r="BB28"/>
  <c r="BC28"/>
  <c r="BD28"/>
  <c r="BE28"/>
  <c r="BF28"/>
  <c r="BG28"/>
  <c r="BH28"/>
  <c r="BI28"/>
  <c r="BJ28"/>
  <c r="BK28"/>
  <c r="BL28"/>
  <c r="BM28"/>
  <c r="BN28"/>
  <c r="BO28"/>
  <c r="BP28"/>
  <c r="BQ28"/>
  <c r="BR28"/>
  <c r="BS28"/>
  <c r="BT28"/>
  <c r="BU28"/>
  <c r="BV28"/>
  <c r="BW28"/>
  <c r="AZ29"/>
  <c r="BA29"/>
  <c r="BB29"/>
  <c r="BC29"/>
  <c r="BD29"/>
  <c r="BE29"/>
  <c r="BF29"/>
  <c r="BG29"/>
  <c r="BH29"/>
  <c r="BI29"/>
  <c r="BJ29"/>
  <c r="BK29"/>
  <c r="BL29"/>
  <c r="BM29"/>
  <c r="BN29"/>
  <c r="BO29"/>
  <c r="BP29"/>
  <c r="BQ29"/>
  <c r="BR29"/>
  <c r="BS29"/>
  <c r="BT29"/>
  <c r="BU29"/>
  <c r="BV29"/>
  <c r="BW29"/>
  <c r="AZ30"/>
  <c r="BA30"/>
  <c r="BB30"/>
  <c r="BC30"/>
  <c r="BD30"/>
  <c r="BE30"/>
  <c r="BF30"/>
  <c r="BG30"/>
  <c r="BH30"/>
  <c r="BI30"/>
  <c r="BJ30"/>
  <c r="BK30"/>
  <c r="BL30"/>
  <c r="BM30"/>
  <c r="BN30"/>
  <c r="BO30"/>
  <c r="BP30"/>
  <c r="BQ30"/>
  <c r="BR30"/>
  <c r="BS30"/>
  <c r="BT30"/>
  <c r="BU30"/>
  <c r="BV30"/>
  <c r="BW30"/>
  <c r="AZ31"/>
  <c r="BA31"/>
  <c r="BB31"/>
  <c r="BC31"/>
  <c r="BD31"/>
  <c r="BE31"/>
  <c r="BF31"/>
  <c r="BG31"/>
  <c r="BH31"/>
  <c r="BI31"/>
  <c r="BJ31"/>
  <c r="BK31"/>
  <c r="BL31"/>
  <c r="BM31"/>
  <c r="BN31"/>
  <c r="BO31"/>
  <c r="BP31"/>
  <c r="BQ31"/>
  <c r="BR31"/>
  <c r="BS31"/>
  <c r="BT31"/>
  <c r="BU31"/>
  <c r="BV31"/>
  <c r="BW31"/>
  <c r="AZ32"/>
  <c r="BA32"/>
  <c r="BB32"/>
  <c r="BC32"/>
  <c r="BD32"/>
  <c r="BE32"/>
  <c r="BF32"/>
  <c r="BG32"/>
  <c r="BH32"/>
  <c r="BI32"/>
  <c r="BJ32"/>
  <c r="BK32"/>
  <c r="BL32"/>
  <c r="BM32"/>
  <c r="BN32"/>
  <c r="BO32"/>
  <c r="BP32"/>
  <c r="BQ32"/>
  <c r="BR32"/>
  <c r="BS32"/>
  <c r="BT32"/>
  <c r="BU32"/>
  <c r="BV32"/>
  <c r="BW32"/>
  <c r="AZ33"/>
  <c r="BA33"/>
  <c r="BB33"/>
  <c r="BC33"/>
  <c r="BD33"/>
  <c r="BE33"/>
  <c r="BF33"/>
  <c r="BG33"/>
  <c r="BH33"/>
  <c r="BI33"/>
  <c r="BJ33"/>
  <c r="BK33"/>
  <c r="BL33"/>
  <c r="BM33"/>
  <c r="BN33"/>
  <c r="BO33"/>
  <c r="BP33"/>
  <c r="BQ33"/>
  <c r="BR33"/>
  <c r="BS33"/>
  <c r="BT33"/>
  <c r="BU33"/>
  <c r="BV33"/>
  <c r="BW33"/>
  <c r="AZ34"/>
  <c r="BA34"/>
  <c r="BB34"/>
  <c r="BC34"/>
  <c r="BD34"/>
  <c r="BE34"/>
  <c r="BF34"/>
  <c r="BG34"/>
  <c r="BH34"/>
  <c r="BI34"/>
  <c r="BJ34"/>
  <c r="BK34"/>
  <c r="BL34"/>
  <c r="BM34"/>
  <c r="BN34"/>
  <c r="BO34"/>
  <c r="BP34"/>
  <c r="BQ34"/>
  <c r="BR34"/>
  <c r="BS34"/>
  <c r="BT34"/>
  <c r="BU34"/>
  <c r="BV34"/>
  <c r="BW34"/>
  <c r="AZ35"/>
  <c r="BA35"/>
  <c r="BB35"/>
  <c r="BC35"/>
  <c r="BD35"/>
  <c r="BE35"/>
  <c r="BF35"/>
  <c r="BG35"/>
  <c r="BH35"/>
  <c r="BI35"/>
  <c r="BJ35"/>
  <c r="BK35"/>
  <c r="BL35"/>
  <c r="BM35"/>
  <c r="BN35"/>
  <c r="BO35"/>
  <c r="BP35"/>
  <c r="BQ35"/>
  <c r="BR35"/>
  <c r="BS35"/>
  <c r="BT35"/>
  <c r="BU35"/>
  <c r="BV35"/>
  <c r="BW35"/>
  <c r="AZ36"/>
  <c r="BA36"/>
  <c r="BB36"/>
  <c r="BC36"/>
  <c r="BD36"/>
  <c r="BE36"/>
  <c r="BF36"/>
  <c r="BG36"/>
  <c r="BH36"/>
  <c r="BI36"/>
  <c r="BJ36"/>
  <c r="BK36"/>
  <c r="BL36"/>
  <c r="BM36"/>
  <c r="BN36"/>
  <c r="BO36"/>
  <c r="BP36"/>
  <c r="BQ36"/>
  <c r="BR36"/>
  <c r="BS36"/>
  <c r="BT36"/>
  <c r="BU36"/>
  <c r="BV36"/>
  <c r="BW36"/>
  <c r="AZ37"/>
  <c r="BA37"/>
  <c r="BB37"/>
  <c r="BC37"/>
  <c r="BD37"/>
  <c r="BE37"/>
  <c r="BF37"/>
  <c r="BG37"/>
  <c r="BH37"/>
  <c r="BI37"/>
  <c r="BJ37"/>
  <c r="BK37"/>
  <c r="BL37"/>
  <c r="BM37"/>
  <c r="BN37"/>
  <c r="BO37"/>
  <c r="BP37"/>
  <c r="BQ37"/>
  <c r="BR37"/>
  <c r="BS37"/>
  <c r="BT37"/>
  <c r="BU37"/>
  <c r="BV37"/>
  <c r="BW37"/>
  <c r="AZ38"/>
  <c r="BA38"/>
  <c r="BB38"/>
  <c r="BC38"/>
  <c r="BD38"/>
  <c r="BE38"/>
  <c r="BF38"/>
  <c r="BG38"/>
  <c r="BH38"/>
  <c r="BI38"/>
  <c r="BJ38"/>
  <c r="BK38"/>
  <c r="BL38"/>
  <c r="BM38"/>
  <c r="BN38"/>
  <c r="BO38"/>
  <c r="BP38"/>
  <c r="BQ38"/>
  <c r="BR38"/>
  <c r="BS38"/>
  <c r="BT38"/>
  <c r="BU38"/>
  <c r="BV38"/>
  <c r="BW38"/>
  <c r="AZ39"/>
  <c r="BA39"/>
  <c r="BB39"/>
  <c r="BC39"/>
  <c r="BD39"/>
  <c r="BE39"/>
  <c r="BF39"/>
  <c r="BG39"/>
  <c r="BH39"/>
  <c r="BI39"/>
  <c r="BJ39"/>
  <c r="BK39"/>
  <c r="BL39"/>
  <c r="BM39"/>
  <c r="BN39"/>
  <c r="BO39"/>
  <c r="BP39"/>
  <c r="BQ39"/>
  <c r="BR39"/>
  <c r="BS39"/>
  <c r="BT39"/>
  <c r="BU39"/>
  <c r="BV39"/>
  <c r="BW39"/>
  <c r="AZ40"/>
  <c r="BA40"/>
  <c r="BB40"/>
  <c r="BC40"/>
  <c r="BD40"/>
  <c r="BE40"/>
  <c r="BF40"/>
  <c r="BG40"/>
  <c r="BH40"/>
  <c r="BI40"/>
  <c r="BJ40"/>
  <c r="BK40"/>
  <c r="BL40"/>
  <c r="BM40"/>
  <c r="BN40"/>
  <c r="BO40"/>
  <c r="BP40"/>
  <c r="BQ40"/>
  <c r="BR40"/>
  <c r="BS40"/>
  <c r="BT40"/>
  <c r="BU40"/>
  <c r="BV40"/>
  <c r="BW40"/>
  <c r="AZ41"/>
  <c r="BA41"/>
  <c r="BB41"/>
  <c r="BC41"/>
  <c r="BD41"/>
  <c r="BE41"/>
  <c r="BF41"/>
  <c r="BG41"/>
  <c r="BH41"/>
  <c r="BI41"/>
  <c r="BJ41"/>
  <c r="BK41"/>
  <c r="BL41"/>
  <c r="BM41"/>
  <c r="BN41"/>
  <c r="BO41"/>
  <c r="BP41"/>
  <c r="BQ41"/>
  <c r="BR41"/>
  <c r="BS41"/>
  <c r="BT41"/>
  <c r="BU41"/>
  <c r="BV41"/>
  <c r="BW41"/>
  <c r="AZ42"/>
  <c r="BA42"/>
  <c r="BB42"/>
  <c r="BC42"/>
  <c r="BD42"/>
  <c r="BE42"/>
  <c r="BF42"/>
  <c r="BG42"/>
  <c r="BH42"/>
  <c r="BI42"/>
  <c r="BJ42"/>
  <c r="BK42"/>
  <c r="BL42"/>
  <c r="BM42"/>
  <c r="BN42"/>
  <c r="BO42"/>
  <c r="BP42"/>
  <c r="BQ42"/>
  <c r="BR42"/>
  <c r="BS42"/>
  <c r="BT42"/>
  <c r="BU42"/>
  <c r="BV42"/>
  <c r="BW42"/>
  <c r="AZ43"/>
  <c r="BA43"/>
  <c r="BB43"/>
  <c r="BC43"/>
  <c r="BD43"/>
  <c r="BE43"/>
  <c r="BF43"/>
  <c r="BG43"/>
  <c r="BH43"/>
  <c r="BI43"/>
  <c r="BJ43"/>
  <c r="BK43"/>
  <c r="BL43"/>
  <c r="BM43"/>
  <c r="BN43"/>
  <c r="BO43"/>
  <c r="BP43"/>
  <c r="BQ43"/>
  <c r="BR43"/>
  <c r="BS43"/>
  <c r="BT43"/>
  <c r="BU43"/>
  <c r="BV43"/>
  <c r="BW43"/>
  <c r="AZ44"/>
  <c r="BA44"/>
  <c r="BB44"/>
  <c r="BC44"/>
  <c r="BD44"/>
  <c r="BE44"/>
  <c r="BF44"/>
  <c r="BG44"/>
  <c r="BH44"/>
  <c r="BI44"/>
  <c r="BJ44"/>
  <c r="BK44"/>
  <c r="BL44"/>
  <c r="BM44"/>
  <c r="BN44"/>
  <c r="BO44"/>
  <c r="BP44"/>
  <c r="BQ44"/>
  <c r="BR44"/>
  <c r="BS44"/>
  <c r="BT44"/>
  <c r="BU44"/>
  <c r="BV44"/>
  <c r="BW44"/>
  <c r="AZ45"/>
  <c r="BA45"/>
  <c r="BB45"/>
  <c r="BC45"/>
  <c r="BD45"/>
  <c r="BE45"/>
  <c r="BF45"/>
  <c r="BG45"/>
  <c r="BH45"/>
  <c r="BI45"/>
  <c r="BJ45"/>
  <c r="BK45"/>
  <c r="BL45"/>
  <c r="BM45"/>
  <c r="BN45"/>
  <c r="BO45"/>
  <c r="BP45"/>
  <c r="BQ45"/>
  <c r="BR45"/>
  <c r="BS45"/>
  <c r="BT45"/>
  <c r="BU45"/>
  <c r="BV45"/>
  <c r="BW45"/>
  <c r="AZ46"/>
  <c r="BA46"/>
  <c r="BB46"/>
  <c r="BC46"/>
  <c r="BD46"/>
  <c r="BE46"/>
  <c r="BF46"/>
  <c r="BG46"/>
  <c r="BH46"/>
  <c r="BI46"/>
  <c r="BJ46"/>
  <c r="BK46"/>
  <c r="BL46"/>
  <c r="BM46"/>
  <c r="BN46"/>
  <c r="BO46"/>
  <c r="BP46"/>
  <c r="BQ46"/>
  <c r="BR46"/>
  <c r="BS46"/>
  <c r="BT46"/>
  <c r="BU46"/>
  <c r="BV46"/>
  <c r="BW46"/>
  <c r="AZ47"/>
  <c r="BA47"/>
  <c r="BB47"/>
  <c r="BC47"/>
  <c r="BD47"/>
  <c r="BE47"/>
  <c r="BF47"/>
  <c r="BG47"/>
  <c r="BH47"/>
  <c r="BI47"/>
  <c r="BJ47"/>
  <c r="BK47"/>
  <c r="BL47"/>
  <c r="BM47"/>
  <c r="BN47"/>
  <c r="BO47"/>
  <c r="BP47"/>
  <c r="BQ47"/>
  <c r="BR47"/>
  <c r="BS47"/>
  <c r="BT47"/>
  <c r="BU47"/>
  <c r="BV47"/>
  <c r="BW47"/>
  <c r="AZ48"/>
  <c r="BA48"/>
  <c r="BB48"/>
  <c r="BC48"/>
  <c r="BD48"/>
  <c r="BE48"/>
  <c r="BF48"/>
  <c r="BG48"/>
  <c r="BH48"/>
  <c r="BI48"/>
  <c r="BJ48"/>
  <c r="BK48"/>
  <c r="BL48"/>
  <c r="BM48"/>
  <c r="BN48"/>
  <c r="BO48"/>
  <c r="BP48"/>
  <c r="BQ48"/>
  <c r="BR48"/>
  <c r="BS48"/>
  <c r="BT48"/>
  <c r="BU48"/>
  <c r="BV48"/>
  <c r="BW48"/>
  <c r="AZ49"/>
  <c r="BA49"/>
  <c r="BB49"/>
  <c r="BC49"/>
  <c r="BD49"/>
  <c r="BE49"/>
  <c r="BF49"/>
  <c r="BG49"/>
  <c r="BH49"/>
  <c r="BI49"/>
  <c r="BJ49"/>
  <c r="BK49"/>
  <c r="BL49"/>
  <c r="BM49"/>
  <c r="BN49"/>
  <c r="BO49"/>
  <c r="BP49"/>
  <c r="BQ49"/>
  <c r="BR49"/>
  <c r="BS49"/>
  <c r="BT49"/>
  <c r="BU49"/>
  <c r="BV49"/>
  <c r="BW49"/>
  <c r="AZ50"/>
  <c r="BA50"/>
  <c r="BB50"/>
  <c r="BC50"/>
  <c r="BD50"/>
  <c r="BE50"/>
  <c r="BF50"/>
  <c r="BG50"/>
  <c r="BH50"/>
  <c r="BI50"/>
  <c r="BJ50"/>
  <c r="BK50"/>
  <c r="BL50"/>
  <c r="BM50"/>
  <c r="BN50"/>
  <c r="BO50"/>
  <c r="BP50"/>
  <c r="BQ50"/>
  <c r="BR50"/>
  <c r="BS50"/>
  <c r="BT50"/>
  <c r="BU50"/>
  <c r="BV50"/>
  <c r="BW50"/>
  <c r="AZ51"/>
  <c r="BA51"/>
  <c r="BB51"/>
  <c r="BC51"/>
  <c r="BD51"/>
  <c r="BE51"/>
  <c r="BF51"/>
  <c r="BG51"/>
  <c r="BH51"/>
  <c r="BI51"/>
  <c r="BJ51"/>
  <c r="BK51"/>
  <c r="BL51"/>
  <c r="BM51"/>
  <c r="BN51"/>
  <c r="BO51"/>
  <c r="BP51"/>
  <c r="BQ51"/>
  <c r="BR51"/>
  <c r="BS51"/>
  <c r="BT51"/>
  <c r="BU51"/>
  <c r="BV51"/>
  <c r="BW51"/>
  <c r="AZ52"/>
  <c r="BA52"/>
  <c r="BB52"/>
  <c r="BC52"/>
  <c r="BD52"/>
  <c r="BE52"/>
  <c r="BF52"/>
  <c r="BG52"/>
  <c r="BH52"/>
  <c r="BI52"/>
  <c r="BJ52"/>
  <c r="BK52"/>
  <c r="BL52"/>
  <c r="BM52"/>
  <c r="BN52"/>
  <c r="BO52"/>
  <c r="BP52"/>
  <c r="BQ52"/>
  <c r="BR52"/>
  <c r="BS52"/>
  <c r="BT52"/>
  <c r="BU52"/>
  <c r="BV52"/>
  <c r="BW52"/>
  <c r="AZ53"/>
  <c r="BA53"/>
  <c r="BB53"/>
  <c r="BC53"/>
  <c r="BD53"/>
  <c r="BE53"/>
  <c r="BF53"/>
  <c r="BG53"/>
  <c r="BH53"/>
  <c r="BI53"/>
  <c r="BJ53"/>
  <c r="BK53"/>
  <c r="BL53"/>
  <c r="BM53"/>
  <c r="BN53"/>
  <c r="BO53"/>
  <c r="BP53"/>
  <c r="BQ53"/>
  <c r="BR53"/>
  <c r="BS53"/>
  <c r="BT53"/>
  <c r="BU53"/>
  <c r="BV53"/>
  <c r="BW53"/>
  <c r="AZ54"/>
  <c r="BA54"/>
  <c r="BB54"/>
  <c r="BC54"/>
  <c r="BD54"/>
  <c r="BE54"/>
  <c r="BF54"/>
  <c r="BG54"/>
  <c r="BH54"/>
  <c r="BI54"/>
  <c r="BJ54"/>
  <c r="BK54"/>
  <c r="BL54"/>
  <c r="BM54"/>
  <c r="BN54"/>
  <c r="BO54"/>
  <c r="BP54"/>
  <c r="BQ54"/>
  <c r="BR54"/>
  <c r="BS54"/>
  <c r="BT54"/>
  <c r="BU54"/>
  <c r="BV54"/>
  <c r="BW54"/>
  <c r="AZ55"/>
  <c r="BA55"/>
  <c r="BB55"/>
  <c r="BC55"/>
  <c r="BD55"/>
  <c r="BE55"/>
  <c r="BF55"/>
  <c r="BG55"/>
  <c r="BH55"/>
  <c r="BI55"/>
  <c r="BJ55"/>
  <c r="BK55"/>
  <c r="BL55"/>
  <c r="BM55"/>
  <c r="BN55"/>
  <c r="BO55"/>
  <c r="BP55"/>
  <c r="BQ55"/>
  <c r="BR55"/>
  <c r="BS55"/>
  <c r="BT55"/>
  <c r="BU55"/>
  <c r="BV55"/>
  <c r="BW55"/>
  <c r="AZ56"/>
  <c r="BA56"/>
  <c r="BB56"/>
  <c r="BC56"/>
  <c r="BD56"/>
  <c r="BE56"/>
  <c r="BF56"/>
  <c r="BG56"/>
  <c r="BH56"/>
  <c r="BI56"/>
  <c r="BJ56"/>
  <c r="BK56"/>
  <c r="BL56"/>
  <c r="BM56"/>
  <c r="BN56"/>
  <c r="BO56"/>
  <c r="BP56"/>
  <c r="BQ56"/>
  <c r="BR56"/>
  <c r="BS56"/>
  <c r="BT56"/>
  <c r="BU56"/>
  <c r="BV56"/>
  <c r="BW56"/>
  <c r="AZ57"/>
  <c r="BA57"/>
  <c r="BB57"/>
  <c r="BC57"/>
  <c r="BD57"/>
  <c r="BE57"/>
  <c r="BF57"/>
  <c r="BG57"/>
  <c r="BH57"/>
  <c r="BI57"/>
  <c r="BJ57"/>
  <c r="BK57"/>
  <c r="BL57"/>
  <c r="BM57"/>
  <c r="BN57"/>
  <c r="BO57"/>
  <c r="BP57"/>
  <c r="BQ57"/>
  <c r="BR57"/>
  <c r="BS57"/>
  <c r="BT57"/>
  <c r="BU57"/>
  <c r="BV57"/>
  <c r="BW57"/>
  <c r="AZ58"/>
  <c r="BA58"/>
  <c r="BB58"/>
  <c r="BC58"/>
  <c r="BD58"/>
  <c r="BE58"/>
  <c r="BF58"/>
  <c r="BG58"/>
  <c r="BH58"/>
  <c r="BI58"/>
  <c r="BJ58"/>
  <c r="BK58"/>
  <c r="BL58"/>
  <c r="BM58"/>
  <c r="BN58"/>
  <c r="BO58"/>
  <c r="BP58"/>
  <c r="BQ58"/>
  <c r="BR58"/>
  <c r="BS58"/>
  <c r="BT58"/>
  <c r="BU58"/>
  <c r="BV58"/>
  <c r="BW58"/>
  <c r="AZ59"/>
  <c r="BA59"/>
  <c r="BB59"/>
  <c r="BC59"/>
  <c r="BD59"/>
  <c r="BE59"/>
  <c r="BF59"/>
  <c r="BG59"/>
  <c r="BH59"/>
  <c r="BI59"/>
  <c r="BJ59"/>
  <c r="BK59"/>
  <c r="BL59"/>
  <c r="BM59"/>
  <c r="BN59"/>
  <c r="BO59"/>
  <c r="BP59"/>
  <c r="BQ59"/>
  <c r="BR59"/>
  <c r="BS59"/>
  <c r="BT59"/>
  <c r="BU59"/>
  <c r="BV59"/>
  <c r="BW59"/>
  <c r="AZ60"/>
  <c r="BA60"/>
  <c r="BB60"/>
  <c r="BC60"/>
  <c r="BD60"/>
  <c r="BE60"/>
  <c r="BF60"/>
  <c r="BG60"/>
  <c r="BH60"/>
  <c r="BI60"/>
  <c r="BJ60"/>
  <c r="BK60"/>
  <c r="BL60"/>
  <c r="BM60"/>
  <c r="BN60"/>
  <c r="BO60"/>
  <c r="BP60"/>
  <c r="BQ60"/>
  <c r="BR60"/>
  <c r="BS60"/>
  <c r="BT60"/>
  <c r="BU60"/>
  <c r="BV60"/>
  <c r="BW60"/>
  <c r="AZ61"/>
  <c r="BA61"/>
  <c r="BB61"/>
  <c r="BC61"/>
  <c r="BD61"/>
  <c r="BE61"/>
  <c r="BF61"/>
  <c r="BG61"/>
  <c r="BH61"/>
  <c r="BI61"/>
  <c r="BJ61"/>
  <c r="BK61"/>
  <c r="BL61"/>
  <c r="BM61"/>
  <c r="BN61"/>
  <c r="BO61"/>
  <c r="BP61"/>
  <c r="BQ61"/>
  <c r="BR61"/>
  <c r="BS61"/>
  <c r="BT61"/>
  <c r="BU61"/>
  <c r="BV61"/>
  <c r="BW61"/>
  <c r="AZ62"/>
  <c r="BA62"/>
  <c r="BB62"/>
  <c r="BC62"/>
  <c r="BD62"/>
  <c r="BE62"/>
  <c r="BF62"/>
  <c r="BG62"/>
  <c r="BH62"/>
  <c r="BI62"/>
  <c r="BJ62"/>
  <c r="BK62"/>
  <c r="BL62"/>
  <c r="BM62"/>
  <c r="BN62"/>
  <c r="BO62"/>
  <c r="BP62"/>
  <c r="BQ62"/>
  <c r="BR62"/>
  <c r="BS62"/>
  <c r="BT62"/>
  <c r="BU62"/>
  <c r="BV62"/>
  <c r="BW62"/>
  <c r="AZ63"/>
  <c r="BA63"/>
  <c r="BB63"/>
  <c r="BC63"/>
  <c r="BD63"/>
  <c r="BE63"/>
  <c r="BF63"/>
  <c r="BG63"/>
  <c r="BH63"/>
  <c r="BI63"/>
  <c r="BJ63"/>
  <c r="BK63"/>
  <c r="BL63"/>
  <c r="BM63"/>
  <c r="BN63"/>
  <c r="BO63"/>
  <c r="BP63"/>
  <c r="BQ63"/>
  <c r="BR63"/>
  <c r="BS63"/>
  <c r="BT63"/>
  <c r="BU63"/>
  <c r="BV63"/>
  <c r="BW63"/>
  <c r="AZ64"/>
  <c r="BA64"/>
  <c r="BB64"/>
  <c r="BC64"/>
  <c r="BD64"/>
  <c r="BE64"/>
  <c r="BF64"/>
  <c r="BG64"/>
  <c r="BH64"/>
  <c r="BI64"/>
  <c r="BJ64"/>
  <c r="BK64"/>
  <c r="BL64"/>
  <c r="BM64"/>
  <c r="BN64"/>
  <c r="BO64"/>
  <c r="BP64"/>
  <c r="BQ64"/>
  <c r="BR64"/>
  <c r="BS64"/>
  <c r="BT64"/>
  <c r="BU64"/>
  <c r="BV64"/>
  <c r="BW64"/>
  <c r="AZ65"/>
  <c r="BA65"/>
  <c r="BB65"/>
  <c r="BC65"/>
  <c r="BD65"/>
  <c r="BE65"/>
  <c r="BF65"/>
  <c r="BG65"/>
  <c r="BH65"/>
  <c r="BI65"/>
  <c r="BJ65"/>
  <c r="BK65"/>
  <c r="BL65"/>
  <c r="BM65"/>
  <c r="BN65"/>
  <c r="BO65"/>
  <c r="BP65"/>
  <c r="BQ65"/>
  <c r="BR65"/>
  <c r="BS65"/>
  <c r="BT65"/>
  <c r="BU65"/>
  <c r="BV65"/>
  <c r="BW65"/>
  <c r="AZ66"/>
  <c r="BA66"/>
  <c r="BB66"/>
  <c r="BC66"/>
  <c r="BD66"/>
  <c r="BE66"/>
  <c r="BF66"/>
  <c r="BG66"/>
  <c r="BH66"/>
  <c r="BI66"/>
  <c r="BJ66"/>
  <c r="BK66"/>
  <c r="BL66"/>
  <c r="BM66"/>
  <c r="BN66"/>
  <c r="BO66"/>
  <c r="BP66"/>
  <c r="BQ66"/>
  <c r="BR66"/>
  <c r="BS66"/>
  <c r="BT66"/>
  <c r="BU66"/>
  <c r="BV66"/>
  <c r="BW66"/>
  <c r="BR9"/>
  <c r="CP9" s="1"/>
  <c r="BS9"/>
  <c r="BT9"/>
  <c r="CR9" s="1"/>
  <c r="BU9"/>
  <c r="BV9"/>
  <c r="CT9" s="1"/>
  <c r="BW9"/>
  <c r="BJ9"/>
  <c r="CH9" s="1"/>
  <c r="BK9"/>
  <c r="BL9"/>
  <c r="CJ9" s="1"/>
  <c r="BM9"/>
  <c r="BN9"/>
  <c r="CL9" s="1"/>
  <c r="BO9"/>
  <c r="BP9"/>
  <c r="CN9" s="1"/>
  <c r="BQ9"/>
  <c r="BA9"/>
  <c r="BB9"/>
  <c r="BC9"/>
  <c r="CA9" s="1"/>
  <c r="BD9"/>
  <c r="BE9"/>
  <c r="BF9"/>
  <c r="BG9"/>
  <c r="CE9" s="1"/>
  <c r="EB9" s="1"/>
  <c r="BH9"/>
  <c r="BI9"/>
  <c r="DF9" s="1"/>
  <c r="BZ9"/>
  <c r="CB9"/>
  <c r="CZ9" s="1"/>
  <c r="CD9"/>
  <c r="CF9"/>
  <c r="CI9"/>
  <c r="DG9" s="1"/>
  <c r="CK9"/>
  <c r="CM9"/>
  <c r="DK9" s="1"/>
  <c r="CO9"/>
  <c r="CQ9"/>
  <c r="DO9" s="1"/>
  <c r="CS9"/>
  <c r="CU9"/>
  <c r="DS9" s="1"/>
  <c r="DD9"/>
  <c r="DI9"/>
  <c r="DM9"/>
  <c r="DQ9"/>
  <c r="AZ9"/>
  <c r="BX9" s="1"/>
  <c r="DX9" l="1"/>
  <c r="DB9"/>
  <c r="CX9"/>
  <c r="EE9"/>
  <c r="CG9"/>
  <c r="CC9"/>
  <c r="BY9"/>
  <c r="CV9"/>
  <c r="DL9"/>
  <c r="EK9"/>
  <c r="DN9"/>
  <c r="EM9"/>
  <c r="DJ9"/>
  <c r="EI9"/>
  <c r="DH9"/>
  <c r="EF9" s="1"/>
  <c r="EG9"/>
  <c r="DR9"/>
  <c r="EQ9"/>
  <c r="DP9"/>
  <c r="EO9"/>
  <c r="EN9"/>
  <c r="EJ9"/>
  <c r="EP9"/>
  <c r="EL9"/>
  <c r="EH9"/>
  <c r="ED9"/>
  <c r="DZ9"/>
  <c r="DV9"/>
  <c r="CW9"/>
  <c r="ET9" s="1"/>
  <c r="DE9"/>
  <c r="EC9" s="1"/>
  <c r="DC9"/>
  <c r="EA9" s="1"/>
  <c r="DA9"/>
  <c r="DY9" s="1"/>
  <c r="CY9"/>
  <c r="EV9" s="1"/>
  <c r="DT9" l="1"/>
  <c r="ER9" s="1"/>
  <c r="DW9"/>
  <c r="EU9" s="1"/>
  <c r="DU9"/>
  <c r="ES9" s="1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2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<sst xmlns="http://schemas.openxmlformats.org/spreadsheetml/2006/main" count="309" uniqueCount="157">
  <si>
    <t>Соотношение заемных и собственных средств (нормальное ограничение меньше либо равно 100%)</t>
  </si>
  <si>
    <t>А</t>
  </si>
  <si>
    <t>в процентах</t>
  </si>
  <si>
    <t>Продолжение</t>
  </si>
  <si>
    <t>Доля имущества производственного назначения в валюте баланса</t>
  </si>
  <si>
    <t>Коэффициент обеспеченности собственными оборотными средствами</t>
  </si>
  <si>
    <t>Коэффициент абсолютной ликвидности (нормальное ограничение 20 %)</t>
  </si>
  <si>
    <t>Коэффициент текущей ликвидности (покрытия) (нормальное ограничение 200 %)</t>
  </si>
  <si>
    <t>Наименование</t>
  </si>
  <si>
    <t>Б</t>
  </si>
  <si>
    <t>Код</t>
  </si>
  <si>
    <t xml:space="preserve">Коэффициент маневренности (доля собственных оборотных средств к источнику собственных средств) </t>
  </si>
  <si>
    <t>Коэффициент ликвидности (нормальное ограничение 80 %)</t>
  </si>
  <si>
    <t>Соотношение собственных и заемных средств</t>
  </si>
  <si>
    <t>на конец отчетного года</t>
  </si>
  <si>
    <t>на конец предыду-щего года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</si>
  <si>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</si>
  <si>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</si>
  <si>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</si>
  <si>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</si>
  <si>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</si>
  <si>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</si>
  <si>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</si>
  <si>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</si>
  <si>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</si>
  <si>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</si>
  <si>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</si>
  <si>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</si>
  <si>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</si>
  <si>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</si>
  <si>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</si>
  <si>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</si>
  <si>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</si>
  <si>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</si>
  <si>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Коэффициент автономии (доля собственных средств в валюте баланса) (нормальное ограничение больше либо равно 50 %)</t>
  </si>
  <si>
    <t>Доля источников финан-сирования (источники собственных средств и долгосрочные обязатель-ства) в валюте баланса</t>
  </si>
  <si>
    <t>Доля долгосрочных обязательств к источ-нику собственных средств и долгосроч-ным обязательствам</t>
  </si>
  <si>
    <t>Коэффициент обеспе-ченности собствен-ными материальными оборотными средствами</t>
  </si>
  <si>
    <t>Финансовая устойчивость и платежеспособность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</si>
  <si>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</si>
  <si>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</si>
  <si>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</si>
  <si>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</si>
  <si>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</si>
  <si>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</si>
  <si>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</si>
  <si>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</si>
  <si>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</si>
  <si>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</si>
  <si>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</si>
  <si>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</si>
  <si>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Производство пищевых продуктов</t>
  </si>
  <si>
    <t>Производство напитков</t>
  </si>
  <si>
    <t>32</t>
  </si>
  <si>
    <t>Производство прочих готовых изделий</t>
  </si>
  <si>
    <t>-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</si>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</sst>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0"/>
      <name val="Arial Cyr"/>
      <charset val="204"/>
    </font>
    <font>
      <sz val="10"/>
      <name val="Times New Roman CYR"/>
      <family val="1"/>
      <charset val="204"/>
    </font>
    <font>
      <sz val="8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name val="Times New Roman"/>
      <family val="1"/>
    </font>
    <font>
      <b/>
      <sz val="10"/>
      <name val="Times New Roman CYR"/>
      <charset val="204"/>
    </font>
    <font>
      <sz val="12"/>
      <name val="Times New Roman"/>
      <family val="1"/>
      <charset val="204"/>
    </font>
    <font>
      <sz val="10"/>
      <color rgb="FFFF0000"/>
      <name val="Times New Roman CYR"/>
      <family val="1"/>
      <charset val="204"/>
    </font>
    <font>
      <sz val="8"/>
      <color rgb="FFFF0000"/>
      <name val="Times New Roman CYR"/>
      <family val="1"/>
      <charset val="204"/>
    </font>
    <font>
      <b/>
      <sz val="10"/>
      <color rgb="FFFF0000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wrapText="1"/>
    </xf>
    <xf numFmtId="164" fontId="5" fillId="0" borderId="0" xfId="0" applyNumberFormat="1" applyFont="1" applyAlignment="1">
      <alignment horizontal="right"/>
    </xf>
    <xf numFmtId="0" fontId="5" fillId="0" borderId="0" xfId="0" applyFont="1"/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/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164" fontId="5" fillId="0" borderId="0" xfId="0" applyNumberFormat="1" applyFont="1"/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center" vertical="center" wrapText="1"/>
    </xf>
    <xf numFmtId="0" fontId="9" fillId="0" borderId="0" xfId="0" applyFont="1"/>
    <xf numFmtId="164" fontId="9" fillId="0" borderId="0" xfId="0" applyNumberFormat="1" applyFont="1"/>
    <xf numFmtId="0" fontId="7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V66"/>
  <sheetViews>
    <sheetView tabSelected="1" zoomScaleNormal="100" workbookViewId="0">
      <pane xSplit="2" ySplit="7" topLeftCell="AN8" activePane="bottomRight" state="frozen"/>
      <selection pane="topRight" activeCell="C1" sqref="C1"/>
      <selection pane="bottomLeft" activeCell="A8" sqref="A8"/>
      <selection pane="bottomRight" activeCell="BP1" sqref="BK1:BP1048576"/>
    </sheetView>
  </sheetViews>
  <sheetFormatPr defaultColWidth="8.85546875" defaultRowHeight="12.75"/>
  <cols>
    <col min="1" max="1" width="14" style="3" customWidth="1"/>
    <col min="2" max="2" width="40.28515625" style="4" customWidth="1"/>
    <col min="3" max="4" width="9.42578125" style="2" customWidth="1"/>
    <col min="5" max="6" width="11.140625" style="2" customWidth="1"/>
    <col min="7" max="7" width="10.28515625" style="2" customWidth="1"/>
    <col min="8" max="8" width="10.5703125" style="2" customWidth="1"/>
    <col min="9" max="16" width="9.42578125" style="2" customWidth="1"/>
    <col min="17" max="17" width="10.5703125" style="2" customWidth="1"/>
    <col min="18" max="18" width="10.28515625" style="2" customWidth="1"/>
    <col min="19" max="19" width="9.7109375" style="2" customWidth="1"/>
    <col min="20" max="20" width="10.28515625" style="2" customWidth="1"/>
    <col min="21" max="21" width="10" style="2" customWidth="1"/>
    <col min="22" max="22" width="9.140625" style="2" customWidth="1"/>
    <col min="23" max="23" width="9.85546875" style="2" customWidth="1"/>
    <col min="24" max="24" width="10.140625" style="2" customWidth="1"/>
    <col min="25" max="25" width="10.28515625" style="2" customWidth="1"/>
    <col min="26" max="26" width="9.42578125" style="2" customWidth="1"/>
    <col min="27" max="51" width="8.85546875" style="1"/>
    <col min="52" max="68" width="8.85546875" style="35"/>
    <col min="69" max="16384" width="8.85546875" style="1"/>
  </cols>
  <sheetData>
    <row r="1" spans="1:152" s="5" customFormat="1" ht="37.9" customHeight="1">
      <c r="C1" s="14" t="s">
        <v>38</v>
      </c>
      <c r="D1" s="14"/>
      <c r="E1" s="14"/>
      <c r="F1" s="14"/>
      <c r="G1" s="14"/>
      <c r="H1" s="14"/>
      <c r="I1" s="15"/>
      <c r="J1" s="15"/>
      <c r="K1" s="14" t="s">
        <v>38</v>
      </c>
      <c r="L1" s="15"/>
      <c r="M1" s="15"/>
      <c r="N1" s="15"/>
      <c r="O1" s="15"/>
      <c r="P1" s="15"/>
      <c r="Q1" s="15"/>
      <c r="R1" s="15"/>
      <c r="S1" s="14" t="s">
        <v>38</v>
      </c>
      <c r="T1" s="15"/>
      <c r="U1" s="15"/>
      <c r="V1" s="15"/>
      <c r="W1" s="15"/>
      <c r="X1" s="15"/>
      <c r="Y1" s="15"/>
      <c r="Z1" s="15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</row>
    <row r="2" spans="1:152" s="5" customFormat="1" ht="17.45" customHeight="1">
      <c r="C2" s="16" t="s">
        <v>40</v>
      </c>
      <c r="D2" s="16"/>
      <c r="E2" s="16"/>
      <c r="F2" s="16"/>
      <c r="G2" s="15"/>
      <c r="H2" s="15"/>
      <c r="I2" s="15"/>
      <c r="J2" s="15"/>
      <c r="K2" s="16" t="s">
        <v>40</v>
      </c>
      <c r="L2" s="16"/>
      <c r="M2" s="16"/>
      <c r="N2" s="16"/>
      <c r="O2" s="16"/>
      <c r="P2" s="16"/>
      <c r="Q2" s="16"/>
      <c r="R2" s="16"/>
      <c r="S2" s="16" t="s">
        <v>40</v>
      </c>
      <c r="T2" s="15"/>
      <c r="U2" s="15"/>
      <c r="V2" s="15"/>
      <c r="W2" s="15"/>
      <c r="X2" s="15"/>
      <c r="Y2" s="15"/>
      <c r="Z2" s="15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</row>
    <row r="3" spans="1:152" s="5" customFormat="1" ht="18.600000000000001" customHeight="1">
      <c r="C3" s="16" t="s">
        <v>39</v>
      </c>
      <c r="D3" s="16"/>
      <c r="E3" s="16"/>
      <c r="F3" s="16"/>
      <c r="G3" s="15"/>
      <c r="H3" s="15"/>
      <c r="I3" s="15"/>
      <c r="J3" s="15"/>
      <c r="K3" s="16" t="s">
        <v>39</v>
      </c>
      <c r="L3" s="16"/>
      <c r="M3" s="16"/>
      <c r="N3" s="16"/>
      <c r="O3" s="16"/>
      <c r="P3" s="16"/>
      <c r="Q3" s="16"/>
      <c r="R3" s="16"/>
      <c r="S3" s="16" t="s">
        <v>39</v>
      </c>
      <c r="T3" s="15"/>
      <c r="U3" s="15"/>
      <c r="V3" s="15"/>
      <c r="W3" s="15"/>
      <c r="X3" s="15"/>
      <c r="Y3" s="15"/>
      <c r="Z3" s="15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</row>
    <row r="4" spans="1:152" s="5" customFormat="1" ht="16.149999999999999" customHeight="1">
      <c r="I4" s="17" t="s">
        <v>2</v>
      </c>
      <c r="J4" s="17"/>
      <c r="O4" s="17"/>
      <c r="P4" s="17"/>
      <c r="Q4" s="17" t="s">
        <v>3</v>
      </c>
      <c r="R4" s="17"/>
      <c r="W4" s="20" t="s">
        <v>3</v>
      </c>
      <c r="X4" s="20"/>
      <c r="Y4" s="21"/>
      <c r="Z4" s="21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</row>
    <row r="5" spans="1:152" s="7" customFormat="1" ht="67.900000000000006" customHeight="1">
      <c r="A5" s="18" t="s">
        <v>10</v>
      </c>
      <c r="B5" s="18" t="s">
        <v>8</v>
      </c>
      <c r="C5" s="18" t="s">
        <v>0</v>
      </c>
      <c r="D5" s="22"/>
      <c r="E5" s="18" t="s">
        <v>34</v>
      </c>
      <c r="F5" s="19"/>
      <c r="G5" s="18" t="s">
        <v>11</v>
      </c>
      <c r="H5" s="19"/>
      <c r="I5" s="18" t="s">
        <v>4</v>
      </c>
      <c r="J5" s="19"/>
      <c r="K5" s="18" t="s">
        <v>37</v>
      </c>
      <c r="L5" s="19"/>
      <c r="M5" s="18" t="s">
        <v>5</v>
      </c>
      <c r="N5" s="19"/>
      <c r="O5" s="18" t="s">
        <v>36</v>
      </c>
      <c r="P5" s="19"/>
      <c r="Q5" s="18" t="s">
        <v>35</v>
      </c>
      <c r="R5" s="19"/>
      <c r="S5" s="18" t="s">
        <v>6</v>
      </c>
      <c r="T5" s="19"/>
      <c r="U5" s="18" t="s">
        <v>12</v>
      </c>
      <c r="V5" s="19"/>
      <c r="W5" s="18" t="s">
        <v>7</v>
      </c>
      <c r="X5" s="19"/>
      <c r="Y5" s="18" t="s">
        <v>13</v>
      </c>
      <c r="Z5" s="19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</row>
    <row r="6" spans="1:152" s="7" customFormat="1" ht="38.25">
      <c r="A6" s="18"/>
      <c r="B6" s="19"/>
      <c r="C6" s="9" t="s">
        <v>15</v>
      </c>
      <c r="D6" s="9" t="s">
        <v>14</v>
      </c>
      <c r="E6" s="9" t="s">
        <v>15</v>
      </c>
      <c r="F6" s="9" t="s">
        <v>14</v>
      </c>
      <c r="G6" s="9" t="s">
        <v>15</v>
      </c>
      <c r="H6" s="9" t="s">
        <v>14</v>
      </c>
      <c r="I6" s="9" t="s">
        <v>15</v>
      </c>
      <c r="J6" s="9" t="s">
        <v>14</v>
      </c>
      <c r="K6" s="9" t="s">
        <v>15</v>
      </c>
      <c r="L6" s="9" t="s">
        <v>14</v>
      </c>
      <c r="M6" s="9" t="s">
        <v>15</v>
      </c>
      <c r="N6" s="9" t="s">
        <v>14</v>
      </c>
      <c r="O6" s="9" t="s">
        <v>15</v>
      </c>
      <c r="P6" s="9" t="s">
        <v>14</v>
      </c>
      <c r="Q6" s="9" t="s">
        <v>15</v>
      </c>
      <c r="R6" s="9" t="s">
        <v>14</v>
      </c>
      <c r="S6" s="9" t="s">
        <v>15</v>
      </c>
      <c r="T6" s="9" t="s">
        <v>14</v>
      </c>
      <c r="U6" s="9" t="s">
        <v>15</v>
      </c>
      <c r="V6" s="9" t="s">
        <v>14</v>
      </c>
      <c r="W6" s="9" t="s">
        <v>15</v>
      </c>
      <c r="X6" s="9" t="s">
        <v>14</v>
      </c>
      <c r="Y6" s="9" t="s">
        <v>15</v>
      </c>
      <c r="Z6" s="9" t="s">
        <v>14</v>
      </c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</row>
    <row r="7" spans="1:152" s="8" customFormat="1" ht="11.25">
      <c r="A7" s="6" t="s">
        <v>1</v>
      </c>
      <c r="B7" s="6" t="s">
        <v>9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 t="s">
        <v>16</v>
      </c>
      <c r="J7" s="6" t="s">
        <v>17</v>
      </c>
      <c r="K7" s="6" t="s">
        <v>18</v>
      </c>
      <c r="L7" s="6" t="s">
        <v>19</v>
      </c>
      <c r="M7" s="6" t="s">
        <v>20</v>
      </c>
      <c r="N7" s="6" t="s">
        <v>21</v>
      </c>
      <c r="O7" s="6" t="s">
        <v>22</v>
      </c>
      <c r="P7" s="6" t="s">
        <v>23</v>
      </c>
      <c r="Q7" s="6" t="s">
        <v>24</v>
      </c>
      <c r="R7" s="6" t="s">
        <v>25</v>
      </c>
      <c r="S7" s="6" t="s">
        <v>26</v>
      </c>
      <c r="T7" s="6" t="s">
        <v>27</v>
      </c>
      <c r="U7" s="6" t="s">
        <v>28</v>
      </c>
      <c r="V7" s="6" t="s">
        <v>29</v>
      </c>
      <c r="W7" s="6" t="s">
        <v>30</v>
      </c>
      <c r="X7" s="6" t="s">
        <v>31</v>
      </c>
      <c r="Y7" s="6" t="s">
        <v>32</v>
      </c>
      <c r="Z7" s="6" t="s">
        <v>33</v>
      </c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</row>
    <row r="8" spans="1:152" s="13" customFormat="1" ht="13.5" thickBot="1">
      <c r="A8" s="10" t="s">
        <v>136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</row>
    <row r="9" spans="1:152" s="13" customFormat="1" ht="26.25">
      <c r="A9" s="10" t="s">
        <v>137</v>
      </c>
      <c r="B9" s="11" t="s">
        <v>41</v>
      </c>
      <c r="C9" s="12">
        <v>205.3</v>
      </c>
      <c r="D9" s="12">
        <v>298.8</v>
      </c>
      <c r="E9" s="12">
        <v>32.799999999999997</v>
      </c>
      <c r="F9" s="12">
        <v>25.1</v>
      </c>
      <c r="G9" s="12">
        <v>46.1</v>
      </c>
      <c r="H9" s="12">
        <v>76.2</v>
      </c>
      <c r="I9" s="12">
        <v>68.5</v>
      </c>
      <c r="J9" s="12">
        <v>63.5</v>
      </c>
      <c r="K9" s="12">
        <v>139</v>
      </c>
      <c r="L9" s="12">
        <v>204.2</v>
      </c>
      <c r="M9" s="12">
        <v>35.6</v>
      </c>
      <c r="N9" s="12">
        <v>41.7</v>
      </c>
      <c r="O9" s="12">
        <v>54.9</v>
      </c>
      <c r="P9" s="12">
        <v>65.8</v>
      </c>
      <c r="Q9" s="12">
        <v>72.7</v>
      </c>
      <c r="R9" s="12">
        <v>73.3</v>
      </c>
      <c r="S9" s="12">
        <v>41.2</v>
      </c>
      <c r="T9" s="12">
        <v>68.8</v>
      </c>
      <c r="U9" s="12">
        <v>115.5</v>
      </c>
      <c r="V9" s="12">
        <v>136.5</v>
      </c>
      <c r="W9" s="12">
        <v>155.30000000000001</v>
      </c>
      <c r="X9" s="12">
        <v>171.4</v>
      </c>
      <c r="Y9" s="12">
        <v>48.7</v>
      </c>
      <c r="Z9" s="12">
        <v>33.5</v>
      </c>
      <c r="AB9" s="23">
        <v>205.3</v>
      </c>
      <c r="AC9" s="24">
        <v>298.8</v>
      </c>
      <c r="AD9" s="24">
        <v>32.799999999999997</v>
      </c>
      <c r="AE9" s="24">
        <v>25.1</v>
      </c>
      <c r="AF9" s="24">
        <v>46.1</v>
      </c>
      <c r="AG9" s="24">
        <v>76.2</v>
      </c>
      <c r="AH9" s="24">
        <v>68.5</v>
      </c>
      <c r="AI9" s="24">
        <v>63.5</v>
      </c>
      <c r="AJ9" s="23">
        <v>139</v>
      </c>
      <c r="AK9" s="24">
        <v>204.2</v>
      </c>
      <c r="AL9" s="24">
        <v>35.6</v>
      </c>
      <c r="AM9" s="24">
        <v>41.7</v>
      </c>
      <c r="AN9" s="24">
        <v>54.9</v>
      </c>
      <c r="AO9" s="24">
        <v>65.8</v>
      </c>
      <c r="AP9" s="24">
        <v>72.7</v>
      </c>
      <c r="AQ9" s="24">
        <v>73.3</v>
      </c>
      <c r="AR9" s="23">
        <v>41.2</v>
      </c>
      <c r="AS9" s="24">
        <v>68.8</v>
      </c>
      <c r="AT9" s="24">
        <v>115.5</v>
      </c>
      <c r="AU9" s="24">
        <v>136.5</v>
      </c>
      <c r="AV9" s="24">
        <v>155.30000000000001</v>
      </c>
      <c r="AW9" s="24">
        <v>171.4</v>
      </c>
      <c r="AX9" s="24">
        <v>48.7</v>
      </c>
      <c r="AY9" s="24">
        <v>33.5</v>
      </c>
      <c r="AZ9" s="34">
        <f>C9-AB9</f>
        <v>0</v>
      </c>
      <c r="BA9" s="34">
        <f t="shared" ref="BA9:BI9" si="0">D9-AC9</f>
        <v>0</v>
      </c>
      <c r="BB9" s="34">
        <f t="shared" si="0"/>
        <v>0</v>
      </c>
      <c r="BC9" s="34">
        <f t="shared" si="0"/>
        <v>0</v>
      </c>
      <c r="BD9" s="34">
        <f t="shared" si="0"/>
        <v>0</v>
      </c>
      <c r="BE9" s="34">
        <f t="shared" si="0"/>
        <v>0</v>
      </c>
      <c r="BF9" s="34">
        <f t="shared" si="0"/>
        <v>0</v>
      </c>
      <c r="BG9" s="34">
        <f t="shared" si="0"/>
        <v>0</v>
      </c>
      <c r="BH9" s="34">
        <f t="shared" si="0"/>
        <v>0</v>
      </c>
      <c r="BI9" s="34">
        <f t="shared" si="0"/>
        <v>0</v>
      </c>
      <c r="BJ9" s="34">
        <f>M9-AL9</f>
        <v>0</v>
      </c>
      <c r="BK9" s="34">
        <f t="shared" ref="BK9" si="1">N9-AM9</f>
        <v>0</v>
      </c>
      <c r="BL9" s="34">
        <f t="shared" ref="BL9" si="2">O9-AN9</f>
        <v>0</v>
      </c>
      <c r="BM9" s="34">
        <f t="shared" ref="BM9" si="3">P9-AO9</f>
        <v>0</v>
      </c>
      <c r="BN9" s="34">
        <f t="shared" ref="BN9" si="4">Q9-AP9</f>
        <v>0</v>
      </c>
      <c r="BO9" s="34">
        <f t="shared" ref="BO9" si="5">R9-AQ9</f>
        <v>0</v>
      </c>
      <c r="BP9" s="34">
        <f t="shared" ref="BP9" si="6">S9-AR9</f>
        <v>0</v>
      </c>
      <c r="BQ9" s="29">
        <f t="shared" ref="BQ9" si="7">T9-AS9</f>
        <v>0</v>
      </c>
      <c r="BR9" s="29">
        <f>U9-AT9</f>
        <v>0</v>
      </c>
      <c r="BS9" s="29">
        <f t="shared" ref="BS9" si="8">V9-AU9</f>
        <v>0</v>
      </c>
      <c r="BT9" s="29">
        <f t="shared" ref="BT9" si="9">W9-AV9</f>
        <v>0</v>
      </c>
      <c r="BU9" s="29">
        <f t="shared" ref="BU9" si="10">X9-AW9</f>
        <v>0</v>
      </c>
      <c r="BV9" s="29">
        <f t="shared" ref="BV9" si="11">Y9-AX9</f>
        <v>0</v>
      </c>
      <c r="BW9" s="29">
        <f t="shared" ref="BW9" si="12">Z9-AY9</f>
        <v>0</v>
      </c>
      <c r="BX9" s="29">
        <f t="shared" ref="BA9:DL9" si="13">AA9-AZ9</f>
        <v>0</v>
      </c>
      <c r="BY9" s="29">
        <f t="shared" si="13"/>
        <v>205.3</v>
      </c>
      <c r="BZ9" s="29">
        <f t="shared" si="13"/>
        <v>298.8</v>
      </c>
      <c r="CA9" s="29">
        <f t="shared" si="13"/>
        <v>32.799999999999997</v>
      </c>
      <c r="CB9" s="29">
        <f t="shared" si="13"/>
        <v>25.1</v>
      </c>
      <c r="CC9" s="29">
        <f t="shared" si="13"/>
        <v>46.1</v>
      </c>
      <c r="CD9" s="29">
        <f t="shared" si="13"/>
        <v>76.2</v>
      </c>
      <c r="CE9" s="29">
        <f t="shared" si="13"/>
        <v>68.5</v>
      </c>
      <c r="CF9" s="29">
        <f t="shared" si="13"/>
        <v>63.5</v>
      </c>
      <c r="CG9" s="29">
        <f t="shared" si="13"/>
        <v>139</v>
      </c>
      <c r="CH9" s="29">
        <f t="shared" si="13"/>
        <v>204.2</v>
      </c>
      <c r="CI9" s="29">
        <f t="shared" si="13"/>
        <v>35.6</v>
      </c>
      <c r="CJ9" s="29">
        <f t="shared" si="13"/>
        <v>41.7</v>
      </c>
      <c r="CK9" s="29">
        <f t="shared" si="13"/>
        <v>54.9</v>
      </c>
      <c r="CL9" s="29">
        <f t="shared" si="13"/>
        <v>65.8</v>
      </c>
      <c r="CM9" s="29">
        <f t="shared" si="13"/>
        <v>72.7</v>
      </c>
      <c r="CN9" s="29">
        <f t="shared" si="13"/>
        <v>73.3</v>
      </c>
      <c r="CO9" s="29">
        <f t="shared" si="13"/>
        <v>41.2</v>
      </c>
      <c r="CP9" s="29">
        <f t="shared" si="13"/>
        <v>68.8</v>
      </c>
      <c r="CQ9" s="29">
        <f t="shared" si="13"/>
        <v>115.5</v>
      </c>
      <c r="CR9" s="29">
        <f t="shared" si="13"/>
        <v>136.5</v>
      </c>
      <c r="CS9" s="29">
        <f t="shared" si="13"/>
        <v>155.30000000000001</v>
      </c>
      <c r="CT9" s="29">
        <f t="shared" si="13"/>
        <v>171.4</v>
      </c>
      <c r="CU9" s="29">
        <f t="shared" si="13"/>
        <v>48.7</v>
      </c>
      <c r="CV9" s="29">
        <f t="shared" si="13"/>
        <v>33.5</v>
      </c>
      <c r="CW9" s="29">
        <f t="shared" si="13"/>
        <v>-205.3</v>
      </c>
      <c r="CX9" s="29">
        <f t="shared" si="13"/>
        <v>-298.8</v>
      </c>
      <c r="CY9" s="29">
        <f t="shared" si="13"/>
        <v>-32.799999999999997</v>
      </c>
      <c r="CZ9" s="29">
        <f t="shared" si="13"/>
        <v>-25.1</v>
      </c>
      <c r="DA9" s="29">
        <f t="shared" si="13"/>
        <v>-46.1</v>
      </c>
      <c r="DB9" s="29">
        <f t="shared" si="13"/>
        <v>-76.2</v>
      </c>
      <c r="DC9" s="29">
        <f t="shared" si="13"/>
        <v>-68.5</v>
      </c>
      <c r="DD9" s="29">
        <f t="shared" si="13"/>
        <v>-63.5</v>
      </c>
      <c r="DE9" s="29">
        <f t="shared" si="13"/>
        <v>-139</v>
      </c>
      <c r="DF9" s="29">
        <f t="shared" si="13"/>
        <v>-204.2</v>
      </c>
      <c r="DG9" s="29">
        <f t="shared" si="13"/>
        <v>-35.6</v>
      </c>
      <c r="DH9" s="29">
        <f t="shared" si="13"/>
        <v>-41.7</v>
      </c>
      <c r="DI9" s="29">
        <f t="shared" si="13"/>
        <v>-54.9</v>
      </c>
      <c r="DJ9" s="29">
        <f t="shared" si="13"/>
        <v>-65.8</v>
      </c>
      <c r="DK9" s="29">
        <f t="shared" si="13"/>
        <v>-72.7</v>
      </c>
      <c r="DL9" s="29">
        <f t="shared" si="13"/>
        <v>-73.3</v>
      </c>
      <c r="DM9" s="29">
        <f t="shared" ref="DM9:EV9" si="14">BP9-CO9</f>
        <v>-41.2</v>
      </c>
      <c r="DN9" s="29">
        <f t="shared" si="14"/>
        <v>-68.8</v>
      </c>
      <c r="DO9" s="29">
        <f t="shared" si="14"/>
        <v>-115.5</v>
      </c>
      <c r="DP9" s="29">
        <f t="shared" si="14"/>
        <v>-136.5</v>
      </c>
      <c r="DQ9" s="29">
        <f t="shared" si="14"/>
        <v>-155.30000000000001</v>
      </c>
      <c r="DR9" s="29">
        <f t="shared" si="14"/>
        <v>-171.4</v>
      </c>
      <c r="DS9" s="29">
        <f t="shared" si="14"/>
        <v>-48.7</v>
      </c>
      <c r="DT9" s="29">
        <f t="shared" si="14"/>
        <v>-33.5</v>
      </c>
      <c r="DU9" s="29">
        <f t="shared" si="14"/>
        <v>205.3</v>
      </c>
      <c r="DV9" s="29">
        <f t="shared" si="14"/>
        <v>504.1</v>
      </c>
      <c r="DW9" s="29">
        <f t="shared" si="14"/>
        <v>331.6</v>
      </c>
      <c r="DX9" s="29">
        <f t="shared" si="14"/>
        <v>57.9</v>
      </c>
      <c r="DY9" s="29">
        <f t="shared" si="14"/>
        <v>71.2</v>
      </c>
      <c r="DZ9" s="29">
        <f t="shared" si="14"/>
        <v>122.30000000000001</v>
      </c>
      <c r="EA9" s="29">
        <f t="shared" si="14"/>
        <v>144.69999999999999</v>
      </c>
      <c r="EB9" s="29">
        <f t="shared" si="14"/>
        <v>132</v>
      </c>
      <c r="EC9" s="29">
        <f t="shared" si="14"/>
        <v>202.5</v>
      </c>
      <c r="ED9" s="29">
        <f t="shared" si="14"/>
        <v>343.2</v>
      </c>
      <c r="EE9" s="29">
        <f t="shared" si="14"/>
        <v>239.79999999999998</v>
      </c>
      <c r="EF9" s="29">
        <f t="shared" si="14"/>
        <v>77.300000000000011</v>
      </c>
      <c r="EG9" s="29">
        <f t="shared" si="14"/>
        <v>96.6</v>
      </c>
      <c r="EH9" s="29">
        <f t="shared" si="14"/>
        <v>120.69999999999999</v>
      </c>
      <c r="EI9" s="29">
        <f t="shared" si="14"/>
        <v>138.5</v>
      </c>
      <c r="EJ9" s="29">
        <f t="shared" si="14"/>
        <v>146</v>
      </c>
      <c r="EK9" s="29">
        <f t="shared" si="14"/>
        <v>114.5</v>
      </c>
      <c r="EL9" s="29">
        <f t="shared" si="14"/>
        <v>110</v>
      </c>
      <c r="EM9" s="29">
        <f t="shared" si="14"/>
        <v>184.3</v>
      </c>
      <c r="EN9" s="29">
        <f t="shared" si="14"/>
        <v>252</v>
      </c>
      <c r="EO9" s="29">
        <f t="shared" si="14"/>
        <v>291.8</v>
      </c>
      <c r="EP9" s="29">
        <f t="shared" si="14"/>
        <v>326.70000000000005</v>
      </c>
      <c r="EQ9" s="29">
        <f t="shared" si="14"/>
        <v>220.10000000000002</v>
      </c>
      <c r="ER9" s="29">
        <f t="shared" si="14"/>
        <v>82.2</v>
      </c>
      <c r="ES9" s="29">
        <f t="shared" si="14"/>
        <v>-171.8</v>
      </c>
      <c r="ET9" s="29">
        <f t="shared" si="14"/>
        <v>-709.40000000000009</v>
      </c>
      <c r="EU9" s="29">
        <f t="shared" si="14"/>
        <v>-630.40000000000009</v>
      </c>
      <c r="EV9" s="29">
        <f t="shared" si="14"/>
        <v>-90.699999999999989</v>
      </c>
    </row>
    <row r="10" spans="1:152" s="13" customFormat="1" ht="26.25">
      <c r="A10" s="10" t="s">
        <v>138</v>
      </c>
      <c r="B10" s="11" t="s">
        <v>42</v>
      </c>
      <c r="C10" s="12">
        <v>209.7</v>
      </c>
      <c r="D10" s="12">
        <v>245.8</v>
      </c>
      <c r="E10" s="12">
        <v>32.299999999999997</v>
      </c>
      <c r="F10" s="12">
        <v>28.9</v>
      </c>
      <c r="G10" s="12">
        <v>74.2</v>
      </c>
      <c r="H10" s="12">
        <v>77.099999999999994</v>
      </c>
      <c r="I10" s="12">
        <v>65</v>
      </c>
      <c r="J10" s="12">
        <v>64.099999999999994</v>
      </c>
      <c r="K10" s="12">
        <v>277</v>
      </c>
      <c r="L10" s="12">
        <v>237.9</v>
      </c>
      <c r="M10" s="12">
        <v>54.9</v>
      </c>
      <c r="N10" s="12">
        <v>49.3</v>
      </c>
      <c r="O10" s="12">
        <v>59.8</v>
      </c>
      <c r="P10" s="12">
        <v>62.5</v>
      </c>
      <c r="Q10" s="12">
        <v>80.3</v>
      </c>
      <c r="R10" s="12">
        <v>77.099999999999994</v>
      </c>
      <c r="S10" s="12">
        <v>80.599999999999994</v>
      </c>
      <c r="T10" s="12">
        <v>78.3</v>
      </c>
      <c r="U10" s="12">
        <v>177.6</v>
      </c>
      <c r="V10" s="12">
        <v>156.4</v>
      </c>
      <c r="W10" s="12">
        <v>221.5</v>
      </c>
      <c r="X10" s="12">
        <v>197.3</v>
      </c>
      <c r="Y10" s="12">
        <v>47.7</v>
      </c>
      <c r="Z10" s="12">
        <v>40.700000000000003</v>
      </c>
      <c r="AB10" s="25">
        <v>209.7</v>
      </c>
      <c r="AC10" s="26">
        <v>245.8</v>
      </c>
      <c r="AD10" s="26">
        <v>32.299999999999997</v>
      </c>
      <c r="AE10" s="26">
        <v>28.9</v>
      </c>
      <c r="AF10" s="26">
        <v>74.2</v>
      </c>
      <c r="AG10" s="26">
        <v>77.099999999999994</v>
      </c>
      <c r="AH10" s="26">
        <v>65</v>
      </c>
      <c r="AI10" s="26">
        <v>64.099999999999994</v>
      </c>
      <c r="AJ10" s="25">
        <v>277</v>
      </c>
      <c r="AK10" s="26">
        <v>237.9</v>
      </c>
      <c r="AL10" s="26">
        <v>54.9</v>
      </c>
      <c r="AM10" s="26">
        <v>49.3</v>
      </c>
      <c r="AN10" s="26">
        <v>59.8</v>
      </c>
      <c r="AO10" s="26">
        <v>62.5</v>
      </c>
      <c r="AP10" s="26">
        <v>80.3</v>
      </c>
      <c r="AQ10" s="26">
        <v>77.099999999999994</v>
      </c>
      <c r="AR10" s="25">
        <v>80.599999999999994</v>
      </c>
      <c r="AS10" s="26">
        <v>78.3</v>
      </c>
      <c r="AT10" s="26">
        <v>177.6</v>
      </c>
      <c r="AU10" s="26">
        <v>156.4</v>
      </c>
      <c r="AV10" s="26">
        <v>221.5</v>
      </c>
      <c r="AW10" s="26">
        <v>197.3</v>
      </c>
      <c r="AX10" s="26">
        <v>47.7</v>
      </c>
      <c r="AY10" s="26">
        <v>40.700000000000003</v>
      </c>
      <c r="AZ10" s="34">
        <f t="shared" ref="AZ10:AZ66" si="15">C10-AB10</f>
        <v>0</v>
      </c>
      <c r="BA10" s="34">
        <f t="shared" ref="BA10:BA66" si="16">D10-AC10</f>
        <v>0</v>
      </c>
      <c r="BB10" s="34">
        <f t="shared" ref="BB10:BB66" si="17">E10-AD10</f>
        <v>0</v>
      </c>
      <c r="BC10" s="34">
        <f t="shared" ref="BC10:BC66" si="18">F10-AE10</f>
        <v>0</v>
      </c>
      <c r="BD10" s="34">
        <f t="shared" ref="BD10:BD66" si="19">G10-AF10</f>
        <v>0</v>
      </c>
      <c r="BE10" s="34">
        <f t="shared" ref="BE10:BE66" si="20">H10-AG10</f>
        <v>0</v>
      </c>
      <c r="BF10" s="34">
        <f t="shared" ref="BF10:BF66" si="21">I10-AH10</f>
        <v>0</v>
      </c>
      <c r="BG10" s="34">
        <f t="shared" ref="BG10:BG66" si="22">J10-AI10</f>
        <v>0</v>
      </c>
      <c r="BH10" s="34">
        <f t="shared" ref="BH10:BH66" si="23">K10-AJ10</f>
        <v>0</v>
      </c>
      <c r="BI10" s="34">
        <f t="shared" ref="BI10:BI66" si="24">L10-AK10</f>
        <v>0</v>
      </c>
      <c r="BJ10" s="34">
        <f t="shared" ref="BJ10:BJ66" si="25">M10-AL10</f>
        <v>0</v>
      </c>
      <c r="BK10" s="34">
        <f t="shared" ref="BK10:BK66" si="26">N10-AM10</f>
        <v>0</v>
      </c>
      <c r="BL10" s="34">
        <f t="shared" ref="BL10:BL66" si="27">O10-AN10</f>
        <v>0</v>
      </c>
      <c r="BM10" s="34">
        <f t="shared" ref="BM10:BM66" si="28">P10-AO10</f>
        <v>0</v>
      </c>
      <c r="BN10" s="34">
        <f t="shared" ref="BN10:BN66" si="29">Q10-AP10</f>
        <v>0</v>
      </c>
      <c r="BO10" s="34">
        <f t="shared" ref="BO10:BO66" si="30">R10-AQ10</f>
        <v>0</v>
      </c>
      <c r="BP10" s="34">
        <f t="shared" ref="BP10:BP66" si="31">S10-AR10</f>
        <v>0</v>
      </c>
      <c r="BQ10" s="29">
        <f t="shared" ref="BQ10:BQ66" si="32">T10-AS10</f>
        <v>0</v>
      </c>
      <c r="BR10" s="29">
        <f t="shared" ref="BR10:BR66" si="33">U10-AT10</f>
        <v>0</v>
      </c>
      <c r="BS10" s="29">
        <f t="shared" ref="BS10:BS66" si="34">V10-AU10</f>
        <v>0</v>
      </c>
      <c r="BT10" s="29">
        <f t="shared" ref="BT10:BT66" si="35">W10-AV10</f>
        <v>0</v>
      </c>
      <c r="BU10" s="29">
        <f t="shared" ref="BU10:BU66" si="36">X10-AW10</f>
        <v>0</v>
      </c>
      <c r="BV10" s="29">
        <f t="shared" ref="BV10:BV66" si="37">Y10-AX10</f>
        <v>0</v>
      </c>
      <c r="BW10" s="29">
        <f t="shared" ref="BW10:BW66" si="38">Z10-AY10</f>
        <v>0</v>
      </c>
    </row>
    <row r="11" spans="1:152" ht="39">
      <c r="A11" s="3" t="s">
        <v>43</v>
      </c>
      <c r="B11" s="4" t="s">
        <v>44</v>
      </c>
      <c r="C11" s="2">
        <v>235.1</v>
      </c>
      <c r="D11" s="2">
        <v>314.7</v>
      </c>
      <c r="E11" s="2">
        <v>29.8</v>
      </c>
      <c r="F11" s="2">
        <v>24.1</v>
      </c>
      <c r="G11" s="2">
        <v>52.8</v>
      </c>
      <c r="H11" s="2">
        <v>46.9</v>
      </c>
      <c r="I11" s="2">
        <v>80.2</v>
      </c>
      <c r="J11" s="2">
        <v>85.6</v>
      </c>
      <c r="K11" s="2">
        <v>89.8</v>
      </c>
      <c r="L11" s="2">
        <v>68.5</v>
      </c>
      <c r="M11" s="2">
        <v>42.2</v>
      </c>
      <c r="N11" s="2">
        <v>36.6</v>
      </c>
      <c r="O11" s="2">
        <v>62</v>
      </c>
      <c r="P11" s="2">
        <v>70</v>
      </c>
      <c r="Q11" s="2">
        <v>78.400000000000006</v>
      </c>
      <c r="R11" s="2">
        <v>80.400000000000006</v>
      </c>
      <c r="S11" s="2">
        <v>26.7</v>
      </c>
      <c r="T11" s="2">
        <v>11.8</v>
      </c>
      <c r="U11" s="2">
        <v>91.7</v>
      </c>
      <c r="V11" s="2">
        <v>73.5</v>
      </c>
      <c r="W11" s="2">
        <v>173</v>
      </c>
      <c r="X11" s="2">
        <v>157.6</v>
      </c>
      <c r="Y11" s="2">
        <v>42.5</v>
      </c>
      <c r="Z11" s="2">
        <v>31.8</v>
      </c>
      <c r="AB11" s="25">
        <v>235.1</v>
      </c>
      <c r="AC11" s="26">
        <v>314.7</v>
      </c>
      <c r="AD11" s="26">
        <v>29.8</v>
      </c>
      <c r="AE11" s="26">
        <v>24.1</v>
      </c>
      <c r="AF11" s="26">
        <v>52.8</v>
      </c>
      <c r="AG11" s="26">
        <v>46.9</v>
      </c>
      <c r="AH11" s="26">
        <v>80.2</v>
      </c>
      <c r="AI11" s="26">
        <v>85.6</v>
      </c>
      <c r="AJ11" s="25">
        <v>89.8</v>
      </c>
      <c r="AK11" s="26">
        <v>68.5</v>
      </c>
      <c r="AL11" s="26">
        <v>42.2</v>
      </c>
      <c r="AM11" s="26">
        <v>36.6</v>
      </c>
      <c r="AN11" s="26">
        <v>62</v>
      </c>
      <c r="AO11" s="26">
        <v>70</v>
      </c>
      <c r="AP11" s="26">
        <v>78.400000000000006</v>
      </c>
      <c r="AQ11" s="26">
        <v>80.400000000000006</v>
      </c>
      <c r="AR11" s="25">
        <v>26.7</v>
      </c>
      <c r="AS11" s="26">
        <v>11.8</v>
      </c>
      <c r="AT11" s="26">
        <v>91.7</v>
      </c>
      <c r="AU11" s="26">
        <v>73.5</v>
      </c>
      <c r="AV11" s="26">
        <v>173</v>
      </c>
      <c r="AW11" s="26">
        <v>157.6</v>
      </c>
      <c r="AX11" s="26">
        <v>42.5</v>
      </c>
      <c r="AY11" s="26">
        <v>31.8</v>
      </c>
      <c r="AZ11" s="34">
        <f t="shared" si="15"/>
        <v>0</v>
      </c>
      <c r="BA11" s="34">
        <f t="shared" si="16"/>
        <v>0</v>
      </c>
      <c r="BB11" s="34">
        <f t="shared" si="17"/>
        <v>0</v>
      </c>
      <c r="BC11" s="34">
        <f t="shared" si="18"/>
        <v>0</v>
      </c>
      <c r="BD11" s="34">
        <f t="shared" si="19"/>
        <v>0</v>
      </c>
      <c r="BE11" s="34">
        <f t="shared" si="20"/>
        <v>0</v>
      </c>
      <c r="BF11" s="34">
        <f t="shared" si="21"/>
        <v>0</v>
      </c>
      <c r="BG11" s="34">
        <f t="shared" si="22"/>
        <v>0</v>
      </c>
      <c r="BH11" s="34">
        <f t="shared" si="23"/>
        <v>0</v>
      </c>
      <c r="BI11" s="34">
        <f t="shared" si="24"/>
        <v>0</v>
      </c>
      <c r="BJ11" s="34">
        <f t="shared" si="25"/>
        <v>0</v>
      </c>
      <c r="BK11" s="34">
        <f t="shared" si="26"/>
        <v>0</v>
      </c>
      <c r="BL11" s="34">
        <f t="shared" si="27"/>
        <v>0</v>
      </c>
      <c r="BM11" s="34">
        <f t="shared" si="28"/>
        <v>0</v>
      </c>
      <c r="BN11" s="34">
        <f t="shared" si="29"/>
        <v>0</v>
      </c>
      <c r="BO11" s="34">
        <f t="shared" si="30"/>
        <v>0</v>
      </c>
      <c r="BP11" s="34">
        <f t="shared" si="31"/>
        <v>0</v>
      </c>
      <c r="BQ11" s="29">
        <f t="shared" si="32"/>
        <v>0</v>
      </c>
      <c r="BR11" s="29">
        <f t="shared" si="33"/>
        <v>0</v>
      </c>
      <c r="BS11" s="29">
        <f t="shared" si="34"/>
        <v>0</v>
      </c>
      <c r="BT11" s="29">
        <f t="shared" si="35"/>
        <v>0</v>
      </c>
      <c r="BU11" s="29">
        <f t="shared" si="36"/>
        <v>0</v>
      </c>
      <c r="BV11" s="29">
        <f t="shared" si="37"/>
        <v>0</v>
      </c>
      <c r="BW11" s="29">
        <f t="shared" si="38"/>
        <v>0</v>
      </c>
    </row>
    <row r="12" spans="1:152" ht="15.75">
      <c r="A12" s="3" t="s">
        <v>45</v>
      </c>
      <c r="B12" s="4" t="s">
        <v>46</v>
      </c>
      <c r="C12" s="2">
        <v>209.1</v>
      </c>
      <c r="D12" s="2">
        <v>244.4</v>
      </c>
      <c r="E12" s="2">
        <v>32.299999999999997</v>
      </c>
      <c r="F12" s="2">
        <v>29</v>
      </c>
      <c r="G12" s="2">
        <v>74.599999999999994</v>
      </c>
      <c r="H12" s="2">
        <v>77.8</v>
      </c>
      <c r="I12" s="2">
        <v>64.599999999999994</v>
      </c>
      <c r="J12" s="2">
        <v>63.6</v>
      </c>
      <c r="K12" s="2">
        <v>285.5</v>
      </c>
      <c r="L12" s="2">
        <v>245.4</v>
      </c>
      <c r="M12" s="2">
        <v>55.1</v>
      </c>
      <c r="N12" s="2">
        <v>49.5</v>
      </c>
      <c r="O12" s="2">
        <v>59.7</v>
      </c>
      <c r="P12" s="2">
        <v>62.3</v>
      </c>
      <c r="Q12" s="2">
        <v>80.3</v>
      </c>
      <c r="R12" s="2">
        <v>77</v>
      </c>
      <c r="S12" s="2">
        <v>81.900000000000006</v>
      </c>
      <c r="T12" s="2">
        <v>79.7</v>
      </c>
      <c r="U12" s="2">
        <v>179.7</v>
      </c>
      <c r="V12" s="2">
        <v>158.1</v>
      </c>
      <c r="W12" s="2">
        <v>222.7</v>
      </c>
      <c r="X12" s="2">
        <v>198.1</v>
      </c>
      <c r="Y12" s="2">
        <v>47.8</v>
      </c>
      <c r="Z12" s="2">
        <v>40.9</v>
      </c>
      <c r="AB12" s="25">
        <v>209.1</v>
      </c>
      <c r="AC12" s="26">
        <v>244.4</v>
      </c>
      <c r="AD12" s="26">
        <v>32.299999999999997</v>
      </c>
      <c r="AE12" s="26">
        <v>29</v>
      </c>
      <c r="AF12" s="26">
        <v>74.599999999999994</v>
      </c>
      <c r="AG12" s="26">
        <v>77.8</v>
      </c>
      <c r="AH12" s="26">
        <v>64.599999999999994</v>
      </c>
      <c r="AI12" s="26">
        <v>63.6</v>
      </c>
      <c r="AJ12" s="25">
        <v>285.5</v>
      </c>
      <c r="AK12" s="26">
        <v>245.4</v>
      </c>
      <c r="AL12" s="26">
        <v>55.1</v>
      </c>
      <c r="AM12" s="26">
        <v>49.5</v>
      </c>
      <c r="AN12" s="26">
        <v>59.7</v>
      </c>
      <c r="AO12" s="26">
        <v>62.3</v>
      </c>
      <c r="AP12" s="26">
        <v>80.3</v>
      </c>
      <c r="AQ12" s="26">
        <v>77</v>
      </c>
      <c r="AR12" s="25">
        <v>81.900000000000006</v>
      </c>
      <c r="AS12" s="26">
        <v>79.7</v>
      </c>
      <c r="AT12" s="26">
        <v>179.7</v>
      </c>
      <c r="AU12" s="26">
        <v>158.1</v>
      </c>
      <c r="AV12" s="26">
        <v>222.7</v>
      </c>
      <c r="AW12" s="26">
        <v>198.1</v>
      </c>
      <c r="AX12" s="26">
        <v>47.8</v>
      </c>
      <c r="AY12" s="26">
        <v>40.9</v>
      </c>
      <c r="AZ12" s="34">
        <f t="shared" si="15"/>
        <v>0</v>
      </c>
      <c r="BA12" s="34">
        <f t="shared" si="16"/>
        <v>0</v>
      </c>
      <c r="BB12" s="34">
        <f t="shared" si="17"/>
        <v>0</v>
      </c>
      <c r="BC12" s="34">
        <f t="shared" si="18"/>
        <v>0</v>
      </c>
      <c r="BD12" s="34">
        <f t="shared" si="19"/>
        <v>0</v>
      </c>
      <c r="BE12" s="34">
        <f t="shared" si="20"/>
        <v>0</v>
      </c>
      <c r="BF12" s="34">
        <f t="shared" si="21"/>
        <v>0</v>
      </c>
      <c r="BG12" s="34">
        <f t="shared" si="22"/>
        <v>0</v>
      </c>
      <c r="BH12" s="34">
        <f t="shared" si="23"/>
        <v>0</v>
      </c>
      <c r="BI12" s="34">
        <f t="shared" si="24"/>
        <v>0</v>
      </c>
      <c r="BJ12" s="34">
        <f t="shared" si="25"/>
        <v>0</v>
      </c>
      <c r="BK12" s="34">
        <f t="shared" si="26"/>
        <v>0</v>
      </c>
      <c r="BL12" s="34">
        <f t="shared" si="27"/>
        <v>0</v>
      </c>
      <c r="BM12" s="34">
        <f t="shared" si="28"/>
        <v>0</v>
      </c>
      <c r="BN12" s="34">
        <f t="shared" si="29"/>
        <v>0</v>
      </c>
      <c r="BO12" s="34">
        <f t="shared" si="30"/>
        <v>0</v>
      </c>
      <c r="BP12" s="34">
        <f t="shared" si="31"/>
        <v>0</v>
      </c>
      <c r="BQ12" s="29">
        <f t="shared" si="32"/>
        <v>0</v>
      </c>
      <c r="BR12" s="29">
        <f t="shared" si="33"/>
        <v>0</v>
      </c>
      <c r="BS12" s="29">
        <f t="shared" si="34"/>
        <v>0</v>
      </c>
      <c r="BT12" s="29">
        <f t="shared" si="35"/>
        <v>0</v>
      </c>
      <c r="BU12" s="29">
        <f t="shared" si="36"/>
        <v>0</v>
      </c>
      <c r="BV12" s="29">
        <f t="shared" si="37"/>
        <v>0</v>
      </c>
      <c r="BW12" s="29">
        <f t="shared" si="38"/>
        <v>0</v>
      </c>
    </row>
    <row r="13" spans="1:152" s="13" customFormat="1" ht="15.75">
      <c r="A13" s="10" t="s">
        <v>139</v>
      </c>
      <c r="B13" s="11" t="s">
        <v>47</v>
      </c>
      <c r="C13" s="12">
        <v>477.5</v>
      </c>
      <c r="D13" s="12">
        <v>372.8</v>
      </c>
      <c r="E13" s="12">
        <v>17.3</v>
      </c>
      <c r="F13" s="12">
        <v>21.2</v>
      </c>
      <c r="G13" s="12">
        <v>-16.3</v>
      </c>
      <c r="H13" s="12">
        <v>-99.1</v>
      </c>
      <c r="I13" s="12">
        <v>86.8</v>
      </c>
      <c r="J13" s="12">
        <v>86.8</v>
      </c>
      <c r="K13" s="12">
        <v>-18.7</v>
      </c>
      <c r="L13" s="12">
        <v>-141.6</v>
      </c>
      <c r="M13" s="12">
        <v>-10</v>
      </c>
      <c r="N13" s="12">
        <v>-74.900000000000006</v>
      </c>
      <c r="O13" s="12">
        <v>74.8</v>
      </c>
      <c r="P13" s="12">
        <v>58.5</v>
      </c>
      <c r="Q13" s="12">
        <v>68.8</v>
      </c>
      <c r="R13" s="12">
        <v>51</v>
      </c>
      <c r="S13" s="12">
        <v>0.4</v>
      </c>
      <c r="T13" s="12">
        <v>0.4</v>
      </c>
      <c r="U13" s="12">
        <v>42.4</v>
      </c>
      <c r="V13" s="12">
        <v>27</v>
      </c>
      <c r="W13" s="12">
        <v>90.9</v>
      </c>
      <c r="X13" s="12">
        <v>57.2</v>
      </c>
      <c r="Y13" s="12">
        <v>20.9</v>
      </c>
      <c r="Z13" s="12">
        <v>26.8</v>
      </c>
      <c r="AB13" s="25">
        <v>477.5</v>
      </c>
      <c r="AC13" s="26">
        <v>372.8</v>
      </c>
      <c r="AD13" s="26">
        <v>17.3</v>
      </c>
      <c r="AE13" s="26">
        <v>21.2</v>
      </c>
      <c r="AF13" s="26">
        <v>-16.3</v>
      </c>
      <c r="AG13" s="26">
        <v>-99.1</v>
      </c>
      <c r="AH13" s="26">
        <v>86.8</v>
      </c>
      <c r="AI13" s="26">
        <v>86.8</v>
      </c>
      <c r="AJ13" s="25">
        <v>-18.7</v>
      </c>
      <c r="AK13" s="26">
        <v>-141.6</v>
      </c>
      <c r="AL13" s="26">
        <v>-10</v>
      </c>
      <c r="AM13" s="26">
        <v>-74.900000000000006</v>
      </c>
      <c r="AN13" s="26">
        <v>74.8</v>
      </c>
      <c r="AO13" s="26">
        <v>58.5</v>
      </c>
      <c r="AP13" s="26">
        <v>68.8</v>
      </c>
      <c r="AQ13" s="26">
        <v>51</v>
      </c>
      <c r="AR13" s="25">
        <v>0.4</v>
      </c>
      <c r="AS13" s="26">
        <v>0.4</v>
      </c>
      <c r="AT13" s="26">
        <v>42.4</v>
      </c>
      <c r="AU13" s="26">
        <v>27</v>
      </c>
      <c r="AV13" s="26">
        <v>90.9</v>
      </c>
      <c r="AW13" s="26">
        <v>57.2</v>
      </c>
      <c r="AX13" s="26">
        <v>20.9</v>
      </c>
      <c r="AY13" s="26">
        <v>26.8</v>
      </c>
      <c r="AZ13" s="34">
        <f t="shared" si="15"/>
        <v>0</v>
      </c>
      <c r="BA13" s="34">
        <f t="shared" si="16"/>
        <v>0</v>
      </c>
      <c r="BB13" s="34">
        <f t="shared" si="17"/>
        <v>0</v>
      </c>
      <c r="BC13" s="34">
        <f t="shared" si="18"/>
        <v>0</v>
      </c>
      <c r="BD13" s="34">
        <f t="shared" si="19"/>
        <v>0</v>
      </c>
      <c r="BE13" s="34">
        <f t="shared" si="20"/>
        <v>0</v>
      </c>
      <c r="BF13" s="34">
        <f t="shared" si="21"/>
        <v>0</v>
      </c>
      <c r="BG13" s="34">
        <f t="shared" si="22"/>
        <v>0</v>
      </c>
      <c r="BH13" s="34">
        <f t="shared" si="23"/>
        <v>0</v>
      </c>
      <c r="BI13" s="34">
        <f t="shared" si="24"/>
        <v>0</v>
      </c>
      <c r="BJ13" s="34">
        <f t="shared" si="25"/>
        <v>0</v>
      </c>
      <c r="BK13" s="34">
        <f t="shared" si="26"/>
        <v>0</v>
      </c>
      <c r="BL13" s="34">
        <f t="shared" si="27"/>
        <v>0</v>
      </c>
      <c r="BM13" s="34">
        <f t="shared" si="28"/>
        <v>0</v>
      </c>
      <c r="BN13" s="34">
        <f t="shared" si="29"/>
        <v>0</v>
      </c>
      <c r="BO13" s="34">
        <f t="shared" si="30"/>
        <v>0</v>
      </c>
      <c r="BP13" s="34">
        <f t="shared" si="31"/>
        <v>0</v>
      </c>
      <c r="BQ13" s="29">
        <f t="shared" si="32"/>
        <v>0</v>
      </c>
      <c r="BR13" s="29">
        <f t="shared" si="33"/>
        <v>0</v>
      </c>
      <c r="BS13" s="29">
        <f t="shared" si="34"/>
        <v>0</v>
      </c>
      <c r="BT13" s="29">
        <f t="shared" si="35"/>
        <v>0</v>
      </c>
      <c r="BU13" s="29">
        <f t="shared" si="36"/>
        <v>0</v>
      </c>
      <c r="BV13" s="29">
        <f t="shared" si="37"/>
        <v>0</v>
      </c>
      <c r="BW13" s="29">
        <f t="shared" si="38"/>
        <v>0</v>
      </c>
    </row>
    <row r="14" spans="1:152" ht="15.75">
      <c r="A14" s="3" t="s">
        <v>48</v>
      </c>
      <c r="B14" s="4" t="s">
        <v>49</v>
      </c>
      <c r="C14" s="2">
        <v>477.5</v>
      </c>
      <c r="D14" s="2">
        <v>372.8</v>
      </c>
      <c r="E14" s="2">
        <v>17.3</v>
      </c>
      <c r="F14" s="2">
        <v>21.2</v>
      </c>
      <c r="G14" s="2">
        <v>-16.3</v>
      </c>
      <c r="H14" s="2">
        <v>-99.1</v>
      </c>
      <c r="I14" s="2">
        <v>86.8</v>
      </c>
      <c r="J14" s="2">
        <v>86.8</v>
      </c>
      <c r="K14" s="2">
        <v>-18.7</v>
      </c>
      <c r="L14" s="2">
        <v>-141.6</v>
      </c>
      <c r="M14" s="2">
        <v>-10</v>
      </c>
      <c r="N14" s="2">
        <v>-74.900000000000006</v>
      </c>
      <c r="O14" s="2">
        <v>74.8</v>
      </c>
      <c r="P14" s="2">
        <v>58.5</v>
      </c>
      <c r="Q14" s="2">
        <v>68.8</v>
      </c>
      <c r="R14" s="2">
        <v>51</v>
      </c>
      <c r="S14" s="2">
        <v>0.4</v>
      </c>
      <c r="T14" s="2">
        <v>0.4</v>
      </c>
      <c r="U14" s="2">
        <v>42.4</v>
      </c>
      <c r="V14" s="2">
        <v>27</v>
      </c>
      <c r="W14" s="2">
        <v>90.9</v>
      </c>
      <c r="X14" s="2">
        <v>57.2</v>
      </c>
      <c r="Y14" s="2">
        <v>20.9</v>
      </c>
      <c r="Z14" s="2">
        <v>26.8</v>
      </c>
      <c r="AB14" s="25">
        <v>477.5</v>
      </c>
      <c r="AC14" s="26">
        <v>372.8</v>
      </c>
      <c r="AD14" s="26">
        <v>17.3</v>
      </c>
      <c r="AE14" s="26">
        <v>21.2</v>
      </c>
      <c r="AF14" s="26">
        <v>-16.3</v>
      </c>
      <c r="AG14" s="26">
        <v>-99.1</v>
      </c>
      <c r="AH14" s="26">
        <v>86.8</v>
      </c>
      <c r="AI14" s="26">
        <v>86.8</v>
      </c>
      <c r="AJ14" s="25">
        <v>-18.7</v>
      </c>
      <c r="AK14" s="26">
        <v>-141.6</v>
      </c>
      <c r="AL14" s="26">
        <v>-10</v>
      </c>
      <c r="AM14" s="26">
        <v>-74.900000000000006</v>
      </c>
      <c r="AN14" s="26">
        <v>74.8</v>
      </c>
      <c r="AO14" s="26">
        <v>58.5</v>
      </c>
      <c r="AP14" s="26">
        <v>68.8</v>
      </c>
      <c r="AQ14" s="26">
        <v>51</v>
      </c>
      <c r="AR14" s="25">
        <v>0.4</v>
      </c>
      <c r="AS14" s="26">
        <v>0.4</v>
      </c>
      <c r="AT14" s="26">
        <v>42.4</v>
      </c>
      <c r="AU14" s="26">
        <v>27</v>
      </c>
      <c r="AV14" s="26">
        <v>90.9</v>
      </c>
      <c r="AW14" s="26">
        <v>57.2</v>
      </c>
      <c r="AX14" s="26">
        <v>20.9</v>
      </c>
      <c r="AY14" s="26">
        <v>26.8</v>
      </c>
      <c r="AZ14" s="34">
        <f t="shared" si="15"/>
        <v>0</v>
      </c>
      <c r="BA14" s="34">
        <f t="shared" si="16"/>
        <v>0</v>
      </c>
      <c r="BB14" s="34">
        <f t="shared" si="17"/>
        <v>0</v>
      </c>
      <c r="BC14" s="34">
        <f t="shared" si="18"/>
        <v>0</v>
      </c>
      <c r="BD14" s="34">
        <f t="shared" si="19"/>
        <v>0</v>
      </c>
      <c r="BE14" s="34">
        <f t="shared" si="20"/>
        <v>0</v>
      </c>
      <c r="BF14" s="34">
        <f t="shared" si="21"/>
        <v>0</v>
      </c>
      <c r="BG14" s="34">
        <f t="shared" si="22"/>
        <v>0</v>
      </c>
      <c r="BH14" s="34">
        <f t="shared" si="23"/>
        <v>0</v>
      </c>
      <c r="BI14" s="34">
        <f t="shared" si="24"/>
        <v>0</v>
      </c>
      <c r="BJ14" s="34">
        <f t="shared" si="25"/>
        <v>0</v>
      </c>
      <c r="BK14" s="34">
        <f t="shared" si="26"/>
        <v>0</v>
      </c>
      <c r="BL14" s="34">
        <f t="shared" si="27"/>
        <v>0</v>
      </c>
      <c r="BM14" s="34">
        <f t="shared" si="28"/>
        <v>0</v>
      </c>
      <c r="BN14" s="34">
        <f t="shared" si="29"/>
        <v>0</v>
      </c>
      <c r="BO14" s="34">
        <f t="shared" si="30"/>
        <v>0</v>
      </c>
      <c r="BP14" s="34">
        <f t="shared" si="31"/>
        <v>0</v>
      </c>
      <c r="BQ14" s="29">
        <f t="shared" si="32"/>
        <v>0</v>
      </c>
      <c r="BR14" s="29">
        <f t="shared" si="33"/>
        <v>0</v>
      </c>
      <c r="BS14" s="29">
        <f t="shared" si="34"/>
        <v>0</v>
      </c>
      <c r="BT14" s="29">
        <f t="shared" si="35"/>
        <v>0</v>
      </c>
      <c r="BU14" s="29">
        <f t="shared" si="36"/>
        <v>0</v>
      </c>
      <c r="BV14" s="29">
        <f t="shared" si="37"/>
        <v>0</v>
      </c>
      <c r="BW14" s="29">
        <f t="shared" si="38"/>
        <v>0</v>
      </c>
    </row>
    <row r="15" spans="1:152" s="13" customFormat="1" ht="15.75">
      <c r="A15" s="10" t="s">
        <v>140</v>
      </c>
      <c r="B15" s="11" t="s">
        <v>50</v>
      </c>
      <c r="C15" s="12">
        <v>74.8</v>
      </c>
      <c r="D15" s="12">
        <v>67.2</v>
      </c>
      <c r="E15" s="12">
        <v>57.2</v>
      </c>
      <c r="F15" s="12">
        <v>59.8</v>
      </c>
      <c r="G15" s="12">
        <v>46.5</v>
      </c>
      <c r="H15" s="12">
        <v>62.8</v>
      </c>
      <c r="I15" s="12">
        <v>61.1</v>
      </c>
      <c r="J15" s="12">
        <v>57.6</v>
      </c>
      <c r="K15" s="12">
        <v>223.1</v>
      </c>
      <c r="L15" s="12">
        <v>317.10000000000002</v>
      </c>
      <c r="M15" s="12">
        <v>52.4</v>
      </c>
      <c r="N15" s="12">
        <v>69.3</v>
      </c>
      <c r="O15" s="12">
        <v>24.5</v>
      </c>
      <c r="P15" s="12">
        <v>28.2</v>
      </c>
      <c r="Q15" s="12">
        <v>75.8</v>
      </c>
      <c r="R15" s="12">
        <v>83.4</v>
      </c>
      <c r="S15" s="12">
        <v>36.4</v>
      </c>
      <c r="T15" s="12">
        <v>50</v>
      </c>
      <c r="U15" s="12">
        <v>160.69999999999999</v>
      </c>
      <c r="V15" s="12">
        <v>254.6</v>
      </c>
      <c r="W15" s="12">
        <v>210</v>
      </c>
      <c r="X15" s="12">
        <v>325.8</v>
      </c>
      <c r="Y15" s="12">
        <v>133.69999999999999</v>
      </c>
      <c r="Z15" s="12">
        <v>148.80000000000001</v>
      </c>
      <c r="AB15" s="25">
        <v>74.8</v>
      </c>
      <c r="AC15" s="26">
        <v>67.2</v>
      </c>
      <c r="AD15" s="26">
        <v>57.2</v>
      </c>
      <c r="AE15" s="26">
        <v>59.8</v>
      </c>
      <c r="AF15" s="26">
        <v>46.5</v>
      </c>
      <c r="AG15" s="26">
        <v>62.8</v>
      </c>
      <c r="AH15" s="26">
        <v>61.1</v>
      </c>
      <c r="AI15" s="26">
        <v>57.6</v>
      </c>
      <c r="AJ15" s="25">
        <v>223.1</v>
      </c>
      <c r="AK15" s="26">
        <v>317.10000000000002</v>
      </c>
      <c r="AL15" s="26">
        <v>52.4</v>
      </c>
      <c r="AM15" s="26">
        <v>69.3</v>
      </c>
      <c r="AN15" s="26">
        <v>24.5</v>
      </c>
      <c r="AO15" s="26">
        <v>28.2</v>
      </c>
      <c r="AP15" s="26">
        <v>75.8</v>
      </c>
      <c r="AQ15" s="26">
        <v>83.4</v>
      </c>
      <c r="AR15" s="25">
        <v>36.4</v>
      </c>
      <c r="AS15" s="26">
        <v>50</v>
      </c>
      <c r="AT15" s="26">
        <v>160.69999999999999</v>
      </c>
      <c r="AU15" s="26">
        <v>254.6</v>
      </c>
      <c r="AV15" s="26">
        <v>210</v>
      </c>
      <c r="AW15" s="26">
        <v>325.8</v>
      </c>
      <c r="AX15" s="26">
        <v>133.69999999999999</v>
      </c>
      <c r="AY15" s="26">
        <v>148.80000000000001</v>
      </c>
      <c r="AZ15" s="34">
        <f t="shared" si="15"/>
        <v>0</v>
      </c>
      <c r="BA15" s="34">
        <f t="shared" si="16"/>
        <v>0</v>
      </c>
      <c r="BB15" s="34">
        <f t="shared" si="17"/>
        <v>0</v>
      </c>
      <c r="BC15" s="34">
        <f t="shared" si="18"/>
        <v>0</v>
      </c>
      <c r="BD15" s="34">
        <f t="shared" si="19"/>
        <v>0</v>
      </c>
      <c r="BE15" s="34">
        <f t="shared" si="20"/>
        <v>0</v>
      </c>
      <c r="BF15" s="34">
        <f t="shared" si="21"/>
        <v>0</v>
      </c>
      <c r="BG15" s="34">
        <f t="shared" si="22"/>
        <v>0</v>
      </c>
      <c r="BH15" s="34">
        <f t="shared" si="23"/>
        <v>0</v>
      </c>
      <c r="BI15" s="34">
        <f t="shared" si="24"/>
        <v>0</v>
      </c>
      <c r="BJ15" s="34">
        <f t="shared" si="25"/>
        <v>0</v>
      </c>
      <c r="BK15" s="34">
        <f t="shared" si="26"/>
        <v>0</v>
      </c>
      <c r="BL15" s="34">
        <f t="shared" si="27"/>
        <v>0</v>
      </c>
      <c r="BM15" s="34">
        <f t="shared" si="28"/>
        <v>0</v>
      </c>
      <c r="BN15" s="34">
        <f t="shared" si="29"/>
        <v>0</v>
      </c>
      <c r="BO15" s="34">
        <f t="shared" si="30"/>
        <v>0</v>
      </c>
      <c r="BP15" s="34">
        <f t="shared" si="31"/>
        <v>0</v>
      </c>
      <c r="BQ15" s="29">
        <f t="shared" si="32"/>
        <v>0</v>
      </c>
      <c r="BR15" s="29">
        <f t="shared" si="33"/>
        <v>0</v>
      </c>
      <c r="BS15" s="29">
        <f t="shared" si="34"/>
        <v>0</v>
      </c>
      <c r="BT15" s="29">
        <f t="shared" si="35"/>
        <v>0</v>
      </c>
      <c r="BU15" s="29">
        <f t="shared" si="36"/>
        <v>0</v>
      </c>
      <c r="BV15" s="29">
        <f t="shared" si="37"/>
        <v>0</v>
      </c>
      <c r="BW15" s="29">
        <f t="shared" si="38"/>
        <v>0</v>
      </c>
    </row>
    <row r="16" spans="1:152" ht="15.75">
      <c r="A16" s="3" t="s">
        <v>19</v>
      </c>
      <c r="B16" s="4" t="s">
        <v>51</v>
      </c>
      <c r="C16" s="2">
        <v>58.3</v>
      </c>
      <c r="D16" s="2">
        <v>47.8</v>
      </c>
      <c r="E16" s="2">
        <v>63.2</v>
      </c>
      <c r="F16" s="2">
        <v>67.7</v>
      </c>
      <c r="G16" s="2">
        <v>38.6</v>
      </c>
      <c r="H16" s="2">
        <v>52.7</v>
      </c>
      <c r="I16" s="2">
        <v>63.3</v>
      </c>
      <c r="J16" s="2">
        <v>61.4</v>
      </c>
      <c r="K16" s="2">
        <v>233.3</v>
      </c>
      <c r="L16" s="2">
        <v>314.39999999999998</v>
      </c>
      <c r="M16" s="2">
        <v>51.6</v>
      </c>
      <c r="N16" s="2">
        <v>71.400000000000006</v>
      </c>
      <c r="O16" s="2">
        <v>18.100000000000001</v>
      </c>
      <c r="P16" s="2">
        <v>21.1</v>
      </c>
      <c r="Q16" s="2">
        <v>77.2</v>
      </c>
      <c r="R16" s="2">
        <v>85.7</v>
      </c>
      <c r="S16" s="2">
        <v>44</v>
      </c>
      <c r="T16" s="2">
        <v>61.8</v>
      </c>
      <c r="U16" s="2">
        <v>161</v>
      </c>
      <c r="V16" s="2">
        <v>270.5</v>
      </c>
      <c r="W16" s="2">
        <v>206.8</v>
      </c>
      <c r="X16" s="2">
        <v>350.1</v>
      </c>
      <c r="Y16" s="2">
        <v>171.6</v>
      </c>
      <c r="Z16" s="2">
        <v>209.3</v>
      </c>
      <c r="AB16" s="25">
        <v>58.3</v>
      </c>
      <c r="AC16" s="26">
        <v>47.8</v>
      </c>
      <c r="AD16" s="26">
        <v>63.2</v>
      </c>
      <c r="AE16" s="26">
        <v>67.7</v>
      </c>
      <c r="AF16" s="26">
        <v>38.6</v>
      </c>
      <c r="AG16" s="26">
        <v>52.7</v>
      </c>
      <c r="AH16" s="26">
        <v>63.3</v>
      </c>
      <c r="AI16" s="26">
        <v>61.4</v>
      </c>
      <c r="AJ16" s="25">
        <v>233.3</v>
      </c>
      <c r="AK16" s="26">
        <v>314.39999999999998</v>
      </c>
      <c r="AL16" s="26">
        <v>51.6</v>
      </c>
      <c r="AM16" s="26">
        <v>71.400000000000006</v>
      </c>
      <c r="AN16" s="26">
        <v>18.100000000000001</v>
      </c>
      <c r="AO16" s="26">
        <v>21.1</v>
      </c>
      <c r="AP16" s="26">
        <v>77.2</v>
      </c>
      <c r="AQ16" s="26">
        <v>85.7</v>
      </c>
      <c r="AR16" s="25">
        <v>44</v>
      </c>
      <c r="AS16" s="26">
        <v>61.8</v>
      </c>
      <c r="AT16" s="26">
        <v>161</v>
      </c>
      <c r="AU16" s="26">
        <v>270.5</v>
      </c>
      <c r="AV16" s="26">
        <v>206.8</v>
      </c>
      <c r="AW16" s="26">
        <v>350.1</v>
      </c>
      <c r="AX16" s="26">
        <v>171.6</v>
      </c>
      <c r="AY16" s="26">
        <v>209.3</v>
      </c>
      <c r="AZ16" s="34">
        <f t="shared" si="15"/>
        <v>0</v>
      </c>
      <c r="BA16" s="34">
        <f t="shared" si="16"/>
        <v>0</v>
      </c>
      <c r="BB16" s="34">
        <f t="shared" si="17"/>
        <v>0</v>
      </c>
      <c r="BC16" s="34">
        <f t="shared" si="18"/>
        <v>0</v>
      </c>
      <c r="BD16" s="34">
        <f t="shared" si="19"/>
        <v>0</v>
      </c>
      <c r="BE16" s="34">
        <f t="shared" si="20"/>
        <v>0</v>
      </c>
      <c r="BF16" s="34">
        <f t="shared" si="21"/>
        <v>0</v>
      </c>
      <c r="BG16" s="34">
        <f t="shared" si="22"/>
        <v>0</v>
      </c>
      <c r="BH16" s="34">
        <f t="shared" si="23"/>
        <v>0</v>
      </c>
      <c r="BI16" s="34">
        <f t="shared" si="24"/>
        <v>0</v>
      </c>
      <c r="BJ16" s="34">
        <f t="shared" si="25"/>
        <v>0</v>
      </c>
      <c r="BK16" s="34">
        <f t="shared" si="26"/>
        <v>0</v>
      </c>
      <c r="BL16" s="34">
        <f t="shared" si="27"/>
        <v>0</v>
      </c>
      <c r="BM16" s="34">
        <f t="shared" si="28"/>
        <v>0</v>
      </c>
      <c r="BN16" s="34">
        <f t="shared" si="29"/>
        <v>0</v>
      </c>
      <c r="BO16" s="34">
        <f t="shared" si="30"/>
        <v>0</v>
      </c>
      <c r="BP16" s="34">
        <f t="shared" si="31"/>
        <v>0</v>
      </c>
      <c r="BQ16" s="29">
        <f t="shared" si="32"/>
        <v>0</v>
      </c>
      <c r="BR16" s="29">
        <f t="shared" si="33"/>
        <v>0</v>
      </c>
      <c r="BS16" s="29">
        <f t="shared" si="34"/>
        <v>0</v>
      </c>
      <c r="BT16" s="29">
        <f t="shared" si="35"/>
        <v>0</v>
      </c>
      <c r="BU16" s="29">
        <f t="shared" si="36"/>
        <v>0</v>
      </c>
      <c r="BV16" s="29">
        <f t="shared" si="37"/>
        <v>0</v>
      </c>
      <c r="BW16" s="29">
        <f t="shared" si="38"/>
        <v>0</v>
      </c>
    </row>
    <row r="17" spans="1:75" ht="15.75">
      <c r="A17" s="3" t="s">
        <v>20</v>
      </c>
      <c r="B17" s="4" t="s">
        <v>52</v>
      </c>
      <c r="C17" s="2">
        <v>4</v>
      </c>
      <c r="D17" s="2">
        <v>4.5999999999999996</v>
      </c>
      <c r="E17" s="2">
        <v>96.2</v>
      </c>
      <c r="F17" s="2">
        <v>95.6</v>
      </c>
      <c r="G17" s="2">
        <v>32.6</v>
      </c>
      <c r="H17" s="2">
        <v>38.700000000000003</v>
      </c>
      <c r="I17" s="2">
        <v>74.099999999999994</v>
      </c>
      <c r="J17" s="2">
        <v>68.2</v>
      </c>
      <c r="K17" s="2">
        <v>336.8</v>
      </c>
      <c r="L17" s="2">
        <v>390.9</v>
      </c>
      <c r="M17" s="2">
        <v>89.2</v>
      </c>
      <c r="N17" s="2">
        <v>89.6</v>
      </c>
      <c r="O17" s="2">
        <v>0</v>
      </c>
      <c r="P17" s="2">
        <v>0.2</v>
      </c>
      <c r="Q17" s="2">
        <v>96.2</v>
      </c>
      <c r="R17" s="2">
        <v>95.7</v>
      </c>
      <c r="S17" s="2">
        <v>357.9</v>
      </c>
      <c r="T17" s="2">
        <v>373.2</v>
      </c>
      <c r="U17" s="2">
        <v>680.5</v>
      </c>
      <c r="V17" s="2">
        <v>742</v>
      </c>
      <c r="W17" s="2">
        <v>925.7</v>
      </c>
      <c r="X17" s="2">
        <v>962.7</v>
      </c>
      <c r="Y17" s="2">
        <v>2506.6999999999998</v>
      </c>
      <c r="Z17" s="2">
        <v>2154.6999999999998</v>
      </c>
      <c r="AB17" s="25">
        <v>4</v>
      </c>
      <c r="AC17" s="26">
        <v>4.5999999999999996</v>
      </c>
      <c r="AD17" s="26">
        <v>96.2</v>
      </c>
      <c r="AE17" s="26">
        <v>95.6</v>
      </c>
      <c r="AF17" s="26">
        <v>32.6</v>
      </c>
      <c r="AG17" s="26">
        <v>38.700000000000003</v>
      </c>
      <c r="AH17" s="26">
        <v>74.099999999999994</v>
      </c>
      <c r="AI17" s="26">
        <v>68.2</v>
      </c>
      <c r="AJ17" s="25">
        <v>336.8</v>
      </c>
      <c r="AK17" s="26">
        <v>390.9</v>
      </c>
      <c r="AL17" s="26">
        <v>89.2</v>
      </c>
      <c r="AM17" s="26">
        <v>89.6</v>
      </c>
      <c r="AN17" s="26">
        <v>0</v>
      </c>
      <c r="AO17" s="26">
        <v>0.2</v>
      </c>
      <c r="AP17" s="26">
        <v>96.2</v>
      </c>
      <c r="AQ17" s="26">
        <v>95.7</v>
      </c>
      <c r="AR17" s="25">
        <v>357.9</v>
      </c>
      <c r="AS17" s="26">
        <v>373.2</v>
      </c>
      <c r="AT17" s="26">
        <v>680.5</v>
      </c>
      <c r="AU17" s="26">
        <v>742</v>
      </c>
      <c r="AV17" s="26">
        <v>925.7</v>
      </c>
      <c r="AW17" s="26">
        <v>962.7</v>
      </c>
      <c r="AX17" s="26">
        <v>2506.6999999999998</v>
      </c>
      <c r="AY17" s="26">
        <v>2154.6999999999998</v>
      </c>
      <c r="AZ17" s="34">
        <f t="shared" si="15"/>
        <v>0</v>
      </c>
      <c r="BA17" s="34">
        <f t="shared" si="16"/>
        <v>0</v>
      </c>
      <c r="BB17" s="34">
        <f t="shared" si="17"/>
        <v>0</v>
      </c>
      <c r="BC17" s="34">
        <f t="shared" si="18"/>
        <v>0</v>
      </c>
      <c r="BD17" s="34">
        <f t="shared" si="19"/>
        <v>0</v>
      </c>
      <c r="BE17" s="34">
        <f t="shared" si="20"/>
        <v>0</v>
      </c>
      <c r="BF17" s="34">
        <f t="shared" si="21"/>
        <v>0</v>
      </c>
      <c r="BG17" s="34">
        <f t="shared" si="22"/>
        <v>0</v>
      </c>
      <c r="BH17" s="34">
        <f t="shared" si="23"/>
        <v>0</v>
      </c>
      <c r="BI17" s="34">
        <f t="shared" si="24"/>
        <v>0</v>
      </c>
      <c r="BJ17" s="34">
        <f t="shared" si="25"/>
        <v>0</v>
      </c>
      <c r="BK17" s="34">
        <f t="shared" si="26"/>
        <v>0</v>
      </c>
      <c r="BL17" s="34">
        <f t="shared" si="27"/>
        <v>0</v>
      </c>
      <c r="BM17" s="34">
        <f t="shared" si="28"/>
        <v>0</v>
      </c>
      <c r="BN17" s="34">
        <f t="shared" si="29"/>
        <v>0</v>
      </c>
      <c r="BO17" s="34">
        <f t="shared" si="30"/>
        <v>0</v>
      </c>
      <c r="BP17" s="34">
        <f t="shared" si="31"/>
        <v>0</v>
      </c>
      <c r="BQ17" s="29">
        <f t="shared" si="32"/>
        <v>0</v>
      </c>
      <c r="BR17" s="29">
        <f t="shared" si="33"/>
        <v>0</v>
      </c>
      <c r="BS17" s="29">
        <f t="shared" si="34"/>
        <v>0</v>
      </c>
      <c r="BT17" s="29">
        <f t="shared" si="35"/>
        <v>0</v>
      </c>
      <c r="BU17" s="29">
        <f t="shared" si="36"/>
        <v>0</v>
      </c>
      <c r="BV17" s="29">
        <f t="shared" si="37"/>
        <v>0</v>
      </c>
      <c r="BW17" s="29">
        <f t="shared" si="38"/>
        <v>0</v>
      </c>
    </row>
    <row r="18" spans="1:75" ht="16.5" thickBot="1">
      <c r="A18" s="3" t="s">
        <v>53</v>
      </c>
      <c r="B18" s="4" t="s">
        <v>54</v>
      </c>
      <c r="C18" s="2">
        <v>225.9</v>
      </c>
      <c r="D18" s="2">
        <v>17.2</v>
      </c>
      <c r="E18" s="2">
        <v>30.7</v>
      </c>
      <c r="F18" s="2">
        <v>85.3</v>
      </c>
      <c r="G18" s="2">
        <v>36.9</v>
      </c>
      <c r="H18" s="2">
        <v>7.8</v>
      </c>
      <c r="I18" s="2">
        <v>90.5</v>
      </c>
      <c r="J18" s="2">
        <v>94.4</v>
      </c>
      <c r="K18" s="2">
        <v>15.9</v>
      </c>
      <c r="L18" s="2">
        <v>42.1</v>
      </c>
      <c r="M18" s="2">
        <v>14</v>
      </c>
      <c r="N18" s="2">
        <v>31.1</v>
      </c>
      <c r="O18" s="2" t="s">
        <v>55</v>
      </c>
      <c r="P18" s="2" t="s">
        <v>55</v>
      </c>
      <c r="Q18" s="2">
        <v>30.7</v>
      </c>
      <c r="R18" s="2">
        <v>85.3</v>
      </c>
      <c r="S18" s="2">
        <v>2.4</v>
      </c>
      <c r="T18" s="2">
        <v>5.0999999999999996</v>
      </c>
      <c r="U18" s="2">
        <v>13.7</v>
      </c>
      <c r="V18" s="2">
        <v>38.1</v>
      </c>
      <c r="W18" s="2">
        <v>116.3</v>
      </c>
      <c r="X18" s="2">
        <v>145.1</v>
      </c>
      <c r="Y18" s="2">
        <v>44.3</v>
      </c>
      <c r="Z18" s="2">
        <v>581.5</v>
      </c>
      <c r="AB18" s="25">
        <v>225.9</v>
      </c>
      <c r="AC18" s="26">
        <v>17.2</v>
      </c>
      <c r="AD18" s="26">
        <v>30.7</v>
      </c>
      <c r="AE18" s="26">
        <v>85.3</v>
      </c>
      <c r="AF18" s="26">
        <v>36.9</v>
      </c>
      <c r="AG18" s="26">
        <v>7.8</v>
      </c>
      <c r="AH18" s="26">
        <v>90.5</v>
      </c>
      <c r="AI18" s="26">
        <v>94.4</v>
      </c>
      <c r="AJ18" s="25">
        <v>15.9</v>
      </c>
      <c r="AK18" s="26">
        <v>42.1</v>
      </c>
      <c r="AL18" s="26">
        <v>14</v>
      </c>
      <c r="AM18" s="26">
        <v>31.1</v>
      </c>
      <c r="AN18" s="26" t="s">
        <v>55</v>
      </c>
      <c r="AO18" s="26" t="s">
        <v>55</v>
      </c>
      <c r="AP18" s="26">
        <v>30.7</v>
      </c>
      <c r="AQ18" s="26">
        <v>85.3</v>
      </c>
      <c r="AR18" s="25">
        <v>2.4</v>
      </c>
      <c r="AS18" s="26">
        <v>5.0999999999999996</v>
      </c>
      <c r="AT18" s="26">
        <v>13.7</v>
      </c>
      <c r="AU18" s="26">
        <v>38.1</v>
      </c>
      <c r="AV18" s="26">
        <v>116.3</v>
      </c>
      <c r="AW18" s="26">
        <v>145.1</v>
      </c>
      <c r="AX18" s="26">
        <v>44.3</v>
      </c>
      <c r="AY18" s="26">
        <v>581.5</v>
      </c>
      <c r="AZ18" s="34">
        <f t="shared" si="15"/>
        <v>0</v>
      </c>
      <c r="BA18" s="34">
        <f t="shared" si="16"/>
        <v>0</v>
      </c>
      <c r="BB18" s="34">
        <f t="shared" si="17"/>
        <v>0</v>
      </c>
      <c r="BC18" s="34">
        <f t="shared" si="18"/>
        <v>0</v>
      </c>
      <c r="BD18" s="34">
        <f t="shared" si="19"/>
        <v>0</v>
      </c>
      <c r="BE18" s="34">
        <f t="shared" si="20"/>
        <v>0</v>
      </c>
      <c r="BF18" s="34">
        <f t="shared" si="21"/>
        <v>0</v>
      </c>
      <c r="BG18" s="34">
        <f t="shared" si="22"/>
        <v>0</v>
      </c>
      <c r="BH18" s="34">
        <f t="shared" si="23"/>
        <v>0</v>
      </c>
      <c r="BI18" s="34">
        <f t="shared" si="24"/>
        <v>0</v>
      </c>
      <c r="BJ18" s="34">
        <f t="shared" si="25"/>
        <v>0</v>
      </c>
      <c r="BK18" s="34">
        <f t="shared" si="26"/>
        <v>0</v>
      </c>
      <c r="BL18" s="34" t="e">
        <f t="shared" si="27"/>
        <v>#VALUE!</v>
      </c>
      <c r="BM18" s="34" t="e">
        <f t="shared" si="28"/>
        <v>#VALUE!</v>
      </c>
      <c r="BN18" s="34">
        <f t="shared" si="29"/>
        <v>0</v>
      </c>
      <c r="BO18" s="34">
        <f t="shared" si="30"/>
        <v>0</v>
      </c>
      <c r="BP18" s="34">
        <f t="shared" si="31"/>
        <v>0</v>
      </c>
      <c r="BQ18" s="29">
        <f t="shared" si="32"/>
        <v>0</v>
      </c>
      <c r="BR18" s="29">
        <f t="shared" si="33"/>
        <v>0</v>
      </c>
      <c r="BS18" s="29">
        <f t="shared" si="34"/>
        <v>0</v>
      </c>
      <c r="BT18" s="29">
        <f t="shared" si="35"/>
        <v>0</v>
      </c>
      <c r="BU18" s="29">
        <f t="shared" si="36"/>
        <v>0</v>
      </c>
      <c r="BV18" s="29">
        <f t="shared" si="37"/>
        <v>0</v>
      </c>
      <c r="BW18" s="29">
        <f t="shared" si="38"/>
        <v>0</v>
      </c>
    </row>
    <row r="19" spans="1:75" ht="15.75">
      <c r="A19" s="3" t="s">
        <v>56</v>
      </c>
      <c r="B19" s="4" t="s">
        <v>57</v>
      </c>
      <c r="C19" s="2">
        <v>596.6</v>
      </c>
      <c r="D19" s="2">
        <v>689.4</v>
      </c>
      <c r="E19" s="2">
        <v>14.4</v>
      </c>
      <c r="F19" s="2">
        <v>12.7</v>
      </c>
      <c r="G19" s="2">
        <v>267.89999999999998</v>
      </c>
      <c r="H19" s="2">
        <v>376.7</v>
      </c>
      <c r="I19" s="2">
        <v>45.8</v>
      </c>
      <c r="J19" s="2">
        <v>35.9</v>
      </c>
      <c r="K19" s="2">
        <v>185.5</v>
      </c>
      <c r="L19" s="2">
        <v>322.89999999999998</v>
      </c>
      <c r="M19" s="2">
        <v>51.3</v>
      </c>
      <c r="N19" s="2">
        <v>60.5</v>
      </c>
      <c r="O19" s="2">
        <v>77.400000000000006</v>
      </c>
      <c r="P19" s="2">
        <v>81.599999999999994</v>
      </c>
      <c r="Q19" s="2">
        <v>63.5</v>
      </c>
      <c r="R19" s="2">
        <v>68.900000000000006</v>
      </c>
      <c r="S19" s="2">
        <v>2.1</v>
      </c>
      <c r="T19" s="2">
        <v>14</v>
      </c>
      <c r="U19" s="2">
        <v>148.6</v>
      </c>
      <c r="V19" s="2">
        <v>205.8</v>
      </c>
      <c r="W19" s="2">
        <v>205.3</v>
      </c>
      <c r="X19" s="2">
        <v>253.3</v>
      </c>
      <c r="Y19" s="2">
        <v>16.8</v>
      </c>
      <c r="Z19" s="2">
        <v>14.5</v>
      </c>
      <c r="AB19" s="23">
        <v>596.6</v>
      </c>
      <c r="AC19" s="24">
        <v>689.4</v>
      </c>
      <c r="AD19" s="24">
        <v>14.4</v>
      </c>
      <c r="AE19" s="24">
        <v>12.7</v>
      </c>
      <c r="AF19" s="24">
        <v>267.89999999999998</v>
      </c>
      <c r="AG19" s="24">
        <v>376.7</v>
      </c>
      <c r="AH19" s="24">
        <v>45.8</v>
      </c>
      <c r="AI19" s="24">
        <v>35.9</v>
      </c>
      <c r="AJ19" s="25">
        <v>185.5</v>
      </c>
      <c r="AK19" s="26">
        <v>322.89999999999998</v>
      </c>
      <c r="AL19" s="26">
        <v>51.3</v>
      </c>
      <c r="AM19" s="26">
        <v>60.5</v>
      </c>
      <c r="AN19" s="26">
        <v>77.400000000000006</v>
      </c>
      <c r="AO19" s="26">
        <v>81.599999999999994</v>
      </c>
      <c r="AP19" s="26">
        <v>63.5</v>
      </c>
      <c r="AQ19" s="26">
        <v>68.900000000000006</v>
      </c>
      <c r="AR19" s="25">
        <v>2.1</v>
      </c>
      <c r="AS19" s="26">
        <v>14</v>
      </c>
      <c r="AT19" s="26">
        <v>148.6</v>
      </c>
      <c r="AU19" s="26">
        <v>205.8</v>
      </c>
      <c r="AV19" s="26">
        <v>205.3</v>
      </c>
      <c r="AW19" s="26">
        <v>253.3</v>
      </c>
      <c r="AX19" s="26">
        <v>16.8</v>
      </c>
      <c r="AY19" s="26">
        <v>14.5</v>
      </c>
      <c r="AZ19" s="34">
        <f t="shared" si="15"/>
        <v>0</v>
      </c>
      <c r="BA19" s="34">
        <f t="shared" si="16"/>
        <v>0</v>
      </c>
      <c r="BB19" s="34">
        <f t="shared" si="17"/>
        <v>0</v>
      </c>
      <c r="BC19" s="34">
        <f t="shared" si="18"/>
        <v>0</v>
      </c>
      <c r="BD19" s="34">
        <f t="shared" si="19"/>
        <v>0</v>
      </c>
      <c r="BE19" s="34">
        <f t="shared" si="20"/>
        <v>0</v>
      </c>
      <c r="BF19" s="34">
        <f t="shared" si="21"/>
        <v>0</v>
      </c>
      <c r="BG19" s="34">
        <f t="shared" si="22"/>
        <v>0</v>
      </c>
      <c r="BH19" s="34">
        <f t="shared" si="23"/>
        <v>0</v>
      </c>
      <c r="BI19" s="34">
        <f t="shared" si="24"/>
        <v>0</v>
      </c>
      <c r="BJ19" s="34">
        <f t="shared" si="25"/>
        <v>0</v>
      </c>
      <c r="BK19" s="34">
        <f t="shared" si="26"/>
        <v>0</v>
      </c>
      <c r="BL19" s="34">
        <f t="shared" si="27"/>
        <v>0</v>
      </c>
      <c r="BM19" s="34">
        <f t="shared" si="28"/>
        <v>0</v>
      </c>
      <c r="BN19" s="34">
        <f t="shared" si="29"/>
        <v>0</v>
      </c>
      <c r="BO19" s="34">
        <f t="shared" si="30"/>
        <v>0</v>
      </c>
      <c r="BP19" s="34">
        <f t="shared" si="31"/>
        <v>0</v>
      </c>
      <c r="BQ19" s="29">
        <f t="shared" si="32"/>
        <v>0</v>
      </c>
      <c r="BR19" s="29">
        <f t="shared" si="33"/>
        <v>0</v>
      </c>
      <c r="BS19" s="29">
        <f t="shared" si="34"/>
        <v>0</v>
      </c>
      <c r="BT19" s="29">
        <f t="shared" si="35"/>
        <v>0</v>
      </c>
      <c r="BU19" s="29">
        <f t="shared" si="36"/>
        <v>0</v>
      </c>
      <c r="BV19" s="29">
        <f t="shared" si="37"/>
        <v>0</v>
      </c>
      <c r="BW19" s="29">
        <f t="shared" si="38"/>
        <v>0</v>
      </c>
    </row>
    <row r="20" spans="1:75" s="13" customFormat="1" ht="39.75" thickBot="1">
      <c r="A20" s="10" t="s">
        <v>141</v>
      </c>
      <c r="B20" s="11" t="s">
        <v>58</v>
      </c>
      <c r="C20" s="12">
        <v>171.9</v>
      </c>
      <c r="D20" s="12">
        <v>395.5</v>
      </c>
      <c r="E20" s="12">
        <v>36.799999999999997</v>
      </c>
      <c r="F20" s="12">
        <v>20.2</v>
      </c>
      <c r="G20" s="12">
        <v>39.799999999999997</v>
      </c>
      <c r="H20" s="12">
        <v>-18.399999999999999</v>
      </c>
      <c r="I20" s="12">
        <v>66</v>
      </c>
      <c r="J20" s="12">
        <v>80</v>
      </c>
      <c r="K20" s="12">
        <v>115.1</v>
      </c>
      <c r="L20" s="12">
        <v>-46.1</v>
      </c>
      <c r="M20" s="12">
        <v>31.3</v>
      </c>
      <c r="N20" s="12">
        <v>-13.2</v>
      </c>
      <c r="O20" s="12">
        <v>45.9</v>
      </c>
      <c r="P20" s="12">
        <v>70.400000000000006</v>
      </c>
      <c r="Q20" s="12">
        <v>67.900000000000006</v>
      </c>
      <c r="R20" s="12">
        <v>68.2</v>
      </c>
      <c r="S20" s="12">
        <v>26</v>
      </c>
      <c r="T20" s="12">
        <v>15.1</v>
      </c>
      <c r="U20" s="12">
        <v>106</v>
      </c>
      <c r="V20" s="12">
        <v>63</v>
      </c>
      <c r="W20" s="12">
        <v>145.69999999999999</v>
      </c>
      <c r="X20" s="12">
        <v>88.3</v>
      </c>
      <c r="Y20" s="12">
        <v>58.2</v>
      </c>
      <c r="Z20" s="12">
        <v>25.3</v>
      </c>
      <c r="AB20" s="25">
        <v>171.9</v>
      </c>
      <c r="AC20" s="26">
        <v>395.5</v>
      </c>
      <c r="AD20" s="26">
        <v>36.799999999999997</v>
      </c>
      <c r="AE20" s="26">
        <v>20.2</v>
      </c>
      <c r="AF20" s="26">
        <v>39.799999999999997</v>
      </c>
      <c r="AG20" s="26">
        <v>-18.399999999999999</v>
      </c>
      <c r="AH20" s="26">
        <v>66</v>
      </c>
      <c r="AI20" s="26">
        <v>80</v>
      </c>
      <c r="AJ20" s="25">
        <v>115.1</v>
      </c>
      <c r="AK20" s="26">
        <v>-46.1</v>
      </c>
      <c r="AL20" s="26">
        <v>31.3</v>
      </c>
      <c r="AM20" s="26">
        <v>-13.2</v>
      </c>
      <c r="AN20" s="26">
        <v>45.9</v>
      </c>
      <c r="AO20" s="26">
        <v>70.400000000000006</v>
      </c>
      <c r="AP20" s="26">
        <v>67.900000000000006</v>
      </c>
      <c r="AQ20" s="26">
        <v>68.2</v>
      </c>
      <c r="AR20" s="25">
        <v>26</v>
      </c>
      <c r="AS20" s="26">
        <v>15.1</v>
      </c>
      <c r="AT20" s="26">
        <v>106</v>
      </c>
      <c r="AU20" s="26">
        <v>63</v>
      </c>
      <c r="AV20" s="26">
        <v>145.69999999999999</v>
      </c>
      <c r="AW20" s="26">
        <v>88.3</v>
      </c>
      <c r="AX20" s="26">
        <v>58.2</v>
      </c>
      <c r="AY20" s="26">
        <v>25.3</v>
      </c>
      <c r="AZ20" s="34">
        <f t="shared" si="15"/>
        <v>0</v>
      </c>
      <c r="BA20" s="34">
        <f t="shared" si="16"/>
        <v>0</v>
      </c>
      <c r="BB20" s="34">
        <f t="shared" si="17"/>
        <v>0</v>
      </c>
      <c r="BC20" s="34">
        <f t="shared" si="18"/>
        <v>0</v>
      </c>
      <c r="BD20" s="34">
        <f t="shared" si="19"/>
        <v>0</v>
      </c>
      <c r="BE20" s="34">
        <f t="shared" si="20"/>
        <v>0</v>
      </c>
      <c r="BF20" s="34">
        <f t="shared" si="21"/>
        <v>0</v>
      </c>
      <c r="BG20" s="34">
        <f t="shared" si="22"/>
        <v>0</v>
      </c>
      <c r="BH20" s="34">
        <f t="shared" si="23"/>
        <v>0</v>
      </c>
      <c r="BI20" s="34">
        <f t="shared" si="24"/>
        <v>0</v>
      </c>
      <c r="BJ20" s="34">
        <f t="shared" si="25"/>
        <v>0</v>
      </c>
      <c r="BK20" s="34">
        <f t="shared" si="26"/>
        <v>0</v>
      </c>
      <c r="BL20" s="34">
        <f t="shared" si="27"/>
        <v>0</v>
      </c>
      <c r="BM20" s="34">
        <f t="shared" si="28"/>
        <v>0</v>
      </c>
      <c r="BN20" s="34">
        <f t="shared" si="29"/>
        <v>0</v>
      </c>
      <c r="BO20" s="34">
        <f t="shared" si="30"/>
        <v>0</v>
      </c>
      <c r="BP20" s="34">
        <f t="shared" si="31"/>
        <v>0</v>
      </c>
      <c r="BQ20" s="29">
        <f t="shared" si="32"/>
        <v>0</v>
      </c>
      <c r="BR20" s="29">
        <f t="shared" si="33"/>
        <v>0</v>
      </c>
      <c r="BS20" s="29">
        <f t="shared" si="34"/>
        <v>0</v>
      </c>
      <c r="BT20" s="29">
        <f t="shared" si="35"/>
        <v>0</v>
      </c>
      <c r="BU20" s="29">
        <f t="shared" si="36"/>
        <v>0</v>
      </c>
      <c r="BV20" s="29">
        <f t="shared" si="37"/>
        <v>0</v>
      </c>
      <c r="BW20" s="29">
        <f t="shared" si="38"/>
        <v>0</v>
      </c>
    </row>
    <row r="21" spans="1:75" ht="26.25">
      <c r="A21" s="3" t="s">
        <v>59</v>
      </c>
      <c r="B21" s="4" t="s">
        <v>60</v>
      </c>
      <c r="C21" s="2">
        <v>171.9</v>
      </c>
      <c r="D21" s="2">
        <v>395.5</v>
      </c>
      <c r="E21" s="2">
        <v>36.799999999999997</v>
      </c>
      <c r="F21" s="2">
        <v>20.2</v>
      </c>
      <c r="G21" s="2">
        <v>39.799999999999997</v>
      </c>
      <c r="H21" s="2">
        <v>-18.399999999999999</v>
      </c>
      <c r="I21" s="2">
        <v>66</v>
      </c>
      <c r="J21" s="2">
        <v>80</v>
      </c>
      <c r="K21" s="2">
        <v>115.1</v>
      </c>
      <c r="L21" s="2">
        <v>-46.1</v>
      </c>
      <c r="M21" s="2">
        <v>31.3</v>
      </c>
      <c r="N21" s="2">
        <v>-13.2</v>
      </c>
      <c r="O21" s="2">
        <v>45.9</v>
      </c>
      <c r="P21" s="2">
        <v>70.400000000000006</v>
      </c>
      <c r="Q21" s="2">
        <v>67.900000000000006</v>
      </c>
      <c r="R21" s="2">
        <v>68.2</v>
      </c>
      <c r="S21" s="2">
        <v>26</v>
      </c>
      <c r="T21" s="2">
        <v>15.1</v>
      </c>
      <c r="U21" s="2">
        <v>106</v>
      </c>
      <c r="V21" s="2">
        <v>63</v>
      </c>
      <c r="W21" s="2">
        <v>145.69999999999999</v>
      </c>
      <c r="X21" s="2">
        <v>88.3</v>
      </c>
      <c r="Y21" s="2">
        <v>58.2</v>
      </c>
      <c r="Z21" s="2">
        <v>25.3</v>
      </c>
      <c r="AB21" s="25">
        <v>171.9</v>
      </c>
      <c r="AC21" s="26">
        <v>395.5</v>
      </c>
      <c r="AD21" s="26">
        <v>36.799999999999997</v>
      </c>
      <c r="AE21" s="26">
        <v>20.2</v>
      </c>
      <c r="AF21" s="26">
        <v>39.799999999999997</v>
      </c>
      <c r="AG21" s="26">
        <v>-18.399999999999999</v>
      </c>
      <c r="AH21" s="26">
        <v>66</v>
      </c>
      <c r="AI21" s="26">
        <v>80</v>
      </c>
      <c r="AJ21" s="23">
        <v>115.1</v>
      </c>
      <c r="AK21" s="24">
        <v>-46.1</v>
      </c>
      <c r="AL21" s="24">
        <v>31.3</v>
      </c>
      <c r="AM21" s="24">
        <v>-13.2</v>
      </c>
      <c r="AN21" s="24">
        <v>45.9</v>
      </c>
      <c r="AO21" s="24">
        <v>70.400000000000006</v>
      </c>
      <c r="AP21" s="24">
        <v>67.900000000000006</v>
      </c>
      <c r="AQ21" s="24">
        <v>68.2</v>
      </c>
      <c r="AR21" s="23">
        <v>26</v>
      </c>
      <c r="AS21" s="24">
        <v>15.1</v>
      </c>
      <c r="AT21" s="24">
        <v>106</v>
      </c>
      <c r="AU21" s="24">
        <v>63</v>
      </c>
      <c r="AV21" s="24">
        <v>145.69999999999999</v>
      </c>
      <c r="AW21" s="24">
        <v>88.3</v>
      </c>
      <c r="AX21" s="24">
        <v>58.2</v>
      </c>
      <c r="AY21" s="24">
        <v>25.3</v>
      </c>
      <c r="AZ21" s="34">
        <f t="shared" si="15"/>
        <v>0</v>
      </c>
      <c r="BA21" s="34">
        <f t="shared" si="16"/>
        <v>0</v>
      </c>
      <c r="BB21" s="34">
        <f t="shared" si="17"/>
        <v>0</v>
      </c>
      <c r="BC21" s="34">
        <f t="shared" si="18"/>
        <v>0</v>
      </c>
      <c r="BD21" s="34">
        <f t="shared" si="19"/>
        <v>0</v>
      </c>
      <c r="BE21" s="34">
        <f t="shared" si="20"/>
        <v>0</v>
      </c>
      <c r="BF21" s="34">
        <f t="shared" si="21"/>
        <v>0</v>
      </c>
      <c r="BG21" s="34">
        <f t="shared" si="22"/>
        <v>0</v>
      </c>
      <c r="BH21" s="34">
        <f t="shared" si="23"/>
        <v>0</v>
      </c>
      <c r="BI21" s="34">
        <f t="shared" si="24"/>
        <v>0</v>
      </c>
      <c r="BJ21" s="34">
        <f t="shared" si="25"/>
        <v>0</v>
      </c>
      <c r="BK21" s="34">
        <f t="shared" si="26"/>
        <v>0</v>
      </c>
      <c r="BL21" s="34">
        <f t="shared" si="27"/>
        <v>0</v>
      </c>
      <c r="BM21" s="34">
        <f t="shared" si="28"/>
        <v>0</v>
      </c>
      <c r="BN21" s="34">
        <f t="shared" si="29"/>
        <v>0</v>
      </c>
      <c r="BO21" s="34">
        <f t="shared" si="30"/>
        <v>0</v>
      </c>
      <c r="BP21" s="34">
        <f t="shared" si="31"/>
        <v>0</v>
      </c>
      <c r="BQ21" s="29">
        <f t="shared" si="32"/>
        <v>0</v>
      </c>
      <c r="BR21" s="29">
        <f t="shared" si="33"/>
        <v>0</v>
      </c>
      <c r="BS21" s="29">
        <f t="shared" si="34"/>
        <v>0</v>
      </c>
      <c r="BT21" s="29">
        <f t="shared" si="35"/>
        <v>0</v>
      </c>
      <c r="BU21" s="29">
        <f t="shared" si="36"/>
        <v>0</v>
      </c>
      <c r="BV21" s="29">
        <f t="shared" si="37"/>
        <v>0</v>
      </c>
      <c r="BW21" s="29">
        <f t="shared" si="38"/>
        <v>0</v>
      </c>
    </row>
    <row r="22" spans="1:75" s="13" customFormat="1" ht="51.75">
      <c r="A22" s="10" t="s">
        <v>142</v>
      </c>
      <c r="B22" s="11" t="s">
        <v>61</v>
      </c>
      <c r="C22" s="12">
        <v>78.2</v>
      </c>
      <c r="D22" s="12">
        <v>103.9</v>
      </c>
      <c r="E22" s="12">
        <v>56.1</v>
      </c>
      <c r="F22" s="12">
        <v>49</v>
      </c>
      <c r="G22" s="12">
        <v>9.1</v>
      </c>
      <c r="H22" s="12">
        <v>26.9</v>
      </c>
      <c r="I22" s="12">
        <v>83.9</v>
      </c>
      <c r="J22" s="12">
        <v>74.099999999999994</v>
      </c>
      <c r="K22" s="12">
        <v>80.3</v>
      </c>
      <c r="L22" s="12">
        <v>198.7</v>
      </c>
      <c r="M22" s="12">
        <v>22.7</v>
      </c>
      <c r="N22" s="12">
        <v>40.5</v>
      </c>
      <c r="O22" s="12">
        <v>32.1</v>
      </c>
      <c r="P22" s="12">
        <v>39.200000000000003</v>
      </c>
      <c r="Q22" s="12">
        <v>82.7</v>
      </c>
      <c r="R22" s="12">
        <v>80.599999999999994</v>
      </c>
      <c r="S22" s="12">
        <v>14.1</v>
      </c>
      <c r="T22" s="12">
        <v>20.399999999999999</v>
      </c>
      <c r="U22" s="12">
        <v>92.8</v>
      </c>
      <c r="V22" s="12">
        <v>133.9</v>
      </c>
      <c r="W22" s="12">
        <v>129.30000000000001</v>
      </c>
      <c r="X22" s="12">
        <v>168.2</v>
      </c>
      <c r="Y22" s="12">
        <v>127.9</v>
      </c>
      <c r="Z22" s="12">
        <v>96.2</v>
      </c>
      <c r="AB22" s="25">
        <v>78.2</v>
      </c>
      <c r="AC22" s="26">
        <v>103.9</v>
      </c>
      <c r="AD22" s="26">
        <v>56.1</v>
      </c>
      <c r="AE22" s="26">
        <v>49</v>
      </c>
      <c r="AF22" s="26">
        <v>9.1</v>
      </c>
      <c r="AG22" s="26">
        <v>26.9</v>
      </c>
      <c r="AH22" s="26">
        <v>83.9</v>
      </c>
      <c r="AI22" s="26">
        <v>74.099999999999994</v>
      </c>
      <c r="AJ22" s="25">
        <v>80.3</v>
      </c>
      <c r="AK22" s="26">
        <v>198.7</v>
      </c>
      <c r="AL22" s="26">
        <v>22.7</v>
      </c>
      <c r="AM22" s="26">
        <v>40.5</v>
      </c>
      <c r="AN22" s="26">
        <v>32.1</v>
      </c>
      <c r="AO22" s="26">
        <v>39.200000000000003</v>
      </c>
      <c r="AP22" s="26">
        <v>82.7</v>
      </c>
      <c r="AQ22" s="26">
        <v>80.599999999999994</v>
      </c>
      <c r="AR22" s="25">
        <v>14.1</v>
      </c>
      <c r="AS22" s="26">
        <v>20.399999999999999</v>
      </c>
      <c r="AT22" s="26">
        <v>92.8</v>
      </c>
      <c r="AU22" s="26">
        <v>133.9</v>
      </c>
      <c r="AV22" s="26">
        <v>129.30000000000001</v>
      </c>
      <c r="AW22" s="26">
        <v>168.2</v>
      </c>
      <c r="AX22" s="26">
        <v>127.9</v>
      </c>
      <c r="AY22" s="26">
        <v>96.2</v>
      </c>
      <c r="AZ22" s="34">
        <f t="shared" si="15"/>
        <v>0</v>
      </c>
      <c r="BA22" s="34">
        <f t="shared" si="16"/>
        <v>0</v>
      </c>
      <c r="BB22" s="34">
        <f t="shared" si="17"/>
        <v>0</v>
      </c>
      <c r="BC22" s="34">
        <f t="shared" si="18"/>
        <v>0</v>
      </c>
      <c r="BD22" s="34">
        <f t="shared" si="19"/>
        <v>0</v>
      </c>
      <c r="BE22" s="34">
        <f t="shared" si="20"/>
        <v>0</v>
      </c>
      <c r="BF22" s="34">
        <f t="shared" si="21"/>
        <v>0</v>
      </c>
      <c r="BG22" s="34">
        <f t="shared" si="22"/>
        <v>0</v>
      </c>
      <c r="BH22" s="34">
        <f t="shared" si="23"/>
        <v>0</v>
      </c>
      <c r="BI22" s="34">
        <f t="shared" si="24"/>
        <v>0</v>
      </c>
      <c r="BJ22" s="34">
        <f t="shared" si="25"/>
        <v>0</v>
      </c>
      <c r="BK22" s="34">
        <f t="shared" si="26"/>
        <v>0</v>
      </c>
      <c r="BL22" s="34">
        <f t="shared" si="27"/>
        <v>0</v>
      </c>
      <c r="BM22" s="34">
        <f t="shared" si="28"/>
        <v>0</v>
      </c>
      <c r="BN22" s="34">
        <f t="shared" si="29"/>
        <v>0</v>
      </c>
      <c r="BO22" s="34">
        <f t="shared" si="30"/>
        <v>0</v>
      </c>
      <c r="BP22" s="34">
        <f t="shared" si="31"/>
        <v>0</v>
      </c>
      <c r="BQ22" s="29">
        <f t="shared" si="32"/>
        <v>0</v>
      </c>
      <c r="BR22" s="29">
        <f t="shared" si="33"/>
        <v>0</v>
      </c>
      <c r="BS22" s="29">
        <f t="shared" si="34"/>
        <v>0</v>
      </c>
      <c r="BT22" s="29">
        <f t="shared" si="35"/>
        <v>0</v>
      </c>
      <c r="BU22" s="29">
        <f t="shared" si="36"/>
        <v>0</v>
      </c>
      <c r="BV22" s="29">
        <f t="shared" si="37"/>
        <v>0</v>
      </c>
      <c r="BW22" s="29">
        <f t="shared" si="38"/>
        <v>0</v>
      </c>
    </row>
    <row r="23" spans="1:75" ht="15.75">
      <c r="A23" s="3" t="s">
        <v>62</v>
      </c>
      <c r="B23" s="4" t="s">
        <v>63</v>
      </c>
      <c r="C23" s="2">
        <v>92.3</v>
      </c>
      <c r="D23" s="2">
        <v>122.2</v>
      </c>
      <c r="E23" s="2">
        <v>52</v>
      </c>
      <c r="F23" s="2">
        <v>45</v>
      </c>
      <c r="G23" s="2">
        <v>9.6</v>
      </c>
      <c r="H23" s="2">
        <v>32.5</v>
      </c>
      <c r="I23" s="2">
        <v>84.5</v>
      </c>
      <c r="J23" s="2">
        <v>74</v>
      </c>
      <c r="K23" s="2">
        <v>71.3</v>
      </c>
      <c r="L23" s="2">
        <v>197.4</v>
      </c>
      <c r="M23" s="2">
        <v>22.1</v>
      </c>
      <c r="N23" s="2">
        <v>43.8</v>
      </c>
      <c r="O23" s="2">
        <v>36.9</v>
      </c>
      <c r="P23" s="2">
        <v>44.6</v>
      </c>
      <c r="Q23" s="2">
        <v>82.5</v>
      </c>
      <c r="R23" s="2">
        <v>81.2</v>
      </c>
      <c r="S23" s="2">
        <v>14.7</v>
      </c>
      <c r="T23" s="2">
        <v>17.5</v>
      </c>
      <c r="U23" s="2">
        <v>88.6</v>
      </c>
      <c r="V23" s="2">
        <v>138.4</v>
      </c>
      <c r="W23" s="2">
        <v>128.4</v>
      </c>
      <c r="X23" s="2">
        <v>177.8</v>
      </c>
      <c r="Y23" s="2">
        <v>108.4</v>
      </c>
      <c r="Z23" s="2">
        <v>81.8</v>
      </c>
      <c r="AB23" s="25">
        <v>92.3</v>
      </c>
      <c r="AC23" s="26">
        <v>122.2</v>
      </c>
      <c r="AD23" s="26">
        <v>52</v>
      </c>
      <c r="AE23" s="26">
        <v>45</v>
      </c>
      <c r="AF23" s="26">
        <v>9.6</v>
      </c>
      <c r="AG23" s="26">
        <v>32.5</v>
      </c>
      <c r="AH23" s="26">
        <v>84.5</v>
      </c>
      <c r="AI23" s="26">
        <v>74</v>
      </c>
      <c r="AJ23" s="25">
        <v>71.3</v>
      </c>
      <c r="AK23" s="26">
        <v>197.4</v>
      </c>
      <c r="AL23" s="26">
        <v>22.1</v>
      </c>
      <c r="AM23" s="26">
        <v>43.8</v>
      </c>
      <c r="AN23" s="26">
        <v>36.9</v>
      </c>
      <c r="AO23" s="26">
        <v>44.6</v>
      </c>
      <c r="AP23" s="26">
        <v>82.5</v>
      </c>
      <c r="AQ23" s="26">
        <v>81.2</v>
      </c>
      <c r="AR23" s="25">
        <v>14.7</v>
      </c>
      <c r="AS23" s="26">
        <v>17.5</v>
      </c>
      <c r="AT23" s="26">
        <v>88.6</v>
      </c>
      <c r="AU23" s="26">
        <v>138.4</v>
      </c>
      <c r="AV23" s="26">
        <v>128.4</v>
      </c>
      <c r="AW23" s="26">
        <v>177.8</v>
      </c>
      <c r="AX23" s="26">
        <v>108.4</v>
      </c>
      <c r="AY23" s="26">
        <v>81.8</v>
      </c>
      <c r="AZ23" s="34">
        <f t="shared" si="15"/>
        <v>0</v>
      </c>
      <c r="BA23" s="34">
        <f t="shared" si="16"/>
        <v>0</v>
      </c>
      <c r="BB23" s="34">
        <f t="shared" si="17"/>
        <v>0</v>
      </c>
      <c r="BC23" s="34">
        <f t="shared" si="18"/>
        <v>0</v>
      </c>
      <c r="BD23" s="34">
        <f t="shared" si="19"/>
        <v>0</v>
      </c>
      <c r="BE23" s="34">
        <f t="shared" si="20"/>
        <v>0</v>
      </c>
      <c r="BF23" s="34">
        <f t="shared" si="21"/>
        <v>0</v>
      </c>
      <c r="BG23" s="34">
        <f t="shared" si="22"/>
        <v>0</v>
      </c>
      <c r="BH23" s="34">
        <f t="shared" si="23"/>
        <v>0</v>
      </c>
      <c r="BI23" s="34">
        <f t="shared" si="24"/>
        <v>0</v>
      </c>
      <c r="BJ23" s="34">
        <f t="shared" si="25"/>
        <v>0</v>
      </c>
      <c r="BK23" s="34">
        <f t="shared" si="26"/>
        <v>0</v>
      </c>
      <c r="BL23" s="34">
        <f t="shared" si="27"/>
        <v>0</v>
      </c>
      <c r="BM23" s="34">
        <f t="shared" si="28"/>
        <v>0</v>
      </c>
      <c r="BN23" s="34">
        <f t="shared" si="29"/>
        <v>0</v>
      </c>
      <c r="BO23" s="34">
        <f t="shared" si="30"/>
        <v>0</v>
      </c>
      <c r="BP23" s="34">
        <f t="shared" si="31"/>
        <v>0</v>
      </c>
      <c r="BQ23" s="29">
        <f t="shared" si="32"/>
        <v>0</v>
      </c>
      <c r="BR23" s="29">
        <f t="shared" si="33"/>
        <v>0</v>
      </c>
      <c r="BS23" s="29">
        <f t="shared" si="34"/>
        <v>0</v>
      </c>
      <c r="BT23" s="29">
        <f t="shared" si="35"/>
        <v>0</v>
      </c>
      <c r="BU23" s="29">
        <f t="shared" si="36"/>
        <v>0</v>
      </c>
      <c r="BV23" s="29">
        <f t="shared" si="37"/>
        <v>0</v>
      </c>
      <c r="BW23" s="29">
        <f t="shared" si="38"/>
        <v>0</v>
      </c>
    </row>
    <row r="24" spans="1:75" ht="26.25">
      <c r="A24" s="3" t="s">
        <v>64</v>
      </c>
      <c r="B24" s="4" t="s">
        <v>65</v>
      </c>
      <c r="C24" s="2">
        <v>23.2</v>
      </c>
      <c r="D24" s="2">
        <v>40</v>
      </c>
      <c r="E24" s="2">
        <v>81.2</v>
      </c>
      <c r="F24" s="2">
        <v>71.400000000000006</v>
      </c>
      <c r="G24" s="2">
        <v>7.1</v>
      </c>
      <c r="H24" s="2">
        <v>7.3</v>
      </c>
      <c r="I24" s="2">
        <v>80.5</v>
      </c>
      <c r="J24" s="2">
        <v>74.7</v>
      </c>
      <c r="K24" s="2">
        <v>239.3</v>
      </c>
      <c r="L24" s="2">
        <v>220</v>
      </c>
      <c r="M24" s="2">
        <v>26.3</v>
      </c>
      <c r="N24" s="2">
        <v>18.899999999999999</v>
      </c>
      <c r="O24" s="2">
        <v>3.2</v>
      </c>
      <c r="P24" s="2">
        <v>7.9</v>
      </c>
      <c r="Q24" s="2">
        <v>83.9</v>
      </c>
      <c r="R24" s="2">
        <v>77.5</v>
      </c>
      <c r="S24" s="2">
        <v>10</v>
      </c>
      <c r="T24" s="2">
        <v>34.200000000000003</v>
      </c>
      <c r="U24" s="2">
        <v>120.8</v>
      </c>
      <c r="V24" s="2">
        <v>112.7</v>
      </c>
      <c r="W24" s="2">
        <v>135.69999999999999</v>
      </c>
      <c r="X24" s="2">
        <v>123.4</v>
      </c>
      <c r="Y24" s="2">
        <v>431.8</v>
      </c>
      <c r="Z24" s="2">
        <v>249.8</v>
      </c>
      <c r="AB24" s="25">
        <v>23.2</v>
      </c>
      <c r="AC24" s="26">
        <v>40</v>
      </c>
      <c r="AD24" s="26">
        <v>81.2</v>
      </c>
      <c r="AE24" s="26">
        <v>71.400000000000006</v>
      </c>
      <c r="AF24" s="26">
        <v>7.1</v>
      </c>
      <c r="AG24" s="26">
        <v>7.3</v>
      </c>
      <c r="AH24" s="26">
        <v>80.5</v>
      </c>
      <c r="AI24" s="26">
        <v>74.7</v>
      </c>
      <c r="AJ24" s="25">
        <v>239.3</v>
      </c>
      <c r="AK24" s="26">
        <v>220</v>
      </c>
      <c r="AL24" s="26">
        <v>26.3</v>
      </c>
      <c r="AM24" s="26">
        <v>18.899999999999999</v>
      </c>
      <c r="AN24" s="26">
        <v>3.2</v>
      </c>
      <c r="AO24" s="26">
        <v>7.9</v>
      </c>
      <c r="AP24" s="26">
        <v>83.9</v>
      </c>
      <c r="AQ24" s="26">
        <v>77.5</v>
      </c>
      <c r="AR24" s="25">
        <v>10</v>
      </c>
      <c r="AS24" s="26">
        <v>34.200000000000003</v>
      </c>
      <c r="AT24" s="26">
        <v>120.8</v>
      </c>
      <c r="AU24" s="26">
        <v>112.7</v>
      </c>
      <c r="AV24" s="26">
        <v>135.69999999999999</v>
      </c>
      <c r="AW24" s="26">
        <v>123.4</v>
      </c>
      <c r="AX24" s="26">
        <v>431.8</v>
      </c>
      <c r="AY24" s="26">
        <v>249.8</v>
      </c>
      <c r="AZ24" s="34">
        <f t="shared" si="15"/>
        <v>0</v>
      </c>
      <c r="BA24" s="34">
        <f t="shared" si="16"/>
        <v>0</v>
      </c>
      <c r="BB24" s="34">
        <f t="shared" si="17"/>
        <v>0</v>
      </c>
      <c r="BC24" s="34">
        <f t="shared" si="18"/>
        <v>0</v>
      </c>
      <c r="BD24" s="34">
        <f t="shared" si="19"/>
        <v>0</v>
      </c>
      <c r="BE24" s="34">
        <f t="shared" si="20"/>
        <v>0</v>
      </c>
      <c r="BF24" s="34">
        <f t="shared" si="21"/>
        <v>0</v>
      </c>
      <c r="BG24" s="34">
        <f t="shared" si="22"/>
        <v>0</v>
      </c>
      <c r="BH24" s="34">
        <f t="shared" si="23"/>
        <v>0</v>
      </c>
      <c r="BI24" s="34">
        <f t="shared" si="24"/>
        <v>0</v>
      </c>
      <c r="BJ24" s="34">
        <f t="shared" si="25"/>
        <v>0</v>
      </c>
      <c r="BK24" s="34">
        <f t="shared" si="26"/>
        <v>0</v>
      </c>
      <c r="BL24" s="34">
        <f t="shared" si="27"/>
        <v>0</v>
      </c>
      <c r="BM24" s="34">
        <f t="shared" si="28"/>
        <v>0</v>
      </c>
      <c r="BN24" s="34">
        <f t="shared" si="29"/>
        <v>0</v>
      </c>
      <c r="BO24" s="34">
        <f t="shared" si="30"/>
        <v>0</v>
      </c>
      <c r="BP24" s="34">
        <f t="shared" si="31"/>
        <v>0</v>
      </c>
      <c r="BQ24" s="29">
        <f t="shared" si="32"/>
        <v>0</v>
      </c>
      <c r="BR24" s="29">
        <f t="shared" si="33"/>
        <v>0</v>
      </c>
      <c r="BS24" s="29">
        <f t="shared" si="34"/>
        <v>0</v>
      </c>
      <c r="BT24" s="29">
        <f t="shared" si="35"/>
        <v>0</v>
      </c>
      <c r="BU24" s="29">
        <f t="shared" si="36"/>
        <v>0</v>
      </c>
      <c r="BV24" s="29">
        <f t="shared" si="37"/>
        <v>0</v>
      </c>
      <c r="BW24" s="29">
        <f t="shared" si="38"/>
        <v>0</v>
      </c>
    </row>
    <row r="25" spans="1:75" s="13" customFormat="1" ht="15.75">
      <c r="A25" s="10" t="s">
        <v>143</v>
      </c>
      <c r="B25" s="11" t="s">
        <v>66</v>
      </c>
      <c r="C25" s="12">
        <v>852.9</v>
      </c>
      <c r="D25" s="12">
        <v>1399.1</v>
      </c>
      <c r="E25" s="12">
        <v>10.5</v>
      </c>
      <c r="F25" s="12">
        <v>6.7</v>
      </c>
      <c r="G25" s="12">
        <v>9.3000000000000007</v>
      </c>
      <c r="H25" s="12">
        <v>-1.4</v>
      </c>
      <c r="I25" s="12">
        <v>55.5</v>
      </c>
      <c r="J25" s="12">
        <v>44.4</v>
      </c>
      <c r="K25" s="12">
        <v>2.4</v>
      </c>
      <c r="L25" s="12">
        <v>-0.3</v>
      </c>
      <c r="M25" s="12">
        <v>1.1000000000000001</v>
      </c>
      <c r="N25" s="12">
        <v>-0.1</v>
      </c>
      <c r="O25" s="12">
        <v>32.200000000000003</v>
      </c>
      <c r="P25" s="12">
        <v>35.9</v>
      </c>
      <c r="Q25" s="12">
        <v>15.5</v>
      </c>
      <c r="R25" s="12">
        <v>10.4</v>
      </c>
      <c r="S25" s="12">
        <v>22.6</v>
      </c>
      <c r="T25" s="12">
        <v>20.399999999999999</v>
      </c>
      <c r="U25" s="12">
        <v>52.7</v>
      </c>
      <c r="V25" s="12">
        <v>62</v>
      </c>
      <c r="W25" s="12">
        <v>101.2</v>
      </c>
      <c r="X25" s="12">
        <v>99.9</v>
      </c>
      <c r="Y25" s="12">
        <v>11.7</v>
      </c>
      <c r="Z25" s="12">
        <v>7.1</v>
      </c>
      <c r="AB25" s="25">
        <v>852.9</v>
      </c>
      <c r="AC25" s="26">
        <v>1399.1</v>
      </c>
      <c r="AD25" s="26">
        <v>10.5</v>
      </c>
      <c r="AE25" s="26">
        <v>6.7</v>
      </c>
      <c r="AF25" s="26">
        <v>9.3000000000000007</v>
      </c>
      <c r="AG25" s="26">
        <v>-1.4</v>
      </c>
      <c r="AH25" s="26">
        <v>55.5</v>
      </c>
      <c r="AI25" s="26">
        <v>44.4</v>
      </c>
      <c r="AJ25" s="25">
        <v>2.4</v>
      </c>
      <c r="AK25" s="26">
        <v>-0.3</v>
      </c>
      <c r="AL25" s="26">
        <v>1.1000000000000001</v>
      </c>
      <c r="AM25" s="26">
        <v>-0.1</v>
      </c>
      <c r="AN25" s="26">
        <v>32.200000000000003</v>
      </c>
      <c r="AO25" s="26">
        <v>35.9</v>
      </c>
      <c r="AP25" s="26">
        <v>15.5</v>
      </c>
      <c r="AQ25" s="26">
        <v>10.4</v>
      </c>
      <c r="AR25" s="25">
        <v>22.6</v>
      </c>
      <c r="AS25" s="26">
        <v>20.399999999999999</v>
      </c>
      <c r="AT25" s="26">
        <v>52.7</v>
      </c>
      <c r="AU25" s="26">
        <v>62</v>
      </c>
      <c r="AV25" s="26">
        <v>101.2</v>
      </c>
      <c r="AW25" s="26">
        <v>99.9</v>
      </c>
      <c r="AX25" s="26">
        <v>11.7</v>
      </c>
      <c r="AY25" s="26">
        <v>7.1</v>
      </c>
      <c r="AZ25" s="34">
        <f t="shared" si="15"/>
        <v>0</v>
      </c>
      <c r="BA25" s="34">
        <f t="shared" si="16"/>
        <v>0</v>
      </c>
      <c r="BB25" s="34">
        <f t="shared" si="17"/>
        <v>0</v>
      </c>
      <c r="BC25" s="34">
        <f t="shared" si="18"/>
        <v>0</v>
      </c>
      <c r="BD25" s="34">
        <f t="shared" si="19"/>
        <v>0</v>
      </c>
      <c r="BE25" s="34">
        <f t="shared" si="20"/>
        <v>0</v>
      </c>
      <c r="BF25" s="34">
        <f t="shared" si="21"/>
        <v>0</v>
      </c>
      <c r="BG25" s="34">
        <f t="shared" si="22"/>
        <v>0</v>
      </c>
      <c r="BH25" s="34">
        <f t="shared" si="23"/>
        <v>0</v>
      </c>
      <c r="BI25" s="34">
        <f t="shared" si="24"/>
        <v>0</v>
      </c>
      <c r="BJ25" s="34">
        <f t="shared" si="25"/>
        <v>0</v>
      </c>
      <c r="BK25" s="34">
        <f t="shared" si="26"/>
        <v>0</v>
      </c>
      <c r="BL25" s="34">
        <f t="shared" si="27"/>
        <v>0</v>
      </c>
      <c r="BM25" s="34">
        <f t="shared" si="28"/>
        <v>0</v>
      </c>
      <c r="BN25" s="34">
        <f t="shared" si="29"/>
        <v>0</v>
      </c>
      <c r="BO25" s="34">
        <f t="shared" si="30"/>
        <v>0</v>
      </c>
      <c r="BP25" s="34">
        <f t="shared" si="31"/>
        <v>0</v>
      </c>
      <c r="BQ25" s="29">
        <f t="shared" si="32"/>
        <v>0</v>
      </c>
      <c r="BR25" s="29">
        <f t="shared" si="33"/>
        <v>0</v>
      </c>
      <c r="BS25" s="29">
        <f t="shared" si="34"/>
        <v>0</v>
      </c>
      <c r="BT25" s="29">
        <f t="shared" si="35"/>
        <v>0</v>
      </c>
      <c r="BU25" s="29">
        <f t="shared" si="36"/>
        <v>0</v>
      </c>
      <c r="BV25" s="29">
        <f t="shared" si="37"/>
        <v>0</v>
      </c>
      <c r="BW25" s="29">
        <f t="shared" si="38"/>
        <v>0</v>
      </c>
    </row>
    <row r="26" spans="1:75" ht="15.75">
      <c r="A26" s="3" t="s">
        <v>67</v>
      </c>
      <c r="B26" s="4" t="s">
        <v>68</v>
      </c>
      <c r="C26" s="2">
        <v>2292.4</v>
      </c>
      <c r="D26" s="2">
        <v>5048.1000000000004</v>
      </c>
      <c r="E26" s="2">
        <v>4.2</v>
      </c>
      <c r="F26" s="2">
        <v>1.9</v>
      </c>
      <c r="G26" s="2">
        <v>24.2</v>
      </c>
      <c r="H26" s="2">
        <v>30.3</v>
      </c>
      <c r="I26" s="2">
        <v>55.4</v>
      </c>
      <c r="J26" s="2">
        <v>38.799999999999997</v>
      </c>
      <c r="K26" s="2">
        <v>2</v>
      </c>
      <c r="L26" s="2">
        <v>1.6</v>
      </c>
      <c r="M26" s="2">
        <v>1.1000000000000001</v>
      </c>
      <c r="N26" s="2">
        <v>0.6</v>
      </c>
      <c r="O26" s="2">
        <v>36.700000000000003</v>
      </c>
      <c r="P26" s="2">
        <v>38.9</v>
      </c>
      <c r="Q26" s="2">
        <v>6.6</v>
      </c>
      <c r="R26" s="2">
        <v>3.2</v>
      </c>
      <c r="S26" s="2">
        <v>18.399999999999999</v>
      </c>
      <c r="T26" s="2">
        <v>18.3</v>
      </c>
      <c r="U26" s="2">
        <v>47.7</v>
      </c>
      <c r="V26" s="2">
        <v>63.2</v>
      </c>
      <c r="W26" s="2">
        <v>101.1</v>
      </c>
      <c r="X26" s="2">
        <v>100.6</v>
      </c>
      <c r="Y26" s="2">
        <v>4.4000000000000004</v>
      </c>
      <c r="Z26" s="2">
        <v>2</v>
      </c>
      <c r="AB26" s="25">
        <v>2292.4</v>
      </c>
      <c r="AC26" s="26">
        <v>5048.1000000000004</v>
      </c>
      <c r="AD26" s="26">
        <v>4.2</v>
      </c>
      <c r="AE26" s="26">
        <v>1.9</v>
      </c>
      <c r="AF26" s="26">
        <v>24.2</v>
      </c>
      <c r="AG26" s="26">
        <v>30.3</v>
      </c>
      <c r="AH26" s="26">
        <v>55.4</v>
      </c>
      <c r="AI26" s="26">
        <v>38.799999999999997</v>
      </c>
      <c r="AJ26" s="25">
        <v>2</v>
      </c>
      <c r="AK26" s="26">
        <v>1.6</v>
      </c>
      <c r="AL26" s="26">
        <v>1.1000000000000001</v>
      </c>
      <c r="AM26" s="26">
        <v>0.6</v>
      </c>
      <c r="AN26" s="26">
        <v>36.700000000000003</v>
      </c>
      <c r="AO26" s="26">
        <v>38.9</v>
      </c>
      <c r="AP26" s="26">
        <v>6.6</v>
      </c>
      <c r="AQ26" s="26">
        <v>3.2</v>
      </c>
      <c r="AR26" s="25">
        <v>18.399999999999999</v>
      </c>
      <c r="AS26" s="26">
        <v>18.3</v>
      </c>
      <c r="AT26" s="26">
        <v>47.7</v>
      </c>
      <c r="AU26" s="26">
        <v>63.2</v>
      </c>
      <c r="AV26" s="26">
        <v>101.1</v>
      </c>
      <c r="AW26" s="26">
        <v>100.6</v>
      </c>
      <c r="AX26" s="26">
        <v>4.4000000000000004</v>
      </c>
      <c r="AY26" s="26">
        <v>2</v>
      </c>
      <c r="AZ26" s="34">
        <f t="shared" si="15"/>
        <v>0</v>
      </c>
      <c r="BA26" s="34">
        <f t="shared" si="16"/>
        <v>0</v>
      </c>
      <c r="BB26" s="34">
        <f t="shared" si="17"/>
        <v>0</v>
      </c>
      <c r="BC26" s="34">
        <f t="shared" si="18"/>
        <v>0</v>
      </c>
      <c r="BD26" s="34">
        <f t="shared" si="19"/>
        <v>0</v>
      </c>
      <c r="BE26" s="34">
        <f t="shared" si="20"/>
        <v>0</v>
      </c>
      <c r="BF26" s="34">
        <f t="shared" si="21"/>
        <v>0</v>
      </c>
      <c r="BG26" s="34">
        <f t="shared" si="22"/>
        <v>0</v>
      </c>
      <c r="BH26" s="34">
        <f t="shared" si="23"/>
        <v>0</v>
      </c>
      <c r="BI26" s="34">
        <f t="shared" si="24"/>
        <v>0</v>
      </c>
      <c r="BJ26" s="34">
        <f t="shared" si="25"/>
        <v>0</v>
      </c>
      <c r="BK26" s="34">
        <f t="shared" si="26"/>
        <v>0</v>
      </c>
      <c r="BL26" s="34">
        <f t="shared" si="27"/>
        <v>0</v>
      </c>
      <c r="BM26" s="34">
        <f t="shared" si="28"/>
        <v>0</v>
      </c>
      <c r="BN26" s="34">
        <f t="shared" si="29"/>
        <v>0</v>
      </c>
      <c r="BO26" s="34">
        <f t="shared" si="30"/>
        <v>0</v>
      </c>
      <c r="BP26" s="34">
        <f t="shared" si="31"/>
        <v>0</v>
      </c>
      <c r="BQ26" s="29">
        <f t="shared" si="32"/>
        <v>0</v>
      </c>
      <c r="BR26" s="29">
        <f t="shared" si="33"/>
        <v>0</v>
      </c>
      <c r="BS26" s="29">
        <f t="shared" si="34"/>
        <v>0</v>
      </c>
      <c r="BT26" s="29">
        <f t="shared" si="35"/>
        <v>0</v>
      </c>
      <c r="BU26" s="29">
        <f t="shared" si="36"/>
        <v>0</v>
      </c>
      <c r="BV26" s="29">
        <f t="shared" si="37"/>
        <v>0</v>
      </c>
      <c r="BW26" s="29">
        <f t="shared" si="38"/>
        <v>0</v>
      </c>
    </row>
    <row r="27" spans="1:75" ht="15.75">
      <c r="A27" s="3" t="s">
        <v>69</v>
      </c>
      <c r="B27" s="4" t="s">
        <v>70</v>
      </c>
      <c r="C27" s="2">
        <v>305</v>
      </c>
      <c r="D27" s="2">
        <v>330.4</v>
      </c>
      <c r="E27" s="2">
        <v>24.7</v>
      </c>
      <c r="F27" s="2">
        <v>23.2</v>
      </c>
      <c r="G27" s="2">
        <v>3.7</v>
      </c>
      <c r="H27" s="2">
        <v>-8</v>
      </c>
      <c r="I27" s="2">
        <v>55.6</v>
      </c>
      <c r="J27" s="2">
        <v>63.6</v>
      </c>
      <c r="K27" s="2">
        <v>4.3</v>
      </c>
      <c r="L27" s="2">
        <v>-7.1</v>
      </c>
      <c r="M27" s="2">
        <v>1.4</v>
      </c>
      <c r="N27" s="2">
        <v>-3</v>
      </c>
      <c r="O27" s="2">
        <v>30.3</v>
      </c>
      <c r="P27" s="2">
        <v>35</v>
      </c>
      <c r="Q27" s="2">
        <v>35.4</v>
      </c>
      <c r="R27" s="2">
        <v>35.700000000000003</v>
      </c>
      <c r="S27" s="2">
        <v>36.5</v>
      </c>
      <c r="T27" s="2">
        <v>32.200000000000003</v>
      </c>
      <c r="U27" s="2">
        <v>68.8</v>
      </c>
      <c r="V27" s="2">
        <v>56.6</v>
      </c>
      <c r="W27" s="2">
        <v>101.4</v>
      </c>
      <c r="X27" s="2">
        <v>97.1</v>
      </c>
      <c r="Y27" s="2">
        <v>32.799999999999997</v>
      </c>
      <c r="Z27" s="2">
        <v>30.3</v>
      </c>
      <c r="AB27" s="25">
        <v>305</v>
      </c>
      <c r="AC27" s="26">
        <v>330.4</v>
      </c>
      <c r="AD27" s="26">
        <v>24.7</v>
      </c>
      <c r="AE27" s="26">
        <v>23.2</v>
      </c>
      <c r="AF27" s="26">
        <v>3.7</v>
      </c>
      <c r="AG27" s="26">
        <v>-8</v>
      </c>
      <c r="AH27" s="26">
        <v>55.6</v>
      </c>
      <c r="AI27" s="26">
        <v>63.6</v>
      </c>
      <c r="AJ27" s="25">
        <v>4.3</v>
      </c>
      <c r="AK27" s="26">
        <v>-7.1</v>
      </c>
      <c r="AL27" s="26">
        <v>1.4</v>
      </c>
      <c r="AM27" s="26">
        <v>-3</v>
      </c>
      <c r="AN27" s="26">
        <v>30.3</v>
      </c>
      <c r="AO27" s="26">
        <v>35</v>
      </c>
      <c r="AP27" s="26">
        <v>35.4</v>
      </c>
      <c r="AQ27" s="26">
        <v>35.700000000000003</v>
      </c>
      <c r="AR27" s="25">
        <v>36.5</v>
      </c>
      <c r="AS27" s="26">
        <v>32.200000000000003</v>
      </c>
      <c r="AT27" s="26">
        <v>68.8</v>
      </c>
      <c r="AU27" s="26">
        <v>56.6</v>
      </c>
      <c r="AV27" s="26">
        <v>101.4</v>
      </c>
      <c r="AW27" s="26">
        <v>97.1</v>
      </c>
      <c r="AX27" s="26">
        <v>32.799999999999997</v>
      </c>
      <c r="AY27" s="26">
        <v>30.3</v>
      </c>
      <c r="AZ27" s="34">
        <f t="shared" si="15"/>
        <v>0</v>
      </c>
      <c r="BA27" s="34">
        <f t="shared" si="16"/>
        <v>0</v>
      </c>
      <c r="BB27" s="34">
        <f t="shared" si="17"/>
        <v>0</v>
      </c>
      <c r="BC27" s="34">
        <f t="shared" si="18"/>
        <v>0</v>
      </c>
      <c r="BD27" s="34">
        <f t="shared" si="19"/>
        <v>0</v>
      </c>
      <c r="BE27" s="34">
        <f t="shared" si="20"/>
        <v>0</v>
      </c>
      <c r="BF27" s="34">
        <f t="shared" si="21"/>
        <v>0</v>
      </c>
      <c r="BG27" s="34">
        <f t="shared" si="22"/>
        <v>0</v>
      </c>
      <c r="BH27" s="34">
        <f t="shared" si="23"/>
        <v>0</v>
      </c>
      <c r="BI27" s="34">
        <f t="shared" si="24"/>
        <v>0</v>
      </c>
      <c r="BJ27" s="34">
        <f t="shared" si="25"/>
        <v>0</v>
      </c>
      <c r="BK27" s="34">
        <f t="shared" si="26"/>
        <v>0</v>
      </c>
      <c r="BL27" s="34">
        <f t="shared" si="27"/>
        <v>0</v>
      </c>
      <c r="BM27" s="34">
        <f t="shared" si="28"/>
        <v>0</v>
      </c>
      <c r="BN27" s="34">
        <f t="shared" si="29"/>
        <v>0</v>
      </c>
      <c r="BO27" s="34">
        <f t="shared" si="30"/>
        <v>0</v>
      </c>
      <c r="BP27" s="34">
        <f t="shared" si="31"/>
        <v>0</v>
      </c>
      <c r="BQ27" s="29">
        <f t="shared" si="32"/>
        <v>0</v>
      </c>
      <c r="BR27" s="29">
        <f t="shared" si="33"/>
        <v>0</v>
      </c>
      <c r="BS27" s="29">
        <f t="shared" si="34"/>
        <v>0</v>
      </c>
      <c r="BT27" s="29">
        <f t="shared" si="35"/>
        <v>0</v>
      </c>
      <c r="BU27" s="29">
        <f t="shared" si="36"/>
        <v>0</v>
      </c>
      <c r="BV27" s="29">
        <f t="shared" si="37"/>
        <v>0</v>
      </c>
      <c r="BW27" s="29">
        <f t="shared" si="38"/>
        <v>0</v>
      </c>
    </row>
    <row r="28" spans="1:75" ht="16.5" thickBot="1">
      <c r="A28" s="3" t="s">
        <v>71</v>
      </c>
      <c r="B28" s="4" t="s">
        <v>72</v>
      </c>
      <c r="C28" s="2" t="s">
        <v>55</v>
      </c>
      <c r="D28" s="2">
        <v>1095.0999999999999</v>
      </c>
      <c r="E28" s="2" t="s">
        <v>55</v>
      </c>
      <c r="F28" s="2">
        <v>8.4</v>
      </c>
      <c r="G28" s="2" t="s">
        <v>55</v>
      </c>
      <c r="H28" s="2">
        <v>-455.8</v>
      </c>
      <c r="I28" s="2" t="s">
        <v>55</v>
      </c>
      <c r="J28" s="2">
        <v>81.2</v>
      </c>
      <c r="K28" s="2" t="s">
        <v>55</v>
      </c>
      <c r="L28" s="2">
        <v>-121.8</v>
      </c>
      <c r="M28" s="2" t="s">
        <v>55</v>
      </c>
      <c r="N28" s="2">
        <v>-76.099999999999994</v>
      </c>
      <c r="O28" s="2" t="s">
        <v>55</v>
      </c>
      <c r="P28" s="2">
        <v>28.8</v>
      </c>
      <c r="Q28" s="2" t="s">
        <v>55</v>
      </c>
      <c r="R28" s="2">
        <v>11.8</v>
      </c>
      <c r="S28" s="2" t="s">
        <v>55</v>
      </c>
      <c r="T28" s="2">
        <v>0.2</v>
      </c>
      <c r="U28" s="2" t="s">
        <v>55</v>
      </c>
      <c r="V28" s="2">
        <v>21.3</v>
      </c>
      <c r="W28" s="2" t="s">
        <v>55</v>
      </c>
      <c r="X28" s="2">
        <v>56.8</v>
      </c>
      <c r="Y28" s="2" t="s">
        <v>55</v>
      </c>
      <c r="Z28" s="2">
        <v>9.1</v>
      </c>
      <c r="AB28" s="25" t="s">
        <v>55</v>
      </c>
      <c r="AC28" s="26">
        <v>1095.0999999999999</v>
      </c>
      <c r="AD28" s="26" t="s">
        <v>55</v>
      </c>
      <c r="AE28" s="26">
        <v>8.4</v>
      </c>
      <c r="AF28" s="26" t="s">
        <v>55</v>
      </c>
      <c r="AG28" s="26">
        <v>-455.8</v>
      </c>
      <c r="AH28" s="26" t="s">
        <v>55</v>
      </c>
      <c r="AI28" s="26">
        <v>81.2</v>
      </c>
      <c r="AJ28" s="25" t="s">
        <v>55</v>
      </c>
      <c r="AK28" s="26">
        <v>-121.8</v>
      </c>
      <c r="AL28" s="26" t="s">
        <v>55</v>
      </c>
      <c r="AM28" s="26">
        <v>-76.099999999999994</v>
      </c>
      <c r="AN28" s="26" t="s">
        <v>55</v>
      </c>
      <c r="AO28" s="26">
        <v>28.8</v>
      </c>
      <c r="AP28" s="26" t="s">
        <v>55</v>
      </c>
      <c r="AQ28" s="26">
        <v>11.8</v>
      </c>
      <c r="AR28" s="25" t="s">
        <v>55</v>
      </c>
      <c r="AS28" s="26">
        <v>0.2</v>
      </c>
      <c r="AT28" s="26" t="s">
        <v>55</v>
      </c>
      <c r="AU28" s="26">
        <v>21.3</v>
      </c>
      <c r="AV28" s="26" t="s">
        <v>55</v>
      </c>
      <c r="AW28" s="26">
        <v>56.8</v>
      </c>
      <c r="AX28" s="26" t="s">
        <v>55</v>
      </c>
      <c r="AY28" s="26">
        <v>9.1</v>
      </c>
      <c r="AZ28" s="34" t="e">
        <f t="shared" si="15"/>
        <v>#VALUE!</v>
      </c>
      <c r="BA28" s="34">
        <f t="shared" si="16"/>
        <v>0</v>
      </c>
      <c r="BB28" s="34" t="e">
        <f t="shared" si="17"/>
        <v>#VALUE!</v>
      </c>
      <c r="BC28" s="34">
        <f t="shared" si="18"/>
        <v>0</v>
      </c>
      <c r="BD28" s="34" t="e">
        <f t="shared" si="19"/>
        <v>#VALUE!</v>
      </c>
      <c r="BE28" s="34">
        <f t="shared" si="20"/>
        <v>0</v>
      </c>
      <c r="BF28" s="34" t="e">
        <f t="shared" si="21"/>
        <v>#VALUE!</v>
      </c>
      <c r="BG28" s="34">
        <f t="shared" si="22"/>
        <v>0</v>
      </c>
      <c r="BH28" s="34" t="e">
        <f t="shared" si="23"/>
        <v>#VALUE!</v>
      </c>
      <c r="BI28" s="34">
        <f t="shared" si="24"/>
        <v>0</v>
      </c>
      <c r="BJ28" s="34" t="e">
        <f t="shared" si="25"/>
        <v>#VALUE!</v>
      </c>
      <c r="BK28" s="34">
        <f t="shared" si="26"/>
        <v>0</v>
      </c>
      <c r="BL28" s="34" t="e">
        <f t="shared" si="27"/>
        <v>#VALUE!</v>
      </c>
      <c r="BM28" s="34">
        <f t="shared" si="28"/>
        <v>0</v>
      </c>
      <c r="BN28" s="34" t="e">
        <f t="shared" si="29"/>
        <v>#VALUE!</v>
      </c>
      <c r="BO28" s="34">
        <f t="shared" si="30"/>
        <v>0</v>
      </c>
      <c r="BP28" s="34" t="e">
        <f t="shared" si="31"/>
        <v>#VALUE!</v>
      </c>
      <c r="BQ28" s="29">
        <f t="shared" si="32"/>
        <v>0</v>
      </c>
      <c r="BR28" s="29" t="e">
        <f t="shared" si="33"/>
        <v>#VALUE!</v>
      </c>
      <c r="BS28" s="29">
        <f t="shared" si="34"/>
        <v>0</v>
      </c>
      <c r="BT28" s="29" t="e">
        <f t="shared" si="35"/>
        <v>#VALUE!</v>
      </c>
      <c r="BU28" s="29">
        <f t="shared" si="36"/>
        <v>0</v>
      </c>
      <c r="BV28" s="29" t="e">
        <f t="shared" si="37"/>
        <v>#VALUE!</v>
      </c>
      <c r="BW28" s="29">
        <f t="shared" si="38"/>
        <v>0</v>
      </c>
    </row>
    <row r="29" spans="1:75" s="13" customFormat="1" ht="39.75" thickBot="1">
      <c r="A29" s="10" t="s">
        <v>144</v>
      </c>
      <c r="B29" s="11" t="s">
        <v>73</v>
      </c>
      <c r="C29" s="12">
        <v>237.7</v>
      </c>
      <c r="D29" s="12">
        <v>253.6</v>
      </c>
      <c r="E29" s="12">
        <v>29.6</v>
      </c>
      <c r="F29" s="12">
        <v>28.3</v>
      </c>
      <c r="G29" s="12">
        <v>131.19999999999999</v>
      </c>
      <c r="H29" s="12">
        <v>143.19999999999999</v>
      </c>
      <c r="I29" s="12">
        <v>36.700000000000003</v>
      </c>
      <c r="J29" s="12">
        <v>34.9</v>
      </c>
      <c r="K29" s="12">
        <v>204.4</v>
      </c>
      <c r="L29" s="12">
        <v>225.7</v>
      </c>
      <c r="M29" s="12">
        <v>47.2</v>
      </c>
      <c r="N29" s="12">
        <v>48.7</v>
      </c>
      <c r="O29" s="12">
        <v>47.6</v>
      </c>
      <c r="P29" s="12">
        <v>50.8</v>
      </c>
      <c r="Q29" s="12">
        <v>56.6</v>
      </c>
      <c r="R29" s="12">
        <v>57.4</v>
      </c>
      <c r="S29" s="12">
        <v>5.2</v>
      </c>
      <c r="T29" s="12">
        <v>19.100000000000001</v>
      </c>
      <c r="U29" s="12">
        <v>145.69999999999999</v>
      </c>
      <c r="V29" s="12">
        <v>153</v>
      </c>
      <c r="W29" s="12">
        <v>189.4</v>
      </c>
      <c r="X29" s="12">
        <v>195.1</v>
      </c>
      <c r="Y29" s="12">
        <v>42.1</v>
      </c>
      <c r="Z29" s="12">
        <v>39.4</v>
      </c>
      <c r="AB29" s="23">
        <v>237.7</v>
      </c>
      <c r="AC29" s="24">
        <v>253.6</v>
      </c>
      <c r="AD29" s="24">
        <v>29.6</v>
      </c>
      <c r="AE29" s="24">
        <v>28.3</v>
      </c>
      <c r="AF29" s="24">
        <v>131.19999999999999</v>
      </c>
      <c r="AG29" s="24">
        <v>143.19999999999999</v>
      </c>
      <c r="AH29" s="24">
        <v>36.700000000000003</v>
      </c>
      <c r="AI29" s="24">
        <v>34.9</v>
      </c>
      <c r="AJ29" s="25">
        <v>204.4</v>
      </c>
      <c r="AK29" s="26">
        <v>225.7</v>
      </c>
      <c r="AL29" s="26">
        <v>47.2</v>
      </c>
      <c r="AM29" s="26">
        <v>48.7</v>
      </c>
      <c r="AN29" s="26">
        <v>47.6</v>
      </c>
      <c r="AO29" s="26">
        <v>50.8</v>
      </c>
      <c r="AP29" s="26">
        <v>56.6</v>
      </c>
      <c r="AQ29" s="26">
        <v>57.4</v>
      </c>
      <c r="AR29" s="25">
        <v>5.2</v>
      </c>
      <c r="AS29" s="26">
        <v>19.100000000000001</v>
      </c>
      <c r="AT29" s="26">
        <v>145.69999999999999</v>
      </c>
      <c r="AU29" s="26">
        <v>153</v>
      </c>
      <c r="AV29" s="26">
        <v>189.4</v>
      </c>
      <c r="AW29" s="26">
        <v>195.1</v>
      </c>
      <c r="AX29" s="26">
        <v>42.1</v>
      </c>
      <c r="AY29" s="26">
        <v>39.4</v>
      </c>
      <c r="AZ29" s="34">
        <f t="shared" si="15"/>
        <v>0</v>
      </c>
      <c r="BA29" s="34">
        <f t="shared" si="16"/>
        <v>0</v>
      </c>
      <c r="BB29" s="34">
        <f t="shared" si="17"/>
        <v>0</v>
      </c>
      <c r="BC29" s="34">
        <f t="shared" si="18"/>
        <v>0</v>
      </c>
      <c r="BD29" s="34">
        <f t="shared" si="19"/>
        <v>0</v>
      </c>
      <c r="BE29" s="34">
        <f t="shared" si="20"/>
        <v>0</v>
      </c>
      <c r="BF29" s="34">
        <f t="shared" si="21"/>
        <v>0</v>
      </c>
      <c r="BG29" s="34">
        <f t="shared" si="22"/>
        <v>0</v>
      </c>
      <c r="BH29" s="34">
        <f t="shared" si="23"/>
        <v>0</v>
      </c>
      <c r="BI29" s="34">
        <f t="shared" si="24"/>
        <v>0</v>
      </c>
      <c r="BJ29" s="34">
        <f t="shared" si="25"/>
        <v>0</v>
      </c>
      <c r="BK29" s="34">
        <f t="shared" si="26"/>
        <v>0</v>
      </c>
      <c r="BL29" s="34">
        <f t="shared" si="27"/>
        <v>0</v>
      </c>
      <c r="BM29" s="34">
        <f t="shared" si="28"/>
        <v>0</v>
      </c>
      <c r="BN29" s="34">
        <f t="shared" si="29"/>
        <v>0</v>
      </c>
      <c r="BO29" s="34">
        <f t="shared" si="30"/>
        <v>0</v>
      </c>
      <c r="BP29" s="34">
        <f t="shared" si="31"/>
        <v>0</v>
      </c>
      <c r="BQ29" s="29">
        <f t="shared" si="32"/>
        <v>0</v>
      </c>
      <c r="BR29" s="29">
        <f t="shared" si="33"/>
        <v>0</v>
      </c>
      <c r="BS29" s="29">
        <f t="shared" si="34"/>
        <v>0</v>
      </c>
      <c r="BT29" s="29">
        <f t="shared" si="35"/>
        <v>0</v>
      </c>
      <c r="BU29" s="29">
        <f t="shared" si="36"/>
        <v>0</v>
      </c>
      <c r="BV29" s="29">
        <f t="shared" si="37"/>
        <v>0</v>
      </c>
      <c r="BW29" s="29">
        <f t="shared" si="38"/>
        <v>0</v>
      </c>
    </row>
    <row r="30" spans="1:75" ht="39.75" thickBot="1">
      <c r="A30" s="3" t="s">
        <v>74</v>
      </c>
      <c r="B30" s="4" t="s">
        <v>75</v>
      </c>
      <c r="C30" s="2">
        <v>207</v>
      </c>
      <c r="D30" s="2">
        <v>223.1</v>
      </c>
      <c r="E30" s="2">
        <v>32.6</v>
      </c>
      <c r="F30" s="2">
        <v>30.9</v>
      </c>
      <c r="G30" s="2">
        <v>139.30000000000001</v>
      </c>
      <c r="H30" s="2">
        <v>153.69999999999999</v>
      </c>
      <c r="I30" s="2">
        <v>31</v>
      </c>
      <c r="J30" s="2">
        <v>29</v>
      </c>
      <c r="K30" s="2">
        <v>259.5</v>
      </c>
      <c r="L30" s="2">
        <v>295</v>
      </c>
      <c r="M30" s="2">
        <v>52.5</v>
      </c>
      <c r="N30" s="2">
        <v>54.6</v>
      </c>
      <c r="O30" s="2">
        <v>44.7</v>
      </c>
      <c r="P30" s="2">
        <v>48.8</v>
      </c>
      <c r="Q30" s="2">
        <v>58.9</v>
      </c>
      <c r="R30" s="2">
        <v>60.5</v>
      </c>
      <c r="S30" s="2">
        <v>3.2</v>
      </c>
      <c r="T30" s="2">
        <v>19</v>
      </c>
      <c r="U30" s="2">
        <v>167.8</v>
      </c>
      <c r="V30" s="2">
        <v>179.5</v>
      </c>
      <c r="W30" s="2">
        <v>210.4</v>
      </c>
      <c r="X30" s="2">
        <v>220.3</v>
      </c>
      <c r="Y30" s="2">
        <v>48.3</v>
      </c>
      <c r="Z30" s="2">
        <v>44.8</v>
      </c>
      <c r="AB30" s="25">
        <v>207</v>
      </c>
      <c r="AC30" s="26">
        <v>223.1</v>
      </c>
      <c r="AD30" s="26">
        <v>32.6</v>
      </c>
      <c r="AE30" s="26">
        <v>30.9</v>
      </c>
      <c r="AF30" s="26">
        <v>139.30000000000001</v>
      </c>
      <c r="AG30" s="26">
        <v>153.69999999999999</v>
      </c>
      <c r="AH30" s="26">
        <v>31</v>
      </c>
      <c r="AI30" s="26">
        <v>29</v>
      </c>
      <c r="AJ30" s="25">
        <v>259.5</v>
      </c>
      <c r="AK30" s="26">
        <v>295</v>
      </c>
      <c r="AL30" s="26">
        <v>52.5</v>
      </c>
      <c r="AM30" s="26">
        <v>54.6</v>
      </c>
      <c r="AN30" s="26">
        <v>44.7</v>
      </c>
      <c r="AO30" s="26">
        <v>48.8</v>
      </c>
      <c r="AP30" s="26">
        <v>58.9</v>
      </c>
      <c r="AQ30" s="26">
        <v>60.5</v>
      </c>
      <c r="AR30" s="23">
        <v>3.2</v>
      </c>
      <c r="AS30" s="24">
        <v>19</v>
      </c>
      <c r="AT30" s="24">
        <v>167.8</v>
      </c>
      <c r="AU30" s="24">
        <v>179.5</v>
      </c>
      <c r="AV30" s="24">
        <v>210.4</v>
      </c>
      <c r="AW30" s="24">
        <v>220.3</v>
      </c>
      <c r="AX30" s="24">
        <v>48.3</v>
      </c>
      <c r="AY30" s="26">
        <v>44.8</v>
      </c>
      <c r="AZ30" s="34">
        <f t="shared" si="15"/>
        <v>0</v>
      </c>
      <c r="BA30" s="34">
        <f t="shared" si="16"/>
        <v>0</v>
      </c>
      <c r="BB30" s="34">
        <f t="shared" si="17"/>
        <v>0</v>
      </c>
      <c r="BC30" s="34">
        <f t="shared" si="18"/>
        <v>0</v>
      </c>
      <c r="BD30" s="34">
        <f t="shared" si="19"/>
        <v>0</v>
      </c>
      <c r="BE30" s="34">
        <f t="shared" si="20"/>
        <v>0</v>
      </c>
      <c r="BF30" s="34">
        <f t="shared" si="21"/>
        <v>0</v>
      </c>
      <c r="BG30" s="34">
        <f t="shared" si="22"/>
        <v>0</v>
      </c>
      <c r="BH30" s="34">
        <f t="shared" si="23"/>
        <v>0</v>
      </c>
      <c r="BI30" s="34">
        <f t="shared" si="24"/>
        <v>0</v>
      </c>
      <c r="BJ30" s="34">
        <f t="shared" si="25"/>
        <v>0</v>
      </c>
      <c r="BK30" s="34">
        <f t="shared" si="26"/>
        <v>0</v>
      </c>
      <c r="BL30" s="34">
        <f t="shared" si="27"/>
        <v>0</v>
      </c>
      <c r="BM30" s="34">
        <f t="shared" si="28"/>
        <v>0</v>
      </c>
      <c r="BN30" s="34">
        <f t="shared" si="29"/>
        <v>0</v>
      </c>
      <c r="BO30" s="34">
        <f t="shared" si="30"/>
        <v>0</v>
      </c>
      <c r="BP30" s="34">
        <f t="shared" si="31"/>
        <v>0</v>
      </c>
      <c r="BQ30" s="29">
        <f t="shared" si="32"/>
        <v>0</v>
      </c>
      <c r="BR30" s="29">
        <f t="shared" si="33"/>
        <v>0</v>
      </c>
      <c r="BS30" s="29">
        <f t="shared" si="34"/>
        <v>0</v>
      </c>
      <c r="BT30" s="29">
        <f t="shared" si="35"/>
        <v>0</v>
      </c>
      <c r="BU30" s="29">
        <f t="shared" si="36"/>
        <v>0</v>
      </c>
      <c r="BV30" s="29">
        <f t="shared" si="37"/>
        <v>0</v>
      </c>
      <c r="BW30" s="29">
        <f t="shared" si="38"/>
        <v>0</v>
      </c>
    </row>
    <row r="31" spans="1:75" ht="39">
      <c r="A31" s="3" t="s">
        <v>76</v>
      </c>
      <c r="B31" s="4" t="s">
        <v>77</v>
      </c>
      <c r="C31" s="2">
        <v>1603.4</v>
      </c>
      <c r="D31" s="2">
        <v>1261.0999999999999</v>
      </c>
      <c r="E31" s="2">
        <v>5.9</v>
      </c>
      <c r="F31" s="2">
        <v>7.3</v>
      </c>
      <c r="G31" s="2">
        <v>-227.3</v>
      </c>
      <c r="H31" s="2">
        <v>-203.2</v>
      </c>
      <c r="I31" s="2">
        <v>82.3</v>
      </c>
      <c r="J31" s="2">
        <v>80.599999999999994</v>
      </c>
      <c r="K31" s="2">
        <v>-42.7</v>
      </c>
      <c r="L31" s="2">
        <v>-46.4</v>
      </c>
      <c r="M31" s="2">
        <v>-27.3</v>
      </c>
      <c r="N31" s="2">
        <v>-28.9</v>
      </c>
      <c r="O31" s="2">
        <v>84.5</v>
      </c>
      <c r="P31" s="2">
        <v>78.099999999999994</v>
      </c>
      <c r="Q31" s="2">
        <v>37.799999999999997</v>
      </c>
      <c r="R31" s="2">
        <v>33.5</v>
      </c>
      <c r="S31" s="2">
        <v>16</v>
      </c>
      <c r="T31" s="2">
        <v>20</v>
      </c>
      <c r="U31" s="2">
        <v>28.4</v>
      </c>
      <c r="V31" s="2">
        <v>29.2</v>
      </c>
      <c r="W31" s="2">
        <v>78.599999999999994</v>
      </c>
      <c r="X31" s="2">
        <v>77.599999999999994</v>
      </c>
      <c r="Y31" s="2">
        <v>6.2</v>
      </c>
      <c r="Z31" s="2">
        <v>7.9</v>
      </c>
      <c r="AB31" s="25">
        <v>1603.4</v>
      </c>
      <c r="AC31" s="26">
        <v>1261.0999999999999</v>
      </c>
      <c r="AD31" s="26">
        <v>5.9</v>
      </c>
      <c r="AE31" s="26">
        <v>7.3</v>
      </c>
      <c r="AF31" s="26">
        <v>-227.3</v>
      </c>
      <c r="AG31" s="26">
        <v>-203.2</v>
      </c>
      <c r="AH31" s="26">
        <v>82.3</v>
      </c>
      <c r="AI31" s="26">
        <v>80.599999999999994</v>
      </c>
      <c r="AJ31" s="23">
        <v>-42.7</v>
      </c>
      <c r="AK31" s="24">
        <v>-46.4</v>
      </c>
      <c r="AL31" s="24">
        <v>-27.3</v>
      </c>
      <c r="AM31" s="24">
        <v>-28.9</v>
      </c>
      <c r="AN31" s="24">
        <v>84.5</v>
      </c>
      <c r="AO31" s="24">
        <v>78.099999999999994</v>
      </c>
      <c r="AP31" s="24">
        <v>37.799999999999997</v>
      </c>
      <c r="AQ31" s="24">
        <v>33.5</v>
      </c>
      <c r="AR31" s="25">
        <v>16</v>
      </c>
      <c r="AS31" s="26">
        <v>20</v>
      </c>
      <c r="AT31" s="26">
        <v>28.4</v>
      </c>
      <c r="AU31" s="26">
        <v>29.2</v>
      </c>
      <c r="AV31" s="26">
        <v>78.599999999999994</v>
      </c>
      <c r="AW31" s="26">
        <v>77.599999999999994</v>
      </c>
      <c r="AX31" s="26">
        <v>6.2</v>
      </c>
      <c r="AY31" s="26">
        <v>7.9</v>
      </c>
      <c r="AZ31" s="34">
        <f t="shared" si="15"/>
        <v>0</v>
      </c>
      <c r="BA31" s="34">
        <f t="shared" si="16"/>
        <v>0</v>
      </c>
      <c r="BB31" s="34">
        <f t="shared" si="17"/>
        <v>0</v>
      </c>
      <c r="BC31" s="34">
        <f t="shared" si="18"/>
        <v>0</v>
      </c>
      <c r="BD31" s="34">
        <f t="shared" si="19"/>
        <v>0</v>
      </c>
      <c r="BE31" s="34">
        <f t="shared" si="20"/>
        <v>0</v>
      </c>
      <c r="BF31" s="34">
        <f t="shared" si="21"/>
        <v>0</v>
      </c>
      <c r="BG31" s="34">
        <f t="shared" si="22"/>
        <v>0</v>
      </c>
      <c r="BH31" s="34">
        <f t="shared" si="23"/>
        <v>0</v>
      </c>
      <c r="BI31" s="34">
        <f t="shared" si="24"/>
        <v>0</v>
      </c>
      <c r="BJ31" s="34">
        <f t="shared" si="25"/>
        <v>0</v>
      </c>
      <c r="BK31" s="34">
        <f t="shared" si="26"/>
        <v>0</v>
      </c>
      <c r="BL31" s="34">
        <f t="shared" si="27"/>
        <v>0</v>
      </c>
      <c r="BM31" s="34">
        <f t="shared" si="28"/>
        <v>0</v>
      </c>
      <c r="BN31" s="34">
        <f t="shared" si="29"/>
        <v>0</v>
      </c>
      <c r="BO31" s="34">
        <f t="shared" si="30"/>
        <v>0</v>
      </c>
      <c r="BP31" s="34">
        <f t="shared" si="31"/>
        <v>0</v>
      </c>
      <c r="BQ31" s="29">
        <f t="shared" si="32"/>
        <v>0</v>
      </c>
      <c r="BR31" s="29">
        <f t="shared" si="33"/>
        <v>0</v>
      </c>
      <c r="BS31" s="29">
        <f t="shared" si="34"/>
        <v>0</v>
      </c>
      <c r="BT31" s="29">
        <f t="shared" si="35"/>
        <v>0</v>
      </c>
      <c r="BU31" s="29">
        <f t="shared" si="36"/>
        <v>0</v>
      </c>
      <c r="BV31" s="29">
        <f t="shared" si="37"/>
        <v>0</v>
      </c>
      <c r="BW31" s="29">
        <f t="shared" si="38"/>
        <v>0</v>
      </c>
    </row>
    <row r="32" spans="1:75" s="13" customFormat="1" ht="15.75">
      <c r="A32" s="10" t="s">
        <v>145</v>
      </c>
      <c r="B32" s="11" t="s">
        <v>78</v>
      </c>
      <c r="C32" s="12">
        <v>112.7</v>
      </c>
      <c r="D32" s="12">
        <v>155.9</v>
      </c>
      <c r="E32" s="12">
        <v>47</v>
      </c>
      <c r="F32" s="12">
        <v>39.1</v>
      </c>
      <c r="G32" s="12">
        <v>27.2</v>
      </c>
      <c r="H32" s="12">
        <v>12.1</v>
      </c>
      <c r="I32" s="12">
        <v>81.8</v>
      </c>
      <c r="J32" s="12">
        <v>88</v>
      </c>
      <c r="K32" s="12">
        <v>683.2</v>
      </c>
      <c r="L32" s="12">
        <v>209.8</v>
      </c>
      <c r="M32" s="12">
        <v>63.7</v>
      </c>
      <c r="N32" s="12">
        <v>33.299999999999997</v>
      </c>
      <c r="O32" s="12">
        <v>49.3</v>
      </c>
      <c r="P32" s="12">
        <v>56.8</v>
      </c>
      <c r="Q32" s="12">
        <v>92.7</v>
      </c>
      <c r="R32" s="12">
        <v>90.5</v>
      </c>
      <c r="S32" s="12">
        <v>160</v>
      </c>
      <c r="T32" s="12">
        <v>67.3</v>
      </c>
      <c r="U32" s="12">
        <v>249.5</v>
      </c>
      <c r="V32" s="12">
        <v>126.1</v>
      </c>
      <c r="W32" s="12">
        <v>275.10000000000002</v>
      </c>
      <c r="X32" s="12">
        <v>149.80000000000001</v>
      </c>
      <c r="Y32" s="12">
        <v>88.7</v>
      </c>
      <c r="Z32" s="12">
        <v>64.099999999999994</v>
      </c>
      <c r="AB32" s="25">
        <v>112.7</v>
      </c>
      <c r="AC32" s="26">
        <v>155.9</v>
      </c>
      <c r="AD32" s="26">
        <v>47</v>
      </c>
      <c r="AE32" s="26">
        <v>39.1</v>
      </c>
      <c r="AF32" s="26">
        <v>27.2</v>
      </c>
      <c r="AG32" s="26">
        <v>12.1</v>
      </c>
      <c r="AH32" s="26">
        <v>81.8</v>
      </c>
      <c r="AI32" s="26">
        <v>88</v>
      </c>
      <c r="AJ32" s="25">
        <v>683.2</v>
      </c>
      <c r="AK32" s="26">
        <v>209.8</v>
      </c>
      <c r="AL32" s="26">
        <v>63.7</v>
      </c>
      <c r="AM32" s="26">
        <v>33.299999999999997</v>
      </c>
      <c r="AN32" s="26">
        <v>49.3</v>
      </c>
      <c r="AO32" s="26">
        <v>56.8</v>
      </c>
      <c r="AP32" s="26">
        <v>92.7</v>
      </c>
      <c r="AQ32" s="26">
        <v>90.5</v>
      </c>
      <c r="AR32" s="25">
        <v>160</v>
      </c>
      <c r="AS32" s="26">
        <v>67.3</v>
      </c>
      <c r="AT32" s="26">
        <v>249.5</v>
      </c>
      <c r="AU32" s="26">
        <v>126.1</v>
      </c>
      <c r="AV32" s="26">
        <v>275.10000000000002</v>
      </c>
      <c r="AW32" s="26">
        <v>149.80000000000001</v>
      </c>
      <c r="AX32" s="26">
        <v>88.7</v>
      </c>
      <c r="AY32" s="26">
        <v>64.099999999999994</v>
      </c>
      <c r="AZ32" s="34">
        <f t="shared" si="15"/>
        <v>0</v>
      </c>
      <c r="BA32" s="34">
        <f t="shared" si="16"/>
        <v>0</v>
      </c>
      <c r="BB32" s="34">
        <f t="shared" si="17"/>
        <v>0</v>
      </c>
      <c r="BC32" s="34">
        <f t="shared" si="18"/>
        <v>0</v>
      </c>
      <c r="BD32" s="34">
        <f t="shared" si="19"/>
        <v>0</v>
      </c>
      <c r="BE32" s="34">
        <f t="shared" si="20"/>
        <v>0</v>
      </c>
      <c r="BF32" s="34">
        <f t="shared" si="21"/>
        <v>0</v>
      </c>
      <c r="BG32" s="34">
        <f t="shared" si="22"/>
        <v>0</v>
      </c>
      <c r="BH32" s="34">
        <f t="shared" si="23"/>
        <v>0</v>
      </c>
      <c r="BI32" s="34">
        <f t="shared" si="24"/>
        <v>0</v>
      </c>
      <c r="BJ32" s="34">
        <f t="shared" si="25"/>
        <v>0</v>
      </c>
      <c r="BK32" s="34">
        <f t="shared" si="26"/>
        <v>0</v>
      </c>
      <c r="BL32" s="34">
        <f t="shared" si="27"/>
        <v>0</v>
      </c>
      <c r="BM32" s="34">
        <f t="shared" si="28"/>
        <v>0</v>
      </c>
      <c r="BN32" s="34">
        <f t="shared" si="29"/>
        <v>0</v>
      </c>
      <c r="BO32" s="34">
        <f t="shared" si="30"/>
        <v>0</v>
      </c>
      <c r="BP32" s="34">
        <f t="shared" si="31"/>
        <v>0</v>
      </c>
      <c r="BQ32" s="29">
        <f t="shared" si="32"/>
        <v>0</v>
      </c>
      <c r="BR32" s="29">
        <f t="shared" si="33"/>
        <v>0</v>
      </c>
      <c r="BS32" s="29">
        <f t="shared" si="34"/>
        <v>0</v>
      </c>
      <c r="BT32" s="29">
        <f t="shared" si="35"/>
        <v>0</v>
      </c>
      <c r="BU32" s="29">
        <f t="shared" si="36"/>
        <v>0</v>
      </c>
      <c r="BV32" s="29">
        <f t="shared" si="37"/>
        <v>0</v>
      </c>
      <c r="BW32" s="29">
        <f t="shared" si="38"/>
        <v>0</v>
      </c>
    </row>
    <row r="33" spans="1:75" ht="26.25">
      <c r="A33" s="3" t="s">
        <v>79</v>
      </c>
      <c r="B33" s="4" t="s">
        <v>80</v>
      </c>
      <c r="C33" s="2">
        <v>18.7</v>
      </c>
      <c r="D33" s="2">
        <v>34</v>
      </c>
      <c r="E33" s="2">
        <v>84.2</v>
      </c>
      <c r="F33" s="2">
        <v>74.599999999999994</v>
      </c>
      <c r="G33" s="2">
        <v>54.7</v>
      </c>
      <c r="H33" s="2">
        <v>24.5</v>
      </c>
      <c r="I33" s="2">
        <v>46.3</v>
      </c>
      <c r="J33" s="2">
        <v>62.3</v>
      </c>
      <c r="K33" s="2">
        <v>3362.4</v>
      </c>
      <c r="L33" s="2">
        <v>1437.9</v>
      </c>
      <c r="M33" s="2">
        <v>83.7</v>
      </c>
      <c r="N33" s="2">
        <v>46.9</v>
      </c>
      <c r="O33" s="2">
        <v>7.5</v>
      </c>
      <c r="P33" s="2">
        <v>5.9</v>
      </c>
      <c r="Q33" s="2">
        <v>91</v>
      </c>
      <c r="R33" s="2">
        <v>79.3</v>
      </c>
      <c r="S33" s="2">
        <v>529.6</v>
      </c>
      <c r="T33" s="2">
        <v>122.4</v>
      </c>
      <c r="U33" s="2">
        <v>597.5</v>
      </c>
      <c r="V33" s="2">
        <v>182.3</v>
      </c>
      <c r="W33" s="2">
        <v>612.79999999999995</v>
      </c>
      <c r="X33" s="2">
        <v>188.4</v>
      </c>
      <c r="Y33" s="2">
        <v>534.4</v>
      </c>
      <c r="Z33" s="2">
        <v>294.10000000000002</v>
      </c>
      <c r="AB33" s="25">
        <v>18.7</v>
      </c>
      <c r="AC33" s="26">
        <v>34</v>
      </c>
      <c r="AD33" s="26">
        <v>84.2</v>
      </c>
      <c r="AE33" s="26">
        <v>74.599999999999994</v>
      </c>
      <c r="AF33" s="26">
        <v>54.7</v>
      </c>
      <c r="AG33" s="26">
        <v>24.5</v>
      </c>
      <c r="AH33" s="26">
        <v>46.3</v>
      </c>
      <c r="AI33" s="26">
        <v>62.3</v>
      </c>
      <c r="AJ33" s="25">
        <v>3362.4</v>
      </c>
      <c r="AK33" s="26">
        <v>1437.9</v>
      </c>
      <c r="AL33" s="26">
        <v>83.7</v>
      </c>
      <c r="AM33" s="26">
        <v>46.9</v>
      </c>
      <c r="AN33" s="26">
        <v>7.5</v>
      </c>
      <c r="AO33" s="26">
        <v>5.9</v>
      </c>
      <c r="AP33" s="26">
        <v>91</v>
      </c>
      <c r="AQ33" s="26">
        <v>79.3</v>
      </c>
      <c r="AR33" s="25">
        <v>529.6</v>
      </c>
      <c r="AS33" s="26">
        <v>122.4</v>
      </c>
      <c r="AT33" s="26">
        <v>597.5</v>
      </c>
      <c r="AU33" s="26">
        <v>182.3</v>
      </c>
      <c r="AV33" s="26">
        <v>612.79999999999995</v>
      </c>
      <c r="AW33" s="26">
        <v>188.4</v>
      </c>
      <c r="AX33" s="26">
        <v>534.4</v>
      </c>
      <c r="AY33" s="26">
        <v>294.10000000000002</v>
      </c>
      <c r="AZ33" s="34">
        <f t="shared" si="15"/>
        <v>0</v>
      </c>
      <c r="BA33" s="34">
        <f t="shared" si="16"/>
        <v>0</v>
      </c>
      <c r="BB33" s="34">
        <f t="shared" si="17"/>
        <v>0</v>
      </c>
      <c r="BC33" s="34">
        <f t="shared" si="18"/>
        <v>0</v>
      </c>
      <c r="BD33" s="34">
        <f t="shared" si="19"/>
        <v>0</v>
      </c>
      <c r="BE33" s="34">
        <f t="shared" si="20"/>
        <v>0</v>
      </c>
      <c r="BF33" s="34">
        <f t="shared" si="21"/>
        <v>0</v>
      </c>
      <c r="BG33" s="34">
        <f t="shared" si="22"/>
        <v>0</v>
      </c>
      <c r="BH33" s="34">
        <f t="shared" si="23"/>
        <v>0</v>
      </c>
      <c r="BI33" s="34">
        <f t="shared" si="24"/>
        <v>0</v>
      </c>
      <c r="BJ33" s="34">
        <f t="shared" si="25"/>
        <v>0</v>
      </c>
      <c r="BK33" s="34">
        <f t="shared" si="26"/>
        <v>0</v>
      </c>
      <c r="BL33" s="34">
        <f t="shared" si="27"/>
        <v>0</v>
      </c>
      <c r="BM33" s="34">
        <f t="shared" si="28"/>
        <v>0</v>
      </c>
      <c r="BN33" s="34">
        <f t="shared" si="29"/>
        <v>0</v>
      </c>
      <c r="BO33" s="34">
        <f t="shared" si="30"/>
        <v>0</v>
      </c>
      <c r="BP33" s="34">
        <f t="shared" si="31"/>
        <v>0</v>
      </c>
      <c r="BQ33" s="29">
        <f t="shared" si="32"/>
        <v>0</v>
      </c>
      <c r="BR33" s="29">
        <f t="shared" si="33"/>
        <v>0</v>
      </c>
      <c r="BS33" s="29">
        <f t="shared" si="34"/>
        <v>0</v>
      </c>
      <c r="BT33" s="29">
        <f t="shared" si="35"/>
        <v>0</v>
      </c>
      <c r="BU33" s="29">
        <f t="shared" si="36"/>
        <v>0</v>
      </c>
      <c r="BV33" s="29">
        <f t="shared" si="37"/>
        <v>0</v>
      </c>
      <c r="BW33" s="29">
        <f t="shared" si="38"/>
        <v>0</v>
      </c>
    </row>
    <row r="34" spans="1:75" ht="15.75">
      <c r="A34" s="3" t="s">
        <v>81</v>
      </c>
      <c r="B34" s="4" t="s">
        <v>82</v>
      </c>
      <c r="C34" s="2">
        <v>99.1</v>
      </c>
      <c r="D34" s="2">
        <v>109</v>
      </c>
      <c r="E34" s="2">
        <v>50.2</v>
      </c>
      <c r="F34" s="2">
        <v>47.8</v>
      </c>
      <c r="G34" s="2">
        <v>-10.4</v>
      </c>
      <c r="H34" s="2">
        <v>-26</v>
      </c>
      <c r="I34" s="2">
        <v>91.5</v>
      </c>
      <c r="J34" s="2">
        <v>94.9</v>
      </c>
      <c r="K34" s="2">
        <v>-148.19999999999999</v>
      </c>
      <c r="L34" s="2">
        <v>-192.1</v>
      </c>
      <c r="M34" s="2">
        <v>-43.5</v>
      </c>
      <c r="N34" s="2">
        <v>-107</v>
      </c>
      <c r="O34" s="2">
        <v>39.299999999999997</v>
      </c>
      <c r="P34" s="2">
        <v>37</v>
      </c>
      <c r="Q34" s="2">
        <v>82.7</v>
      </c>
      <c r="R34" s="2">
        <v>76</v>
      </c>
      <c r="S34" s="2">
        <v>1.9</v>
      </c>
      <c r="T34" s="2">
        <v>1.7</v>
      </c>
      <c r="U34" s="2">
        <v>49.2</v>
      </c>
      <c r="V34" s="2">
        <v>21.4</v>
      </c>
      <c r="W34" s="2">
        <v>69.7</v>
      </c>
      <c r="X34" s="2">
        <v>48.3</v>
      </c>
      <c r="Y34" s="2">
        <v>100.9</v>
      </c>
      <c r="Z34" s="2">
        <v>91.7</v>
      </c>
      <c r="AB34" s="25">
        <v>99.1</v>
      </c>
      <c r="AC34" s="26">
        <v>109</v>
      </c>
      <c r="AD34" s="26">
        <v>50.2</v>
      </c>
      <c r="AE34" s="26">
        <v>47.8</v>
      </c>
      <c r="AF34" s="26">
        <v>-10.4</v>
      </c>
      <c r="AG34" s="26">
        <v>-26</v>
      </c>
      <c r="AH34" s="26">
        <v>91.5</v>
      </c>
      <c r="AI34" s="26">
        <v>94.9</v>
      </c>
      <c r="AJ34" s="25">
        <v>-148.19999999999999</v>
      </c>
      <c r="AK34" s="26">
        <v>-192.1</v>
      </c>
      <c r="AL34" s="26">
        <v>-43.5</v>
      </c>
      <c r="AM34" s="26">
        <v>-107</v>
      </c>
      <c r="AN34" s="26">
        <v>39.299999999999997</v>
      </c>
      <c r="AO34" s="26">
        <v>37</v>
      </c>
      <c r="AP34" s="26">
        <v>82.7</v>
      </c>
      <c r="AQ34" s="26">
        <v>76</v>
      </c>
      <c r="AR34" s="25">
        <v>1.9</v>
      </c>
      <c r="AS34" s="26">
        <v>1.7</v>
      </c>
      <c r="AT34" s="26">
        <v>49.2</v>
      </c>
      <c r="AU34" s="26">
        <v>21.4</v>
      </c>
      <c r="AV34" s="26">
        <v>69.7</v>
      </c>
      <c r="AW34" s="26">
        <v>48.3</v>
      </c>
      <c r="AX34" s="26">
        <v>100.9</v>
      </c>
      <c r="AY34" s="26">
        <v>91.7</v>
      </c>
      <c r="AZ34" s="34">
        <f t="shared" si="15"/>
        <v>0</v>
      </c>
      <c r="BA34" s="34">
        <f t="shared" si="16"/>
        <v>0</v>
      </c>
      <c r="BB34" s="34">
        <f t="shared" si="17"/>
        <v>0</v>
      </c>
      <c r="BC34" s="34">
        <f t="shared" si="18"/>
        <v>0</v>
      </c>
      <c r="BD34" s="34">
        <f t="shared" si="19"/>
        <v>0</v>
      </c>
      <c r="BE34" s="34">
        <f t="shared" si="20"/>
        <v>0</v>
      </c>
      <c r="BF34" s="34">
        <f t="shared" si="21"/>
        <v>0</v>
      </c>
      <c r="BG34" s="34">
        <f t="shared" si="22"/>
        <v>0</v>
      </c>
      <c r="BH34" s="34">
        <f t="shared" si="23"/>
        <v>0</v>
      </c>
      <c r="BI34" s="34">
        <f t="shared" si="24"/>
        <v>0</v>
      </c>
      <c r="BJ34" s="34">
        <f t="shared" si="25"/>
        <v>0</v>
      </c>
      <c r="BK34" s="34">
        <f t="shared" si="26"/>
        <v>0</v>
      </c>
      <c r="BL34" s="34">
        <f t="shared" si="27"/>
        <v>0</v>
      </c>
      <c r="BM34" s="34">
        <f t="shared" si="28"/>
        <v>0</v>
      </c>
      <c r="BN34" s="34">
        <f t="shared" si="29"/>
        <v>0</v>
      </c>
      <c r="BO34" s="34">
        <f t="shared" si="30"/>
        <v>0</v>
      </c>
      <c r="BP34" s="34">
        <f t="shared" si="31"/>
        <v>0</v>
      </c>
      <c r="BQ34" s="29">
        <f t="shared" si="32"/>
        <v>0</v>
      </c>
      <c r="BR34" s="29">
        <f t="shared" si="33"/>
        <v>0</v>
      </c>
      <c r="BS34" s="29">
        <f t="shared" si="34"/>
        <v>0</v>
      </c>
      <c r="BT34" s="29">
        <f t="shared" si="35"/>
        <v>0</v>
      </c>
      <c r="BU34" s="29">
        <f t="shared" si="36"/>
        <v>0</v>
      </c>
      <c r="BV34" s="29">
        <f t="shared" si="37"/>
        <v>0</v>
      </c>
      <c r="BW34" s="29">
        <f t="shared" si="38"/>
        <v>0</v>
      </c>
    </row>
    <row r="35" spans="1:75" ht="26.25">
      <c r="A35" s="3" t="s">
        <v>83</v>
      </c>
      <c r="B35" s="4" t="s">
        <v>84</v>
      </c>
      <c r="C35" s="2">
        <v>78.8</v>
      </c>
      <c r="D35" s="2">
        <v>149.69999999999999</v>
      </c>
      <c r="E35" s="2">
        <v>55.9</v>
      </c>
      <c r="F35" s="2">
        <v>40.1</v>
      </c>
      <c r="G35" s="2">
        <v>20.399999999999999</v>
      </c>
      <c r="H35" s="2">
        <v>20.8</v>
      </c>
      <c r="I35" s="2">
        <v>82.4</v>
      </c>
      <c r="J35" s="2">
        <v>86</v>
      </c>
      <c r="K35" s="2">
        <v>240.9</v>
      </c>
      <c r="L35" s="2">
        <v>173.1</v>
      </c>
      <c r="M35" s="2">
        <v>51.2</v>
      </c>
      <c r="N35" s="2">
        <v>44.2</v>
      </c>
      <c r="O35" s="2">
        <v>37.200000000000003</v>
      </c>
      <c r="P35" s="2">
        <v>55.2</v>
      </c>
      <c r="Q35" s="2">
        <v>89.1</v>
      </c>
      <c r="R35" s="2">
        <v>89.5</v>
      </c>
      <c r="S35" s="2">
        <v>51</v>
      </c>
      <c r="T35" s="2">
        <v>21</v>
      </c>
      <c r="U35" s="2">
        <v>161.19999999999999</v>
      </c>
      <c r="V35" s="2">
        <v>133.5</v>
      </c>
      <c r="W35" s="2">
        <v>204.7</v>
      </c>
      <c r="X35" s="2">
        <v>179.4</v>
      </c>
      <c r="Y35" s="2">
        <v>126.9</v>
      </c>
      <c r="Z35" s="2">
        <v>66.8</v>
      </c>
      <c r="AB35" s="25">
        <v>78.8</v>
      </c>
      <c r="AC35" s="26">
        <v>149.69999999999999</v>
      </c>
      <c r="AD35" s="26">
        <v>55.9</v>
      </c>
      <c r="AE35" s="26">
        <v>40.1</v>
      </c>
      <c r="AF35" s="26">
        <v>20.399999999999999</v>
      </c>
      <c r="AG35" s="26">
        <v>20.8</v>
      </c>
      <c r="AH35" s="26">
        <v>82.4</v>
      </c>
      <c r="AI35" s="26">
        <v>86</v>
      </c>
      <c r="AJ35" s="25">
        <v>240.9</v>
      </c>
      <c r="AK35" s="26">
        <v>173.1</v>
      </c>
      <c r="AL35" s="26">
        <v>51.2</v>
      </c>
      <c r="AM35" s="26">
        <v>44.2</v>
      </c>
      <c r="AN35" s="26">
        <v>37.200000000000003</v>
      </c>
      <c r="AO35" s="26">
        <v>55.2</v>
      </c>
      <c r="AP35" s="26">
        <v>89.1</v>
      </c>
      <c r="AQ35" s="26">
        <v>89.5</v>
      </c>
      <c r="AR35" s="25">
        <v>51</v>
      </c>
      <c r="AS35" s="26">
        <v>21</v>
      </c>
      <c r="AT35" s="26">
        <v>161.19999999999999</v>
      </c>
      <c r="AU35" s="26">
        <v>133.5</v>
      </c>
      <c r="AV35" s="26">
        <v>204.7</v>
      </c>
      <c r="AW35" s="26">
        <v>179.4</v>
      </c>
      <c r="AX35" s="26">
        <v>126.9</v>
      </c>
      <c r="AY35" s="26">
        <v>66.8</v>
      </c>
      <c r="AZ35" s="34">
        <f t="shared" si="15"/>
        <v>0</v>
      </c>
      <c r="BA35" s="34">
        <f t="shared" si="16"/>
        <v>0</v>
      </c>
      <c r="BB35" s="34">
        <f t="shared" si="17"/>
        <v>0</v>
      </c>
      <c r="BC35" s="34">
        <f t="shared" si="18"/>
        <v>0</v>
      </c>
      <c r="BD35" s="34">
        <f t="shared" si="19"/>
        <v>0</v>
      </c>
      <c r="BE35" s="34">
        <f t="shared" si="20"/>
        <v>0</v>
      </c>
      <c r="BF35" s="34">
        <f t="shared" si="21"/>
        <v>0</v>
      </c>
      <c r="BG35" s="34">
        <f t="shared" si="22"/>
        <v>0</v>
      </c>
      <c r="BH35" s="34">
        <f t="shared" si="23"/>
        <v>0</v>
      </c>
      <c r="BI35" s="34">
        <f t="shared" si="24"/>
        <v>0</v>
      </c>
      <c r="BJ35" s="34">
        <f t="shared" si="25"/>
        <v>0</v>
      </c>
      <c r="BK35" s="34">
        <f t="shared" si="26"/>
        <v>0</v>
      </c>
      <c r="BL35" s="34">
        <f t="shared" si="27"/>
        <v>0</v>
      </c>
      <c r="BM35" s="34">
        <f t="shared" si="28"/>
        <v>0</v>
      </c>
      <c r="BN35" s="34">
        <f t="shared" si="29"/>
        <v>0</v>
      </c>
      <c r="BO35" s="34">
        <f t="shared" si="30"/>
        <v>0</v>
      </c>
      <c r="BP35" s="34">
        <f t="shared" si="31"/>
        <v>0</v>
      </c>
      <c r="BQ35" s="29">
        <f t="shared" si="32"/>
        <v>0</v>
      </c>
      <c r="BR35" s="29">
        <f t="shared" si="33"/>
        <v>0</v>
      </c>
      <c r="BS35" s="29">
        <f t="shared" si="34"/>
        <v>0</v>
      </c>
      <c r="BT35" s="29">
        <f t="shared" si="35"/>
        <v>0</v>
      </c>
      <c r="BU35" s="29">
        <f t="shared" si="36"/>
        <v>0</v>
      </c>
      <c r="BV35" s="29">
        <f t="shared" si="37"/>
        <v>0</v>
      </c>
      <c r="BW35" s="29">
        <f t="shared" si="38"/>
        <v>0</v>
      </c>
    </row>
    <row r="36" spans="1:75" ht="26.25">
      <c r="A36" s="3" t="s">
        <v>85</v>
      </c>
      <c r="B36" s="4" t="s">
        <v>86</v>
      </c>
      <c r="C36" s="2">
        <v>128.5</v>
      </c>
      <c r="D36" s="2">
        <v>175.4</v>
      </c>
      <c r="E36" s="2">
        <v>43.8</v>
      </c>
      <c r="F36" s="2">
        <v>36.299999999999997</v>
      </c>
      <c r="G36" s="2">
        <v>35.299999999999997</v>
      </c>
      <c r="H36" s="2">
        <v>16.899999999999999</v>
      </c>
      <c r="I36" s="2">
        <v>80.900000000000006</v>
      </c>
      <c r="J36" s="2">
        <v>88.3</v>
      </c>
      <c r="K36" s="2">
        <v>1482.2</v>
      </c>
      <c r="L36" s="2">
        <v>591.29999999999995</v>
      </c>
      <c r="M36" s="2">
        <v>76.599999999999994</v>
      </c>
      <c r="N36" s="2">
        <v>48.1</v>
      </c>
      <c r="O36" s="2">
        <v>54.1</v>
      </c>
      <c r="P36" s="2">
        <v>61.1</v>
      </c>
      <c r="Q36" s="2">
        <v>95.3</v>
      </c>
      <c r="R36" s="2">
        <v>93.4</v>
      </c>
      <c r="S36" s="2">
        <v>294.5</v>
      </c>
      <c r="T36" s="2">
        <v>115.9</v>
      </c>
      <c r="U36" s="2">
        <v>404.9</v>
      </c>
      <c r="V36" s="2">
        <v>177</v>
      </c>
      <c r="W36" s="2">
        <v>426.9</v>
      </c>
      <c r="X36" s="2">
        <v>192.7</v>
      </c>
      <c r="Y36" s="2">
        <v>77.8</v>
      </c>
      <c r="Z36" s="2">
        <v>57</v>
      </c>
      <c r="AB36" s="25">
        <v>128.5</v>
      </c>
      <c r="AC36" s="26">
        <v>175.4</v>
      </c>
      <c r="AD36" s="26">
        <v>43.8</v>
      </c>
      <c r="AE36" s="26">
        <v>36.299999999999997</v>
      </c>
      <c r="AF36" s="26">
        <v>35.299999999999997</v>
      </c>
      <c r="AG36" s="26">
        <v>16.899999999999999</v>
      </c>
      <c r="AH36" s="26">
        <v>80.900000000000006</v>
      </c>
      <c r="AI36" s="26">
        <v>88.3</v>
      </c>
      <c r="AJ36" s="25">
        <v>1482.2</v>
      </c>
      <c r="AK36" s="26">
        <v>591.29999999999995</v>
      </c>
      <c r="AL36" s="26">
        <v>76.599999999999994</v>
      </c>
      <c r="AM36" s="26">
        <v>48.1</v>
      </c>
      <c r="AN36" s="26">
        <v>54.1</v>
      </c>
      <c r="AO36" s="26">
        <v>61.1</v>
      </c>
      <c r="AP36" s="26">
        <v>95.3</v>
      </c>
      <c r="AQ36" s="26">
        <v>93.4</v>
      </c>
      <c r="AR36" s="25">
        <v>294.5</v>
      </c>
      <c r="AS36" s="26">
        <v>115.9</v>
      </c>
      <c r="AT36" s="26">
        <v>404.9</v>
      </c>
      <c r="AU36" s="26">
        <v>177</v>
      </c>
      <c r="AV36" s="26">
        <v>426.9</v>
      </c>
      <c r="AW36" s="26">
        <v>192.7</v>
      </c>
      <c r="AX36" s="26">
        <v>77.8</v>
      </c>
      <c r="AY36" s="26">
        <v>57</v>
      </c>
      <c r="AZ36" s="34">
        <f t="shared" si="15"/>
        <v>0</v>
      </c>
      <c r="BA36" s="34">
        <f t="shared" si="16"/>
        <v>0</v>
      </c>
      <c r="BB36" s="34">
        <f t="shared" si="17"/>
        <v>0</v>
      </c>
      <c r="BC36" s="34">
        <f t="shared" si="18"/>
        <v>0</v>
      </c>
      <c r="BD36" s="34">
        <f t="shared" si="19"/>
        <v>0</v>
      </c>
      <c r="BE36" s="34">
        <f t="shared" si="20"/>
        <v>0</v>
      </c>
      <c r="BF36" s="34">
        <f t="shared" si="21"/>
        <v>0</v>
      </c>
      <c r="BG36" s="34">
        <f t="shared" si="22"/>
        <v>0</v>
      </c>
      <c r="BH36" s="34">
        <f t="shared" si="23"/>
        <v>0</v>
      </c>
      <c r="BI36" s="34">
        <f t="shared" si="24"/>
        <v>0</v>
      </c>
      <c r="BJ36" s="34">
        <f t="shared" si="25"/>
        <v>0</v>
      </c>
      <c r="BK36" s="34">
        <f t="shared" si="26"/>
        <v>0</v>
      </c>
      <c r="BL36" s="34">
        <f t="shared" si="27"/>
        <v>0</v>
      </c>
      <c r="BM36" s="34">
        <f t="shared" si="28"/>
        <v>0</v>
      </c>
      <c r="BN36" s="34">
        <f t="shared" si="29"/>
        <v>0</v>
      </c>
      <c r="BO36" s="34">
        <f t="shared" si="30"/>
        <v>0</v>
      </c>
      <c r="BP36" s="34">
        <f t="shared" si="31"/>
        <v>0</v>
      </c>
      <c r="BQ36" s="29">
        <f t="shared" si="32"/>
        <v>0</v>
      </c>
      <c r="BR36" s="29">
        <f t="shared" si="33"/>
        <v>0</v>
      </c>
      <c r="BS36" s="29">
        <f t="shared" si="34"/>
        <v>0</v>
      </c>
      <c r="BT36" s="29">
        <f t="shared" si="35"/>
        <v>0</v>
      </c>
      <c r="BU36" s="29">
        <f t="shared" si="36"/>
        <v>0</v>
      </c>
      <c r="BV36" s="29">
        <f t="shared" si="37"/>
        <v>0</v>
      </c>
      <c r="BW36" s="29">
        <f t="shared" si="38"/>
        <v>0</v>
      </c>
    </row>
    <row r="37" spans="1:75" s="13" customFormat="1" ht="39.75" thickBot="1">
      <c r="A37" s="10" t="s">
        <v>146</v>
      </c>
      <c r="B37" s="11" t="s">
        <v>87</v>
      </c>
      <c r="C37" s="12">
        <v>291.39999999999998</v>
      </c>
      <c r="D37" s="12">
        <v>346.3</v>
      </c>
      <c r="E37" s="12">
        <v>25.5</v>
      </c>
      <c r="F37" s="12">
        <v>22.4</v>
      </c>
      <c r="G37" s="12">
        <v>23.5</v>
      </c>
      <c r="H37" s="12">
        <v>43.6</v>
      </c>
      <c r="I37" s="12">
        <v>87.8</v>
      </c>
      <c r="J37" s="12">
        <v>86.4</v>
      </c>
      <c r="K37" s="12">
        <v>190</v>
      </c>
      <c r="L37" s="12">
        <v>291.2</v>
      </c>
      <c r="M37" s="12">
        <v>39</v>
      </c>
      <c r="N37" s="12">
        <v>57.8</v>
      </c>
      <c r="O37" s="12">
        <v>71.8</v>
      </c>
      <c r="P37" s="12">
        <v>75.900000000000006</v>
      </c>
      <c r="Q37" s="12">
        <v>90.6</v>
      </c>
      <c r="R37" s="12">
        <v>92.9</v>
      </c>
      <c r="S37" s="12">
        <v>5.5</v>
      </c>
      <c r="T37" s="12">
        <v>6.3</v>
      </c>
      <c r="U37" s="12">
        <v>130.30000000000001</v>
      </c>
      <c r="V37" s="12">
        <v>189.8</v>
      </c>
      <c r="W37" s="12">
        <v>164</v>
      </c>
      <c r="X37" s="12">
        <v>236.8</v>
      </c>
      <c r="Y37" s="12">
        <v>34.299999999999997</v>
      </c>
      <c r="Z37" s="12">
        <v>28.9</v>
      </c>
      <c r="AB37" s="25">
        <v>291.39999999999998</v>
      </c>
      <c r="AC37" s="26">
        <v>346.3</v>
      </c>
      <c r="AD37" s="26">
        <v>25.5</v>
      </c>
      <c r="AE37" s="26">
        <v>22.4</v>
      </c>
      <c r="AF37" s="26">
        <v>23.5</v>
      </c>
      <c r="AG37" s="26">
        <v>43.6</v>
      </c>
      <c r="AH37" s="26">
        <v>87.8</v>
      </c>
      <c r="AI37" s="26">
        <v>86.4</v>
      </c>
      <c r="AJ37" s="25">
        <v>190</v>
      </c>
      <c r="AK37" s="26">
        <v>291.2</v>
      </c>
      <c r="AL37" s="26">
        <v>39</v>
      </c>
      <c r="AM37" s="26">
        <v>57.8</v>
      </c>
      <c r="AN37" s="26">
        <v>71.8</v>
      </c>
      <c r="AO37" s="26">
        <v>75.900000000000006</v>
      </c>
      <c r="AP37" s="26">
        <v>90.6</v>
      </c>
      <c r="AQ37" s="26">
        <v>92.9</v>
      </c>
      <c r="AR37" s="25">
        <v>5.5</v>
      </c>
      <c r="AS37" s="26">
        <v>6.3</v>
      </c>
      <c r="AT37" s="26">
        <v>130.30000000000001</v>
      </c>
      <c r="AU37" s="26">
        <v>189.8</v>
      </c>
      <c r="AV37" s="26">
        <v>164</v>
      </c>
      <c r="AW37" s="26">
        <v>236.8</v>
      </c>
      <c r="AX37" s="26">
        <v>34.299999999999997</v>
      </c>
      <c r="AY37" s="26">
        <v>28.9</v>
      </c>
      <c r="AZ37" s="34">
        <f t="shared" si="15"/>
        <v>0</v>
      </c>
      <c r="BA37" s="34">
        <f t="shared" si="16"/>
        <v>0</v>
      </c>
      <c r="BB37" s="34">
        <f t="shared" si="17"/>
        <v>0</v>
      </c>
      <c r="BC37" s="34">
        <f t="shared" si="18"/>
        <v>0</v>
      </c>
      <c r="BD37" s="34">
        <f t="shared" si="19"/>
        <v>0</v>
      </c>
      <c r="BE37" s="34">
        <f t="shared" si="20"/>
        <v>0</v>
      </c>
      <c r="BF37" s="34">
        <f t="shared" si="21"/>
        <v>0</v>
      </c>
      <c r="BG37" s="34">
        <f t="shared" si="22"/>
        <v>0</v>
      </c>
      <c r="BH37" s="34">
        <f t="shared" si="23"/>
        <v>0</v>
      </c>
      <c r="BI37" s="34">
        <f t="shared" si="24"/>
        <v>0</v>
      </c>
      <c r="BJ37" s="34">
        <f t="shared" si="25"/>
        <v>0</v>
      </c>
      <c r="BK37" s="34">
        <f t="shared" si="26"/>
        <v>0</v>
      </c>
      <c r="BL37" s="34">
        <f t="shared" si="27"/>
        <v>0</v>
      </c>
      <c r="BM37" s="34">
        <f t="shared" si="28"/>
        <v>0</v>
      </c>
      <c r="BN37" s="34">
        <f t="shared" si="29"/>
        <v>0</v>
      </c>
      <c r="BO37" s="34">
        <f t="shared" si="30"/>
        <v>0</v>
      </c>
      <c r="BP37" s="34">
        <f t="shared" si="31"/>
        <v>0</v>
      </c>
      <c r="BQ37" s="29">
        <f t="shared" si="32"/>
        <v>0</v>
      </c>
      <c r="BR37" s="29">
        <f t="shared" si="33"/>
        <v>0</v>
      </c>
      <c r="BS37" s="29">
        <f t="shared" si="34"/>
        <v>0</v>
      </c>
      <c r="BT37" s="29">
        <f t="shared" si="35"/>
        <v>0</v>
      </c>
      <c r="BU37" s="29">
        <f t="shared" si="36"/>
        <v>0</v>
      </c>
      <c r="BV37" s="29">
        <f t="shared" si="37"/>
        <v>0</v>
      </c>
      <c r="BW37" s="29">
        <f t="shared" si="38"/>
        <v>0</v>
      </c>
    </row>
    <row r="38" spans="1:75" ht="26.25">
      <c r="A38" s="3" t="s">
        <v>88</v>
      </c>
      <c r="B38" s="4" t="s">
        <v>89</v>
      </c>
      <c r="C38" s="2">
        <v>290.60000000000002</v>
      </c>
      <c r="D38" s="2">
        <v>345.3</v>
      </c>
      <c r="E38" s="2">
        <v>25.6</v>
      </c>
      <c r="F38" s="2">
        <v>22.5</v>
      </c>
      <c r="G38" s="2">
        <v>23.6</v>
      </c>
      <c r="H38" s="2">
        <v>43.7</v>
      </c>
      <c r="I38" s="2">
        <v>87.9</v>
      </c>
      <c r="J38" s="2">
        <v>86.5</v>
      </c>
      <c r="K38" s="2">
        <v>191.4</v>
      </c>
      <c r="L38" s="2">
        <v>293</v>
      </c>
      <c r="M38" s="2">
        <v>39.5</v>
      </c>
      <c r="N38" s="2">
        <v>58.3</v>
      </c>
      <c r="O38" s="2">
        <v>71.8</v>
      </c>
      <c r="P38" s="2">
        <v>75.8</v>
      </c>
      <c r="Q38" s="2">
        <v>90.7</v>
      </c>
      <c r="R38" s="2">
        <v>93</v>
      </c>
      <c r="S38" s="2">
        <v>5</v>
      </c>
      <c r="T38" s="2">
        <v>6.3</v>
      </c>
      <c r="U38" s="2">
        <v>131.19999999999999</v>
      </c>
      <c r="V38" s="2">
        <v>192</v>
      </c>
      <c r="W38" s="2">
        <v>165.2</v>
      </c>
      <c r="X38" s="2">
        <v>239.6</v>
      </c>
      <c r="Y38" s="2">
        <v>34.4</v>
      </c>
      <c r="Z38" s="2">
        <v>29</v>
      </c>
      <c r="AB38" s="23">
        <v>290.60000000000002</v>
      </c>
      <c r="AC38" s="24">
        <v>345.3</v>
      </c>
      <c r="AD38" s="24">
        <v>25.6</v>
      </c>
      <c r="AE38" s="24">
        <v>22.5</v>
      </c>
      <c r="AF38" s="24">
        <v>23.6</v>
      </c>
      <c r="AG38" s="24">
        <v>43.7</v>
      </c>
      <c r="AH38" s="24">
        <v>87.9</v>
      </c>
      <c r="AI38" s="24">
        <v>86.5</v>
      </c>
      <c r="AJ38" s="25">
        <v>191.4</v>
      </c>
      <c r="AK38" s="26">
        <v>293</v>
      </c>
      <c r="AL38" s="26">
        <v>39.5</v>
      </c>
      <c r="AM38" s="26">
        <v>58.3</v>
      </c>
      <c r="AN38" s="26">
        <v>71.8</v>
      </c>
      <c r="AO38" s="26">
        <v>75.8</v>
      </c>
      <c r="AP38" s="26">
        <v>90.7</v>
      </c>
      <c r="AQ38" s="26">
        <v>93</v>
      </c>
      <c r="AR38" s="25">
        <v>5</v>
      </c>
      <c r="AS38" s="26">
        <v>6.3</v>
      </c>
      <c r="AT38" s="26">
        <v>131.19999999999999</v>
      </c>
      <c r="AU38" s="26">
        <v>192</v>
      </c>
      <c r="AV38" s="26">
        <v>165.2</v>
      </c>
      <c r="AW38" s="26">
        <v>239.6</v>
      </c>
      <c r="AX38" s="26">
        <v>34.4</v>
      </c>
      <c r="AY38" s="26">
        <v>29</v>
      </c>
      <c r="AZ38" s="34">
        <f t="shared" si="15"/>
        <v>0</v>
      </c>
      <c r="BA38" s="34">
        <f t="shared" si="16"/>
        <v>0</v>
      </c>
      <c r="BB38" s="34">
        <f t="shared" si="17"/>
        <v>0</v>
      </c>
      <c r="BC38" s="34">
        <f t="shared" si="18"/>
        <v>0</v>
      </c>
      <c r="BD38" s="34">
        <f t="shared" si="19"/>
        <v>0</v>
      </c>
      <c r="BE38" s="34">
        <f t="shared" si="20"/>
        <v>0</v>
      </c>
      <c r="BF38" s="34">
        <f t="shared" si="21"/>
        <v>0</v>
      </c>
      <c r="BG38" s="34">
        <f t="shared" si="22"/>
        <v>0</v>
      </c>
      <c r="BH38" s="34">
        <f t="shared" si="23"/>
        <v>0</v>
      </c>
      <c r="BI38" s="34">
        <f t="shared" si="24"/>
        <v>0</v>
      </c>
      <c r="BJ38" s="34">
        <f t="shared" si="25"/>
        <v>0</v>
      </c>
      <c r="BK38" s="34">
        <f t="shared" si="26"/>
        <v>0</v>
      </c>
      <c r="BL38" s="34">
        <f t="shared" si="27"/>
        <v>0</v>
      </c>
      <c r="BM38" s="34">
        <f t="shared" si="28"/>
        <v>0</v>
      </c>
      <c r="BN38" s="34">
        <f t="shared" si="29"/>
        <v>0</v>
      </c>
      <c r="BO38" s="34">
        <f t="shared" si="30"/>
        <v>0</v>
      </c>
      <c r="BP38" s="34">
        <f t="shared" si="31"/>
        <v>0</v>
      </c>
      <c r="BQ38" s="29">
        <f t="shared" si="32"/>
        <v>0</v>
      </c>
      <c r="BR38" s="29">
        <f t="shared" si="33"/>
        <v>0</v>
      </c>
      <c r="BS38" s="29">
        <f t="shared" si="34"/>
        <v>0</v>
      </c>
      <c r="BT38" s="29">
        <f t="shared" si="35"/>
        <v>0</v>
      </c>
      <c r="BU38" s="29">
        <f t="shared" si="36"/>
        <v>0</v>
      </c>
      <c r="BV38" s="29">
        <f t="shared" si="37"/>
        <v>0</v>
      </c>
      <c r="BW38" s="29">
        <f t="shared" si="38"/>
        <v>0</v>
      </c>
    </row>
    <row r="39" spans="1:75" ht="26.25">
      <c r="A39" s="3" t="s">
        <v>90</v>
      </c>
      <c r="B39" s="4" t="s">
        <v>91</v>
      </c>
      <c r="C39" s="2">
        <v>-488.1</v>
      </c>
      <c r="D39" s="2">
        <v>-427.6</v>
      </c>
      <c r="E39" s="2">
        <v>-25.8</v>
      </c>
      <c r="F39" s="2">
        <v>-30.5</v>
      </c>
      <c r="G39" s="2">
        <v>104.9</v>
      </c>
      <c r="H39" s="2">
        <v>102.5</v>
      </c>
      <c r="I39" s="2">
        <v>9.1</v>
      </c>
      <c r="J39" s="2">
        <v>10.9</v>
      </c>
      <c r="K39" s="2">
        <v>-343.7</v>
      </c>
      <c r="L39" s="2">
        <v>-308.2</v>
      </c>
      <c r="M39" s="2">
        <v>-27.4</v>
      </c>
      <c r="N39" s="2">
        <v>-31.5</v>
      </c>
      <c r="O39" s="2" t="s">
        <v>55</v>
      </c>
      <c r="P39" s="2" t="s">
        <v>55</v>
      </c>
      <c r="Q39" s="2">
        <v>-25.8</v>
      </c>
      <c r="R39" s="2">
        <v>-30.5</v>
      </c>
      <c r="S39" s="2">
        <v>39.5</v>
      </c>
      <c r="T39" s="2">
        <v>1.4</v>
      </c>
      <c r="U39" s="2">
        <v>72.3</v>
      </c>
      <c r="V39" s="2">
        <v>68.3</v>
      </c>
      <c r="W39" s="2">
        <v>78.5</v>
      </c>
      <c r="X39" s="2">
        <v>76</v>
      </c>
      <c r="Y39" s="2">
        <v>-20.5</v>
      </c>
      <c r="Z39" s="2">
        <v>-23.4</v>
      </c>
      <c r="AB39" s="25">
        <v>-488.1</v>
      </c>
      <c r="AC39" s="26">
        <v>-427.6</v>
      </c>
      <c r="AD39" s="26">
        <v>-25.8</v>
      </c>
      <c r="AE39" s="26">
        <v>-30.5</v>
      </c>
      <c r="AF39" s="26">
        <v>104.9</v>
      </c>
      <c r="AG39" s="26">
        <v>102.5</v>
      </c>
      <c r="AH39" s="26">
        <v>9.1</v>
      </c>
      <c r="AI39" s="26">
        <v>10.9</v>
      </c>
      <c r="AJ39" s="25">
        <v>-343.7</v>
      </c>
      <c r="AK39" s="26">
        <v>-308.2</v>
      </c>
      <c r="AL39" s="26">
        <v>-27.4</v>
      </c>
      <c r="AM39" s="26">
        <v>-31.5</v>
      </c>
      <c r="AN39" s="26" t="s">
        <v>55</v>
      </c>
      <c r="AO39" s="26" t="s">
        <v>55</v>
      </c>
      <c r="AP39" s="26">
        <v>-25.8</v>
      </c>
      <c r="AQ39" s="26">
        <v>-30.5</v>
      </c>
      <c r="AR39" s="25">
        <v>39.5</v>
      </c>
      <c r="AS39" s="26">
        <v>1.4</v>
      </c>
      <c r="AT39" s="26">
        <v>72.3</v>
      </c>
      <c r="AU39" s="26">
        <v>68.3</v>
      </c>
      <c r="AV39" s="26">
        <v>78.5</v>
      </c>
      <c r="AW39" s="26">
        <v>76</v>
      </c>
      <c r="AX39" s="26">
        <v>-20.5</v>
      </c>
      <c r="AY39" s="26">
        <v>-23.4</v>
      </c>
      <c r="AZ39" s="34">
        <f t="shared" si="15"/>
        <v>0</v>
      </c>
      <c r="BA39" s="34">
        <f t="shared" si="16"/>
        <v>0</v>
      </c>
      <c r="BB39" s="34">
        <f t="shared" si="17"/>
        <v>0</v>
      </c>
      <c r="BC39" s="34">
        <f t="shared" si="18"/>
        <v>0</v>
      </c>
      <c r="BD39" s="34">
        <f t="shared" si="19"/>
        <v>0</v>
      </c>
      <c r="BE39" s="34">
        <f t="shared" si="20"/>
        <v>0</v>
      </c>
      <c r="BF39" s="34">
        <f t="shared" si="21"/>
        <v>0</v>
      </c>
      <c r="BG39" s="34">
        <f t="shared" si="22"/>
        <v>0</v>
      </c>
      <c r="BH39" s="34">
        <f t="shared" si="23"/>
        <v>0</v>
      </c>
      <c r="BI39" s="34">
        <f t="shared" si="24"/>
        <v>0</v>
      </c>
      <c r="BJ39" s="34">
        <f t="shared" si="25"/>
        <v>0</v>
      </c>
      <c r="BK39" s="34">
        <f t="shared" si="26"/>
        <v>0</v>
      </c>
      <c r="BL39" s="34" t="e">
        <f t="shared" si="27"/>
        <v>#VALUE!</v>
      </c>
      <c r="BM39" s="34" t="e">
        <f t="shared" si="28"/>
        <v>#VALUE!</v>
      </c>
      <c r="BN39" s="34">
        <f t="shared" si="29"/>
        <v>0</v>
      </c>
      <c r="BO39" s="34">
        <f t="shared" si="30"/>
        <v>0</v>
      </c>
      <c r="BP39" s="34">
        <f t="shared" si="31"/>
        <v>0</v>
      </c>
      <c r="BQ39" s="29">
        <f t="shared" si="32"/>
        <v>0</v>
      </c>
      <c r="BR39" s="29">
        <f t="shared" si="33"/>
        <v>0</v>
      </c>
      <c r="BS39" s="29">
        <f t="shared" si="34"/>
        <v>0</v>
      </c>
      <c r="BT39" s="29">
        <f t="shared" si="35"/>
        <v>0</v>
      </c>
      <c r="BU39" s="29">
        <f t="shared" si="36"/>
        <v>0</v>
      </c>
      <c r="BV39" s="29">
        <f t="shared" si="37"/>
        <v>0</v>
      </c>
      <c r="BW39" s="29">
        <f t="shared" si="38"/>
        <v>0</v>
      </c>
    </row>
    <row r="40" spans="1:75" s="13" customFormat="1" ht="27" thickBot="1">
      <c r="A40" s="10" t="s">
        <v>147</v>
      </c>
      <c r="B40" s="11" t="s">
        <v>92</v>
      </c>
      <c r="C40" s="12">
        <v>434.9</v>
      </c>
      <c r="D40" s="12">
        <v>1108.8</v>
      </c>
      <c r="E40" s="12">
        <v>18.7</v>
      </c>
      <c r="F40" s="12">
        <v>8.3000000000000007</v>
      </c>
      <c r="G40" s="12">
        <v>100</v>
      </c>
      <c r="H40" s="12">
        <v>100</v>
      </c>
      <c r="I40" s="12" t="s">
        <v>55</v>
      </c>
      <c r="J40" s="12" t="s">
        <v>55</v>
      </c>
      <c r="K40" s="12">
        <v>0</v>
      </c>
      <c r="L40" s="12">
        <v>0</v>
      </c>
      <c r="M40" s="12">
        <v>18.7</v>
      </c>
      <c r="N40" s="12">
        <v>8.3000000000000007</v>
      </c>
      <c r="O40" s="12" t="s">
        <v>55</v>
      </c>
      <c r="P40" s="12" t="s">
        <v>55</v>
      </c>
      <c r="Q40" s="12">
        <v>18.7</v>
      </c>
      <c r="R40" s="12">
        <v>8.3000000000000007</v>
      </c>
      <c r="S40" s="12">
        <v>2.7</v>
      </c>
      <c r="T40" s="12">
        <v>3.6</v>
      </c>
      <c r="U40" s="12">
        <v>123</v>
      </c>
      <c r="V40" s="12">
        <v>109</v>
      </c>
      <c r="W40" s="12">
        <v>123</v>
      </c>
      <c r="X40" s="12">
        <v>109</v>
      </c>
      <c r="Y40" s="12">
        <v>23</v>
      </c>
      <c r="Z40" s="12">
        <v>9</v>
      </c>
      <c r="AB40" s="25">
        <v>434.9</v>
      </c>
      <c r="AC40" s="26">
        <v>1108.8</v>
      </c>
      <c r="AD40" s="26">
        <v>18.7</v>
      </c>
      <c r="AE40" s="26">
        <v>8.3000000000000007</v>
      </c>
      <c r="AF40" s="26">
        <v>100</v>
      </c>
      <c r="AG40" s="26">
        <v>100</v>
      </c>
      <c r="AH40" s="26" t="s">
        <v>55</v>
      </c>
      <c r="AI40" s="26" t="s">
        <v>55</v>
      </c>
      <c r="AJ40" s="25">
        <v>0</v>
      </c>
      <c r="AK40" s="26">
        <v>0</v>
      </c>
      <c r="AL40" s="26">
        <v>18.7</v>
      </c>
      <c r="AM40" s="26">
        <v>8.3000000000000007</v>
      </c>
      <c r="AN40" s="26" t="s">
        <v>55</v>
      </c>
      <c r="AO40" s="26" t="s">
        <v>55</v>
      </c>
      <c r="AP40" s="26">
        <v>18.7</v>
      </c>
      <c r="AQ40" s="26">
        <v>8.3000000000000007</v>
      </c>
      <c r="AR40" s="25">
        <v>2.7</v>
      </c>
      <c r="AS40" s="26">
        <v>3.6</v>
      </c>
      <c r="AT40" s="26">
        <v>123</v>
      </c>
      <c r="AU40" s="26">
        <v>109</v>
      </c>
      <c r="AV40" s="26">
        <v>123</v>
      </c>
      <c r="AW40" s="26">
        <v>109</v>
      </c>
      <c r="AX40" s="26">
        <v>23</v>
      </c>
      <c r="AY40" s="26">
        <v>9</v>
      </c>
      <c r="AZ40" s="34">
        <f t="shared" si="15"/>
        <v>0</v>
      </c>
      <c r="BA40" s="34">
        <f t="shared" si="16"/>
        <v>0</v>
      </c>
      <c r="BB40" s="34">
        <f t="shared" si="17"/>
        <v>0</v>
      </c>
      <c r="BC40" s="34">
        <f t="shared" si="18"/>
        <v>0</v>
      </c>
      <c r="BD40" s="34">
        <f t="shared" si="19"/>
        <v>0</v>
      </c>
      <c r="BE40" s="34">
        <f t="shared" si="20"/>
        <v>0</v>
      </c>
      <c r="BF40" s="34" t="e">
        <f t="shared" si="21"/>
        <v>#VALUE!</v>
      </c>
      <c r="BG40" s="34" t="e">
        <f t="shared" si="22"/>
        <v>#VALUE!</v>
      </c>
      <c r="BH40" s="34">
        <f t="shared" si="23"/>
        <v>0</v>
      </c>
      <c r="BI40" s="34">
        <f t="shared" si="24"/>
        <v>0</v>
      </c>
      <c r="BJ40" s="34">
        <f t="shared" si="25"/>
        <v>0</v>
      </c>
      <c r="BK40" s="34">
        <f t="shared" si="26"/>
        <v>0</v>
      </c>
      <c r="BL40" s="34" t="e">
        <f t="shared" si="27"/>
        <v>#VALUE!</v>
      </c>
      <c r="BM40" s="34" t="e">
        <f t="shared" si="28"/>
        <v>#VALUE!</v>
      </c>
      <c r="BN40" s="34">
        <f t="shared" si="29"/>
        <v>0</v>
      </c>
      <c r="BO40" s="34">
        <f t="shared" si="30"/>
        <v>0</v>
      </c>
      <c r="BP40" s="34">
        <f t="shared" si="31"/>
        <v>0</v>
      </c>
      <c r="BQ40" s="29">
        <f t="shared" si="32"/>
        <v>0</v>
      </c>
      <c r="BR40" s="29">
        <f t="shared" si="33"/>
        <v>0</v>
      </c>
      <c r="BS40" s="29">
        <f t="shared" si="34"/>
        <v>0</v>
      </c>
      <c r="BT40" s="29">
        <f t="shared" si="35"/>
        <v>0</v>
      </c>
      <c r="BU40" s="29">
        <f t="shared" si="36"/>
        <v>0</v>
      </c>
      <c r="BV40" s="29">
        <f t="shared" si="37"/>
        <v>0</v>
      </c>
      <c r="BW40" s="29">
        <f t="shared" si="38"/>
        <v>0</v>
      </c>
    </row>
    <row r="41" spans="1:75" ht="26.25">
      <c r="A41" s="3" t="s">
        <v>93</v>
      </c>
      <c r="B41" s="4" t="s">
        <v>94</v>
      </c>
      <c r="C41" s="2">
        <v>434.9</v>
      </c>
      <c r="D41" s="2">
        <v>1108.8</v>
      </c>
      <c r="E41" s="2">
        <v>18.7</v>
      </c>
      <c r="F41" s="2">
        <v>8.3000000000000007</v>
      </c>
      <c r="G41" s="2">
        <v>100</v>
      </c>
      <c r="H41" s="2">
        <v>100</v>
      </c>
      <c r="I41" s="2" t="s">
        <v>55</v>
      </c>
      <c r="J41" s="2" t="s">
        <v>55</v>
      </c>
      <c r="K41" s="2">
        <v>0</v>
      </c>
      <c r="L41" s="2">
        <v>0</v>
      </c>
      <c r="M41" s="2">
        <v>18.7</v>
      </c>
      <c r="N41" s="2">
        <v>8.3000000000000007</v>
      </c>
      <c r="O41" s="2" t="s">
        <v>55</v>
      </c>
      <c r="P41" s="2" t="s">
        <v>55</v>
      </c>
      <c r="Q41" s="2">
        <v>18.7</v>
      </c>
      <c r="R41" s="2">
        <v>8.3000000000000007</v>
      </c>
      <c r="S41" s="2">
        <v>2.7</v>
      </c>
      <c r="T41" s="2">
        <v>3.6</v>
      </c>
      <c r="U41" s="2">
        <v>123</v>
      </c>
      <c r="V41" s="2">
        <v>109</v>
      </c>
      <c r="W41" s="2">
        <v>123</v>
      </c>
      <c r="X41" s="2">
        <v>109</v>
      </c>
      <c r="Y41" s="2">
        <v>23</v>
      </c>
      <c r="Z41" s="2">
        <v>9</v>
      </c>
      <c r="AB41" s="25">
        <v>434.9</v>
      </c>
      <c r="AC41" s="26">
        <v>1108.8</v>
      </c>
      <c r="AD41" s="26">
        <v>18.7</v>
      </c>
      <c r="AE41" s="26">
        <v>8.3000000000000007</v>
      </c>
      <c r="AF41" s="26">
        <v>100</v>
      </c>
      <c r="AG41" s="26">
        <v>100</v>
      </c>
      <c r="AH41" s="26" t="s">
        <v>55</v>
      </c>
      <c r="AI41" s="26" t="s">
        <v>55</v>
      </c>
      <c r="AJ41" s="25">
        <v>0</v>
      </c>
      <c r="AK41" s="26">
        <v>0</v>
      </c>
      <c r="AL41" s="26">
        <v>18.7</v>
      </c>
      <c r="AM41" s="26">
        <v>8.3000000000000007</v>
      </c>
      <c r="AN41" s="26" t="s">
        <v>55</v>
      </c>
      <c r="AO41" s="26" t="s">
        <v>55</v>
      </c>
      <c r="AP41" s="26">
        <v>18.7</v>
      </c>
      <c r="AQ41" s="26">
        <v>8.3000000000000007</v>
      </c>
      <c r="AR41" s="23">
        <v>2.7</v>
      </c>
      <c r="AS41" s="24">
        <v>3.6</v>
      </c>
      <c r="AT41" s="24">
        <v>123</v>
      </c>
      <c r="AU41" s="24">
        <v>109</v>
      </c>
      <c r="AV41" s="24">
        <v>123</v>
      </c>
      <c r="AW41" s="24">
        <v>109</v>
      </c>
      <c r="AX41" s="24">
        <v>23</v>
      </c>
      <c r="AY41" s="24">
        <v>9</v>
      </c>
      <c r="AZ41" s="34">
        <f t="shared" si="15"/>
        <v>0</v>
      </c>
      <c r="BA41" s="34">
        <f t="shared" si="16"/>
        <v>0</v>
      </c>
      <c r="BB41" s="34">
        <f t="shared" si="17"/>
        <v>0</v>
      </c>
      <c r="BC41" s="34">
        <f t="shared" si="18"/>
        <v>0</v>
      </c>
      <c r="BD41" s="34">
        <f t="shared" si="19"/>
        <v>0</v>
      </c>
      <c r="BE41" s="34">
        <f t="shared" si="20"/>
        <v>0</v>
      </c>
      <c r="BF41" s="34" t="e">
        <f t="shared" si="21"/>
        <v>#VALUE!</v>
      </c>
      <c r="BG41" s="34" t="e">
        <f t="shared" si="22"/>
        <v>#VALUE!</v>
      </c>
      <c r="BH41" s="34">
        <f t="shared" si="23"/>
        <v>0</v>
      </c>
      <c r="BI41" s="34">
        <f t="shared" si="24"/>
        <v>0</v>
      </c>
      <c r="BJ41" s="34">
        <f t="shared" si="25"/>
        <v>0</v>
      </c>
      <c r="BK41" s="34">
        <f t="shared" si="26"/>
        <v>0</v>
      </c>
      <c r="BL41" s="34" t="e">
        <f t="shared" si="27"/>
        <v>#VALUE!</v>
      </c>
      <c r="BM41" s="34" t="e">
        <f t="shared" si="28"/>
        <v>#VALUE!</v>
      </c>
      <c r="BN41" s="34">
        <f t="shared" si="29"/>
        <v>0</v>
      </c>
      <c r="BO41" s="34">
        <f t="shared" si="30"/>
        <v>0</v>
      </c>
      <c r="BP41" s="34">
        <f t="shared" si="31"/>
        <v>0</v>
      </c>
      <c r="BQ41" s="29">
        <f t="shared" si="32"/>
        <v>0</v>
      </c>
      <c r="BR41" s="29">
        <f t="shared" si="33"/>
        <v>0</v>
      </c>
      <c r="BS41" s="29">
        <f t="shared" si="34"/>
        <v>0</v>
      </c>
      <c r="BT41" s="29">
        <f t="shared" si="35"/>
        <v>0</v>
      </c>
      <c r="BU41" s="29">
        <f t="shared" si="36"/>
        <v>0</v>
      </c>
      <c r="BV41" s="29">
        <f t="shared" si="37"/>
        <v>0</v>
      </c>
      <c r="BW41" s="29">
        <f t="shared" si="38"/>
        <v>0</v>
      </c>
    </row>
    <row r="42" spans="1:75" s="13" customFormat="1" ht="27" thickBot="1">
      <c r="A42" s="10" t="s">
        <v>148</v>
      </c>
      <c r="B42" s="11" t="s">
        <v>95</v>
      </c>
      <c r="C42" s="12">
        <v>48.3</v>
      </c>
      <c r="D42" s="12">
        <v>1702.8</v>
      </c>
      <c r="E42" s="12">
        <v>67.400000000000006</v>
      </c>
      <c r="F42" s="12">
        <v>5.5</v>
      </c>
      <c r="G42" s="12">
        <v>45.7</v>
      </c>
      <c r="H42" s="12">
        <v>1590.9</v>
      </c>
      <c r="I42" s="12">
        <v>68.099999999999994</v>
      </c>
      <c r="J42" s="12">
        <v>11.5</v>
      </c>
      <c r="K42" s="12">
        <v>34077.1</v>
      </c>
      <c r="L42" s="12">
        <v>769152453.79999995</v>
      </c>
      <c r="M42" s="12">
        <v>96.5</v>
      </c>
      <c r="N42" s="12">
        <v>99.7</v>
      </c>
      <c r="O42" s="12">
        <v>31.8</v>
      </c>
      <c r="P42" s="12">
        <v>94.4</v>
      </c>
      <c r="Q42" s="12">
        <v>98.9</v>
      </c>
      <c r="R42" s="12">
        <v>99.7</v>
      </c>
      <c r="S42" s="12">
        <v>1728.2</v>
      </c>
      <c r="T42" s="12">
        <v>25942.2</v>
      </c>
      <c r="U42" s="12">
        <v>2843.8</v>
      </c>
      <c r="V42" s="12">
        <v>30200.7</v>
      </c>
      <c r="W42" s="12">
        <v>2851.8</v>
      </c>
      <c r="X42" s="12">
        <v>30200.7</v>
      </c>
      <c r="Y42" s="12">
        <v>206.9</v>
      </c>
      <c r="Z42" s="12">
        <v>5.9</v>
      </c>
      <c r="AB42" s="25">
        <v>48.3</v>
      </c>
      <c r="AC42" s="26">
        <v>1702.8</v>
      </c>
      <c r="AD42" s="26">
        <v>67.400000000000006</v>
      </c>
      <c r="AE42" s="26">
        <v>5.5</v>
      </c>
      <c r="AF42" s="26">
        <v>45.7</v>
      </c>
      <c r="AG42" s="26">
        <v>1590.9</v>
      </c>
      <c r="AH42" s="26">
        <v>68.099999999999994</v>
      </c>
      <c r="AI42" s="26">
        <v>11.5</v>
      </c>
      <c r="AJ42" s="25">
        <v>34077.1</v>
      </c>
      <c r="AK42" s="26">
        <v>769152453.79999995</v>
      </c>
      <c r="AL42" s="26">
        <v>96.5</v>
      </c>
      <c r="AM42" s="26">
        <v>99.7</v>
      </c>
      <c r="AN42" s="26">
        <v>31.8</v>
      </c>
      <c r="AO42" s="26">
        <v>94.4</v>
      </c>
      <c r="AP42" s="26">
        <v>98.9</v>
      </c>
      <c r="AQ42" s="26">
        <v>99.7</v>
      </c>
      <c r="AR42" s="25">
        <v>1728.2</v>
      </c>
      <c r="AS42" s="26">
        <v>25942.2</v>
      </c>
      <c r="AT42" s="26">
        <v>2843.8</v>
      </c>
      <c r="AU42" s="26">
        <v>30200.7</v>
      </c>
      <c r="AV42" s="26">
        <v>2851.8</v>
      </c>
      <c r="AW42" s="26">
        <v>30200.7</v>
      </c>
      <c r="AX42" s="26">
        <v>206.9</v>
      </c>
      <c r="AY42" s="26">
        <v>5.9</v>
      </c>
      <c r="AZ42" s="34">
        <f t="shared" si="15"/>
        <v>0</v>
      </c>
      <c r="BA42" s="34">
        <f t="shared" si="16"/>
        <v>0</v>
      </c>
      <c r="BB42" s="34">
        <f t="shared" si="17"/>
        <v>0</v>
      </c>
      <c r="BC42" s="34">
        <f t="shared" si="18"/>
        <v>0</v>
      </c>
      <c r="BD42" s="34">
        <f t="shared" si="19"/>
        <v>0</v>
      </c>
      <c r="BE42" s="34">
        <f t="shared" si="20"/>
        <v>0</v>
      </c>
      <c r="BF42" s="34">
        <f t="shared" si="21"/>
        <v>0</v>
      </c>
      <c r="BG42" s="34">
        <f t="shared" si="22"/>
        <v>0</v>
      </c>
      <c r="BH42" s="34">
        <f t="shared" si="23"/>
        <v>0</v>
      </c>
      <c r="BI42" s="34">
        <f t="shared" si="24"/>
        <v>0</v>
      </c>
      <c r="BJ42" s="34">
        <f t="shared" si="25"/>
        <v>0</v>
      </c>
      <c r="BK42" s="34">
        <f t="shared" si="26"/>
        <v>0</v>
      </c>
      <c r="BL42" s="34">
        <f t="shared" si="27"/>
        <v>0</v>
      </c>
      <c r="BM42" s="34">
        <f t="shared" si="28"/>
        <v>0</v>
      </c>
      <c r="BN42" s="34">
        <f t="shared" si="29"/>
        <v>0</v>
      </c>
      <c r="BO42" s="34">
        <f t="shared" si="30"/>
        <v>0</v>
      </c>
      <c r="BP42" s="34">
        <f t="shared" si="31"/>
        <v>0</v>
      </c>
      <c r="BQ42" s="29">
        <f t="shared" si="32"/>
        <v>0</v>
      </c>
      <c r="BR42" s="29">
        <f t="shared" si="33"/>
        <v>0</v>
      </c>
      <c r="BS42" s="29">
        <f t="shared" si="34"/>
        <v>0</v>
      </c>
      <c r="BT42" s="29">
        <f t="shared" si="35"/>
        <v>0</v>
      </c>
      <c r="BU42" s="29">
        <f t="shared" si="36"/>
        <v>0</v>
      </c>
      <c r="BV42" s="29">
        <f t="shared" si="37"/>
        <v>0</v>
      </c>
      <c r="BW42" s="29">
        <f t="shared" si="38"/>
        <v>0</v>
      </c>
    </row>
    <row r="43" spans="1:75" ht="39">
      <c r="A43" s="3" t="s">
        <v>96</v>
      </c>
      <c r="B43" s="4" t="s">
        <v>97</v>
      </c>
      <c r="C43" s="2">
        <v>48.3</v>
      </c>
      <c r="D43" s="2">
        <v>1702.8</v>
      </c>
      <c r="E43" s="2">
        <v>67.400000000000006</v>
      </c>
      <c r="F43" s="2">
        <v>5.5</v>
      </c>
      <c r="G43" s="2">
        <v>45.7</v>
      </c>
      <c r="H43" s="2">
        <v>1590.9</v>
      </c>
      <c r="I43" s="2">
        <v>68.099999999999994</v>
      </c>
      <c r="J43" s="2">
        <v>11.5</v>
      </c>
      <c r="K43" s="2">
        <v>34077.1</v>
      </c>
      <c r="L43" s="2">
        <v>769152453.79999995</v>
      </c>
      <c r="M43" s="2">
        <v>96.5</v>
      </c>
      <c r="N43" s="2">
        <v>99.7</v>
      </c>
      <c r="O43" s="2">
        <v>31.8</v>
      </c>
      <c r="P43" s="2">
        <v>94.4</v>
      </c>
      <c r="Q43" s="2">
        <v>98.9</v>
      </c>
      <c r="R43" s="2">
        <v>99.7</v>
      </c>
      <c r="S43" s="2">
        <v>1728.2</v>
      </c>
      <c r="T43" s="2">
        <v>25942.2</v>
      </c>
      <c r="U43" s="2">
        <v>2843.8</v>
      </c>
      <c r="V43" s="2">
        <v>30200.7</v>
      </c>
      <c r="W43" s="2">
        <v>2851.8</v>
      </c>
      <c r="X43" s="2">
        <v>30200.7</v>
      </c>
      <c r="Y43" s="2">
        <v>206.9</v>
      </c>
      <c r="Z43" s="2">
        <v>5.9</v>
      </c>
      <c r="AB43" s="25">
        <v>48.3</v>
      </c>
      <c r="AC43" s="26">
        <v>1702.8</v>
      </c>
      <c r="AD43" s="26">
        <v>67.400000000000006</v>
      </c>
      <c r="AE43" s="26">
        <v>5.5</v>
      </c>
      <c r="AF43" s="26">
        <v>45.7</v>
      </c>
      <c r="AG43" s="26">
        <v>1590.9</v>
      </c>
      <c r="AH43" s="26">
        <v>68.099999999999994</v>
      </c>
      <c r="AI43" s="26">
        <v>11.5</v>
      </c>
      <c r="AJ43" s="23">
        <v>34077.1</v>
      </c>
      <c r="AK43" s="24">
        <v>769152453.79999995</v>
      </c>
      <c r="AL43" s="24">
        <v>96.5</v>
      </c>
      <c r="AM43" s="24">
        <v>99.7</v>
      </c>
      <c r="AN43" s="24">
        <v>31.8</v>
      </c>
      <c r="AO43" s="24">
        <v>94.4</v>
      </c>
      <c r="AP43" s="24">
        <v>98.9</v>
      </c>
      <c r="AQ43" s="24">
        <v>99.7</v>
      </c>
      <c r="AR43" s="25">
        <v>1728.2</v>
      </c>
      <c r="AS43" s="26">
        <v>25942.2</v>
      </c>
      <c r="AT43" s="26">
        <v>2843.8</v>
      </c>
      <c r="AU43" s="26">
        <v>30200.7</v>
      </c>
      <c r="AV43" s="26">
        <v>2851.8</v>
      </c>
      <c r="AW43" s="26">
        <v>30200.7</v>
      </c>
      <c r="AX43" s="26">
        <v>206.9</v>
      </c>
      <c r="AY43" s="26">
        <v>5.9</v>
      </c>
      <c r="AZ43" s="34">
        <f t="shared" si="15"/>
        <v>0</v>
      </c>
      <c r="BA43" s="34">
        <f t="shared" si="16"/>
        <v>0</v>
      </c>
      <c r="BB43" s="34">
        <f t="shared" si="17"/>
        <v>0</v>
      </c>
      <c r="BC43" s="34">
        <f t="shared" si="18"/>
        <v>0</v>
      </c>
      <c r="BD43" s="34">
        <f t="shared" si="19"/>
        <v>0</v>
      </c>
      <c r="BE43" s="34">
        <f t="shared" si="20"/>
        <v>0</v>
      </c>
      <c r="BF43" s="34">
        <f t="shared" si="21"/>
        <v>0</v>
      </c>
      <c r="BG43" s="34">
        <f t="shared" si="22"/>
        <v>0</v>
      </c>
      <c r="BH43" s="34">
        <f t="shared" si="23"/>
        <v>0</v>
      </c>
      <c r="BI43" s="34">
        <f t="shared" si="24"/>
        <v>0</v>
      </c>
      <c r="BJ43" s="34">
        <f t="shared" si="25"/>
        <v>0</v>
      </c>
      <c r="BK43" s="34">
        <f t="shared" si="26"/>
        <v>0</v>
      </c>
      <c r="BL43" s="34">
        <f t="shared" si="27"/>
        <v>0</v>
      </c>
      <c r="BM43" s="34">
        <f t="shared" si="28"/>
        <v>0</v>
      </c>
      <c r="BN43" s="34">
        <f t="shared" si="29"/>
        <v>0</v>
      </c>
      <c r="BO43" s="34">
        <f t="shared" si="30"/>
        <v>0</v>
      </c>
      <c r="BP43" s="34">
        <f t="shared" si="31"/>
        <v>0</v>
      </c>
      <c r="BQ43" s="29">
        <f t="shared" si="32"/>
        <v>0</v>
      </c>
      <c r="BR43" s="29">
        <f t="shared" si="33"/>
        <v>0</v>
      </c>
      <c r="BS43" s="29">
        <f t="shared" si="34"/>
        <v>0</v>
      </c>
      <c r="BT43" s="29">
        <f t="shared" si="35"/>
        <v>0</v>
      </c>
      <c r="BU43" s="29">
        <f t="shared" si="36"/>
        <v>0</v>
      </c>
      <c r="BV43" s="29">
        <f t="shared" si="37"/>
        <v>0</v>
      </c>
      <c r="BW43" s="29">
        <f t="shared" si="38"/>
        <v>0</v>
      </c>
    </row>
    <row r="44" spans="1:75" s="13" customFormat="1" ht="26.25">
      <c r="A44" s="10" t="s">
        <v>149</v>
      </c>
      <c r="B44" s="11" t="s">
        <v>98</v>
      </c>
      <c r="C44" s="12">
        <v>58.2</v>
      </c>
      <c r="D44" s="12">
        <v>61.1</v>
      </c>
      <c r="E44" s="12">
        <v>63.2</v>
      </c>
      <c r="F44" s="12">
        <v>62.1</v>
      </c>
      <c r="G44" s="12">
        <v>-9.6</v>
      </c>
      <c r="H44" s="12">
        <v>-0.1</v>
      </c>
      <c r="I44" s="12">
        <v>78.5</v>
      </c>
      <c r="J44" s="12">
        <v>75.5</v>
      </c>
      <c r="K44" s="12">
        <v>-396.3</v>
      </c>
      <c r="L44" s="12">
        <v>-4.3</v>
      </c>
      <c r="M44" s="12">
        <v>-26.3</v>
      </c>
      <c r="N44" s="12">
        <v>-0.3</v>
      </c>
      <c r="O44" s="12">
        <v>10.8</v>
      </c>
      <c r="P44" s="12">
        <v>15.8</v>
      </c>
      <c r="Q44" s="12">
        <v>70.8</v>
      </c>
      <c r="R44" s="12">
        <v>73.7</v>
      </c>
      <c r="S44" s="12">
        <v>23.3</v>
      </c>
      <c r="T44" s="12">
        <v>30.7</v>
      </c>
      <c r="U44" s="12">
        <v>73.900000000000006</v>
      </c>
      <c r="V44" s="12">
        <v>93.4</v>
      </c>
      <c r="W44" s="12">
        <v>79.2</v>
      </c>
      <c r="X44" s="12">
        <v>99.7</v>
      </c>
      <c r="Y44" s="12">
        <v>171.8</v>
      </c>
      <c r="Z44" s="12">
        <v>163.69999999999999</v>
      </c>
      <c r="AB44" s="25">
        <v>58.2</v>
      </c>
      <c r="AC44" s="26">
        <v>61.1</v>
      </c>
      <c r="AD44" s="26">
        <v>63.2</v>
      </c>
      <c r="AE44" s="26">
        <v>62.1</v>
      </c>
      <c r="AF44" s="26">
        <v>-9.6</v>
      </c>
      <c r="AG44" s="26">
        <v>-0.1</v>
      </c>
      <c r="AH44" s="26">
        <v>78.5</v>
      </c>
      <c r="AI44" s="26">
        <v>75.5</v>
      </c>
      <c r="AJ44" s="25">
        <v>-396.3</v>
      </c>
      <c r="AK44" s="26">
        <v>-4.3</v>
      </c>
      <c r="AL44" s="26">
        <v>-26.3</v>
      </c>
      <c r="AM44" s="26">
        <v>-0.3</v>
      </c>
      <c r="AN44" s="26">
        <v>10.8</v>
      </c>
      <c r="AO44" s="26">
        <v>15.8</v>
      </c>
      <c r="AP44" s="26">
        <v>70.8</v>
      </c>
      <c r="AQ44" s="26">
        <v>73.7</v>
      </c>
      <c r="AR44" s="25">
        <v>23.3</v>
      </c>
      <c r="AS44" s="26">
        <v>30.7</v>
      </c>
      <c r="AT44" s="26">
        <v>73.900000000000006</v>
      </c>
      <c r="AU44" s="26">
        <v>93.4</v>
      </c>
      <c r="AV44" s="26">
        <v>79.2</v>
      </c>
      <c r="AW44" s="26">
        <v>99.7</v>
      </c>
      <c r="AX44" s="26">
        <v>171.8</v>
      </c>
      <c r="AY44" s="26">
        <v>163.69999999999999</v>
      </c>
      <c r="AZ44" s="34">
        <f t="shared" si="15"/>
        <v>0</v>
      </c>
      <c r="BA44" s="34">
        <f t="shared" si="16"/>
        <v>0</v>
      </c>
      <c r="BB44" s="34">
        <f t="shared" si="17"/>
        <v>0</v>
      </c>
      <c r="BC44" s="34">
        <f t="shared" si="18"/>
        <v>0</v>
      </c>
      <c r="BD44" s="34">
        <f t="shared" si="19"/>
        <v>0</v>
      </c>
      <c r="BE44" s="34">
        <f t="shared" si="20"/>
        <v>0</v>
      </c>
      <c r="BF44" s="34">
        <f t="shared" si="21"/>
        <v>0</v>
      </c>
      <c r="BG44" s="34">
        <f t="shared" si="22"/>
        <v>0</v>
      </c>
      <c r="BH44" s="34">
        <f t="shared" si="23"/>
        <v>0</v>
      </c>
      <c r="BI44" s="34">
        <f t="shared" si="24"/>
        <v>0</v>
      </c>
      <c r="BJ44" s="34">
        <f t="shared" si="25"/>
        <v>0</v>
      </c>
      <c r="BK44" s="34">
        <f t="shared" si="26"/>
        <v>0</v>
      </c>
      <c r="BL44" s="34">
        <f t="shared" si="27"/>
        <v>0</v>
      </c>
      <c r="BM44" s="34">
        <f t="shared" si="28"/>
        <v>0</v>
      </c>
      <c r="BN44" s="34">
        <f t="shared" si="29"/>
        <v>0</v>
      </c>
      <c r="BO44" s="34">
        <f t="shared" si="30"/>
        <v>0</v>
      </c>
      <c r="BP44" s="34">
        <f t="shared" si="31"/>
        <v>0</v>
      </c>
      <c r="BQ44" s="29">
        <f t="shared" si="32"/>
        <v>0</v>
      </c>
      <c r="BR44" s="29">
        <f t="shared" si="33"/>
        <v>0</v>
      </c>
      <c r="BS44" s="29">
        <f t="shared" si="34"/>
        <v>0</v>
      </c>
      <c r="BT44" s="29">
        <f t="shared" si="35"/>
        <v>0</v>
      </c>
      <c r="BU44" s="29">
        <f t="shared" si="36"/>
        <v>0</v>
      </c>
      <c r="BV44" s="29">
        <f t="shared" si="37"/>
        <v>0</v>
      </c>
      <c r="BW44" s="29">
        <f t="shared" si="38"/>
        <v>0</v>
      </c>
    </row>
    <row r="45" spans="1:75" ht="15.75">
      <c r="A45" s="3" t="s">
        <v>99</v>
      </c>
      <c r="B45" s="4" t="s">
        <v>100</v>
      </c>
      <c r="C45" s="2">
        <v>58.2</v>
      </c>
      <c r="D45" s="2">
        <v>61.1</v>
      </c>
      <c r="E45" s="2">
        <v>63.2</v>
      </c>
      <c r="F45" s="2">
        <v>62.1</v>
      </c>
      <c r="G45" s="2">
        <v>-9.6</v>
      </c>
      <c r="H45" s="2">
        <v>-0.1</v>
      </c>
      <c r="I45" s="2">
        <v>78.5</v>
      </c>
      <c r="J45" s="2">
        <v>75.5</v>
      </c>
      <c r="K45" s="2">
        <v>-396.3</v>
      </c>
      <c r="L45" s="2">
        <v>-4.3</v>
      </c>
      <c r="M45" s="2">
        <v>-26.3</v>
      </c>
      <c r="N45" s="2">
        <v>-0.3</v>
      </c>
      <c r="O45" s="2">
        <v>10.8</v>
      </c>
      <c r="P45" s="2">
        <v>15.8</v>
      </c>
      <c r="Q45" s="2">
        <v>70.8</v>
      </c>
      <c r="R45" s="2">
        <v>73.7</v>
      </c>
      <c r="S45" s="2">
        <v>23.3</v>
      </c>
      <c r="T45" s="2">
        <v>30.7</v>
      </c>
      <c r="U45" s="2">
        <v>73.900000000000006</v>
      </c>
      <c r="V45" s="2">
        <v>93.4</v>
      </c>
      <c r="W45" s="2">
        <v>79.2</v>
      </c>
      <c r="X45" s="2">
        <v>99.7</v>
      </c>
      <c r="Y45" s="2">
        <v>171.8</v>
      </c>
      <c r="Z45" s="2">
        <v>163.69999999999999</v>
      </c>
      <c r="AB45" s="25">
        <v>58.2</v>
      </c>
      <c r="AC45" s="26">
        <v>61.1</v>
      </c>
      <c r="AD45" s="26">
        <v>63.2</v>
      </c>
      <c r="AE45" s="26">
        <v>62.1</v>
      </c>
      <c r="AF45" s="26">
        <v>-9.6</v>
      </c>
      <c r="AG45" s="26">
        <v>-0.1</v>
      </c>
      <c r="AH45" s="26">
        <v>78.5</v>
      </c>
      <c r="AI45" s="26">
        <v>75.5</v>
      </c>
      <c r="AJ45" s="25">
        <v>-396.3</v>
      </c>
      <c r="AK45" s="26">
        <v>-4.3</v>
      </c>
      <c r="AL45" s="26">
        <v>-26.3</v>
      </c>
      <c r="AM45" s="26">
        <v>-0.3</v>
      </c>
      <c r="AN45" s="26">
        <v>10.8</v>
      </c>
      <c r="AO45" s="26">
        <v>15.8</v>
      </c>
      <c r="AP45" s="26">
        <v>70.8</v>
      </c>
      <c r="AQ45" s="26">
        <v>73.7</v>
      </c>
      <c r="AR45" s="25">
        <v>23.3</v>
      </c>
      <c r="AS45" s="26">
        <v>30.7</v>
      </c>
      <c r="AT45" s="26">
        <v>73.900000000000006</v>
      </c>
      <c r="AU45" s="26">
        <v>93.4</v>
      </c>
      <c r="AV45" s="26">
        <v>79.2</v>
      </c>
      <c r="AW45" s="26">
        <v>99.7</v>
      </c>
      <c r="AX45" s="26">
        <v>171.8</v>
      </c>
      <c r="AY45" s="26">
        <v>163.69999999999999</v>
      </c>
      <c r="AZ45" s="34">
        <f t="shared" si="15"/>
        <v>0</v>
      </c>
      <c r="BA45" s="34">
        <f t="shared" si="16"/>
        <v>0</v>
      </c>
      <c r="BB45" s="34">
        <f t="shared" si="17"/>
        <v>0</v>
      </c>
      <c r="BC45" s="34">
        <f t="shared" si="18"/>
        <v>0</v>
      </c>
      <c r="BD45" s="34">
        <f t="shared" si="19"/>
        <v>0</v>
      </c>
      <c r="BE45" s="34">
        <f t="shared" si="20"/>
        <v>0</v>
      </c>
      <c r="BF45" s="34">
        <f t="shared" si="21"/>
        <v>0</v>
      </c>
      <c r="BG45" s="34">
        <f t="shared" si="22"/>
        <v>0</v>
      </c>
      <c r="BH45" s="34">
        <f t="shared" si="23"/>
        <v>0</v>
      </c>
      <c r="BI45" s="34">
        <f t="shared" si="24"/>
        <v>0</v>
      </c>
      <c r="BJ45" s="34">
        <f t="shared" si="25"/>
        <v>0</v>
      </c>
      <c r="BK45" s="34">
        <f t="shared" si="26"/>
        <v>0</v>
      </c>
      <c r="BL45" s="34">
        <f t="shared" si="27"/>
        <v>0</v>
      </c>
      <c r="BM45" s="34">
        <f t="shared" si="28"/>
        <v>0</v>
      </c>
      <c r="BN45" s="34">
        <f t="shared" si="29"/>
        <v>0</v>
      </c>
      <c r="BO45" s="34">
        <f t="shared" si="30"/>
        <v>0</v>
      </c>
      <c r="BP45" s="34">
        <f t="shared" si="31"/>
        <v>0</v>
      </c>
      <c r="BQ45" s="29">
        <f t="shared" si="32"/>
        <v>0</v>
      </c>
      <c r="BR45" s="29">
        <f t="shared" si="33"/>
        <v>0</v>
      </c>
      <c r="BS45" s="29">
        <f t="shared" si="34"/>
        <v>0</v>
      </c>
      <c r="BT45" s="29">
        <f t="shared" si="35"/>
        <v>0</v>
      </c>
      <c r="BU45" s="29">
        <f t="shared" si="36"/>
        <v>0</v>
      </c>
      <c r="BV45" s="29">
        <f t="shared" si="37"/>
        <v>0</v>
      </c>
      <c r="BW45" s="29">
        <f t="shared" si="38"/>
        <v>0</v>
      </c>
    </row>
    <row r="46" spans="1:75" s="13" customFormat="1" ht="26.25">
      <c r="A46" s="10" t="s">
        <v>150</v>
      </c>
      <c r="B46" s="11" t="s">
        <v>101</v>
      </c>
      <c r="C46" s="12">
        <v>307.89999999999998</v>
      </c>
      <c r="D46" s="12">
        <v>485.9</v>
      </c>
      <c r="E46" s="12">
        <v>24.5</v>
      </c>
      <c r="F46" s="12">
        <v>17.100000000000001</v>
      </c>
      <c r="G46" s="12">
        <v>-155.30000000000001</v>
      </c>
      <c r="H46" s="12">
        <v>60.6</v>
      </c>
      <c r="I46" s="12">
        <v>75</v>
      </c>
      <c r="J46" s="12">
        <v>77.8</v>
      </c>
      <c r="K46" s="12">
        <v>-1072.7</v>
      </c>
      <c r="L46" s="12">
        <v>180.5</v>
      </c>
      <c r="M46" s="12">
        <v>-133.5</v>
      </c>
      <c r="N46" s="12">
        <v>37.1</v>
      </c>
      <c r="O46" s="12">
        <v>26.6</v>
      </c>
      <c r="P46" s="12">
        <v>79.3</v>
      </c>
      <c r="Q46" s="12">
        <v>33.4</v>
      </c>
      <c r="R46" s="12">
        <v>82.5</v>
      </c>
      <c r="S46" s="12">
        <v>18.7</v>
      </c>
      <c r="T46" s="12">
        <v>54.1</v>
      </c>
      <c r="U46" s="12">
        <v>37.5</v>
      </c>
      <c r="V46" s="12">
        <v>126.3</v>
      </c>
      <c r="W46" s="12">
        <v>42.8</v>
      </c>
      <c r="X46" s="12">
        <v>159</v>
      </c>
      <c r="Y46" s="12">
        <v>32.5</v>
      </c>
      <c r="Z46" s="12">
        <v>20.6</v>
      </c>
      <c r="AB46" s="25">
        <v>307.89999999999998</v>
      </c>
      <c r="AC46" s="26">
        <v>485.9</v>
      </c>
      <c r="AD46" s="26">
        <v>24.5</v>
      </c>
      <c r="AE46" s="26">
        <v>17.100000000000001</v>
      </c>
      <c r="AF46" s="26">
        <v>-155.30000000000001</v>
      </c>
      <c r="AG46" s="26">
        <v>60.6</v>
      </c>
      <c r="AH46" s="26">
        <v>75</v>
      </c>
      <c r="AI46" s="26">
        <v>77.8</v>
      </c>
      <c r="AJ46" s="25">
        <v>-1072.7</v>
      </c>
      <c r="AK46" s="26">
        <v>180.5</v>
      </c>
      <c r="AL46" s="26">
        <v>-133.5</v>
      </c>
      <c r="AM46" s="26">
        <v>37.1</v>
      </c>
      <c r="AN46" s="26">
        <v>26.6</v>
      </c>
      <c r="AO46" s="26">
        <v>79.3</v>
      </c>
      <c r="AP46" s="26">
        <v>33.4</v>
      </c>
      <c r="AQ46" s="26">
        <v>82.5</v>
      </c>
      <c r="AR46" s="25">
        <v>18.7</v>
      </c>
      <c r="AS46" s="26">
        <v>54.1</v>
      </c>
      <c r="AT46" s="26">
        <v>37.5</v>
      </c>
      <c r="AU46" s="26">
        <v>126.3</v>
      </c>
      <c r="AV46" s="26">
        <v>42.8</v>
      </c>
      <c r="AW46" s="26">
        <v>159</v>
      </c>
      <c r="AX46" s="26">
        <v>32.5</v>
      </c>
      <c r="AY46" s="26">
        <v>20.6</v>
      </c>
      <c r="AZ46" s="34">
        <f t="shared" si="15"/>
        <v>0</v>
      </c>
      <c r="BA46" s="34">
        <f t="shared" si="16"/>
        <v>0</v>
      </c>
      <c r="BB46" s="34">
        <f t="shared" si="17"/>
        <v>0</v>
      </c>
      <c r="BC46" s="34">
        <f t="shared" si="18"/>
        <v>0</v>
      </c>
      <c r="BD46" s="34">
        <f t="shared" si="19"/>
        <v>0</v>
      </c>
      <c r="BE46" s="34">
        <f t="shared" si="20"/>
        <v>0</v>
      </c>
      <c r="BF46" s="34">
        <f t="shared" si="21"/>
        <v>0</v>
      </c>
      <c r="BG46" s="34">
        <f t="shared" si="22"/>
        <v>0</v>
      </c>
      <c r="BH46" s="34">
        <f t="shared" si="23"/>
        <v>0</v>
      </c>
      <c r="BI46" s="34">
        <f t="shared" si="24"/>
        <v>0</v>
      </c>
      <c r="BJ46" s="34">
        <f t="shared" si="25"/>
        <v>0</v>
      </c>
      <c r="BK46" s="34">
        <f t="shared" si="26"/>
        <v>0</v>
      </c>
      <c r="BL46" s="34">
        <f t="shared" si="27"/>
        <v>0</v>
      </c>
      <c r="BM46" s="34">
        <f t="shared" si="28"/>
        <v>0</v>
      </c>
      <c r="BN46" s="34">
        <f t="shared" si="29"/>
        <v>0</v>
      </c>
      <c r="BO46" s="34">
        <f t="shared" si="30"/>
        <v>0</v>
      </c>
      <c r="BP46" s="34">
        <f t="shared" si="31"/>
        <v>0</v>
      </c>
      <c r="BQ46" s="29">
        <f t="shared" si="32"/>
        <v>0</v>
      </c>
      <c r="BR46" s="29">
        <f t="shared" si="33"/>
        <v>0</v>
      </c>
      <c r="BS46" s="29">
        <f t="shared" si="34"/>
        <v>0</v>
      </c>
      <c r="BT46" s="29">
        <f t="shared" si="35"/>
        <v>0</v>
      </c>
      <c r="BU46" s="29">
        <f t="shared" si="36"/>
        <v>0</v>
      </c>
      <c r="BV46" s="29">
        <f t="shared" si="37"/>
        <v>0</v>
      </c>
      <c r="BW46" s="29">
        <f t="shared" si="38"/>
        <v>0</v>
      </c>
    </row>
    <row r="47" spans="1:75" ht="27" thickBot="1">
      <c r="A47" s="3" t="s">
        <v>102</v>
      </c>
      <c r="B47" s="4" t="s">
        <v>103</v>
      </c>
      <c r="C47" s="2" t="s">
        <v>55</v>
      </c>
      <c r="D47" s="2">
        <v>16.7</v>
      </c>
      <c r="E47" s="2" t="s">
        <v>55</v>
      </c>
      <c r="F47" s="2">
        <v>85.7</v>
      </c>
      <c r="G47" s="2" t="s">
        <v>55</v>
      </c>
      <c r="H47" s="2">
        <v>100</v>
      </c>
      <c r="I47" s="2" t="s">
        <v>55</v>
      </c>
      <c r="J47" s="2" t="s">
        <v>55</v>
      </c>
      <c r="K47" s="2" t="s">
        <v>55</v>
      </c>
      <c r="L47" s="2">
        <v>0</v>
      </c>
      <c r="M47" s="2" t="s">
        <v>55</v>
      </c>
      <c r="N47" s="2">
        <v>85.7</v>
      </c>
      <c r="O47" s="2" t="s">
        <v>55</v>
      </c>
      <c r="P47" s="2" t="s">
        <v>55</v>
      </c>
      <c r="Q47" s="2" t="s">
        <v>55</v>
      </c>
      <c r="R47" s="2">
        <v>85.7</v>
      </c>
      <c r="S47" s="2" t="s">
        <v>55</v>
      </c>
      <c r="T47" s="2">
        <v>700</v>
      </c>
      <c r="U47" s="2" t="s">
        <v>55</v>
      </c>
      <c r="V47" s="2">
        <v>700</v>
      </c>
      <c r="W47" s="2" t="s">
        <v>55</v>
      </c>
      <c r="X47" s="2">
        <v>700</v>
      </c>
      <c r="Y47" s="2" t="s">
        <v>55</v>
      </c>
      <c r="Z47" s="2">
        <v>600</v>
      </c>
      <c r="AB47" s="25" t="s">
        <v>55</v>
      </c>
      <c r="AC47" s="26">
        <v>16.7</v>
      </c>
      <c r="AD47" s="26" t="s">
        <v>55</v>
      </c>
      <c r="AE47" s="26">
        <v>85.7</v>
      </c>
      <c r="AF47" s="26" t="s">
        <v>55</v>
      </c>
      <c r="AG47" s="26">
        <v>100</v>
      </c>
      <c r="AH47" s="26" t="s">
        <v>55</v>
      </c>
      <c r="AI47" s="26" t="s">
        <v>55</v>
      </c>
      <c r="AJ47" s="25" t="s">
        <v>55</v>
      </c>
      <c r="AK47" s="26">
        <v>0</v>
      </c>
      <c r="AL47" s="26" t="s">
        <v>55</v>
      </c>
      <c r="AM47" s="26">
        <v>85.7</v>
      </c>
      <c r="AN47" s="26" t="s">
        <v>55</v>
      </c>
      <c r="AO47" s="26" t="s">
        <v>55</v>
      </c>
      <c r="AP47" s="26" t="s">
        <v>55</v>
      </c>
      <c r="AQ47" s="26">
        <v>85.7</v>
      </c>
      <c r="AR47" s="25" t="s">
        <v>55</v>
      </c>
      <c r="AS47" s="26">
        <v>700</v>
      </c>
      <c r="AT47" s="26" t="s">
        <v>55</v>
      </c>
      <c r="AU47" s="26">
        <v>700</v>
      </c>
      <c r="AV47" s="26" t="s">
        <v>55</v>
      </c>
      <c r="AW47" s="26">
        <v>700</v>
      </c>
      <c r="AX47" s="26" t="s">
        <v>55</v>
      </c>
      <c r="AY47" s="26">
        <v>600</v>
      </c>
      <c r="AZ47" s="34" t="e">
        <f t="shared" si="15"/>
        <v>#VALUE!</v>
      </c>
      <c r="BA47" s="34">
        <f t="shared" si="16"/>
        <v>0</v>
      </c>
      <c r="BB47" s="34" t="e">
        <f t="shared" si="17"/>
        <v>#VALUE!</v>
      </c>
      <c r="BC47" s="34">
        <f t="shared" si="18"/>
        <v>0</v>
      </c>
      <c r="BD47" s="34" t="e">
        <f t="shared" si="19"/>
        <v>#VALUE!</v>
      </c>
      <c r="BE47" s="34">
        <f t="shared" si="20"/>
        <v>0</v>
      </c>
      <c r="BF47" s="34" t="e">
        <f t="shared" si="21"/>
        <v>#VALUE!</v>
      </c>
      <c r="BG47" s="34" t="e">
        <f t="shared" si="22"/>
        <v>#VALUE!</v>
      </c>
      <c r="BH47" s="34" t="e">
        <f t="shared" si="23"/>
        <v>#VALUE!</v>
      </c>
      <c r="BI47" s="34">
        <f t="shared" si="24"/>
        <v>0</v>
      </c>
      <c r="BJ47" s="34" t="e">
        <f t="shared" si="25"/>
        <v>#VALUE!</v>
      </c>
      <c r="BK47" s="34">
        <f t="shared" si="26"/>
        <v>0</v>
      </c>
      <c r="BL47" s="34" t="e">
        <f t="shared" si="27"/>
        <v>#VALUE!</v>
      </c>
      <c r="BM47" s="34" t="e">
        <f t="shared" si="28"/>
        <v>#VALUE!</v>
      </c>
      <c r="BN47" s="34" t="e">
        <f t="shared" si="29"/>
        <v>#VALUE!</v>
      </c>
      <c r="BO47" s="34">
        <f t="shared" si="30"/>
        <v>0</v>
      </c>
      <c r="BP47" s="34" t="e">
        <f t="shared" si="31"/>
        <v>#VALUE!</v>
      </c>
      <c r="BQ47" s="29">
        <f t="shared" si="32"/>
        <v>0</v>
      </c>
      <c r="BR47" s="29" t="e">
        <f t="shared" si="33"/>
        <v>#VALUE!</v>
      </c>
      <c r="BS47" s="29">
        <f t="shared" si="34"/>
        <v>0</v>
      </c>
      <c r="BT47" s="29" t="e">
        <f t="shared" si="35"/>
        <v>#VALUE!</v>
      </c>
      <c r="BU47" s="29">
        <f t="shared" si="36"/>
        <v>0</v>
      </c>
      <c r="BV47" s="29" t="e">
        <f t="shared" si="37"/>
        <v>#VALUE!</v>
      </c>
      <c r="BW47" s="29">
        <f t="shared" si="38"/>
        <v>0</v>
      </c>
    </row>
    <row r="48" spans="1:75" ht="26.25">
      <c r="A48" s="3" t="s">
        <v>104</v>
      </c>
      <c r="B48" s="4" t="s">
        <v>105</v>
      </c>
      <c r="C48" s="2">
        <v>92.2</v>
      </c>
      <c r="D48" s="2">
        <v>48.1</v>
      </c>
      <c r="E48" s="2">
        <v>52</v>
      </c>
      <c r="F48" s="2">
        <v>67.5</v>
      </c>
      <c r="G48" s="2">
        <v>39.5</v>
      </c>
      <c r="H48" s="2">
        <v>52.7</v>
      </c>
      <c r="I48" s="2">
        <v>34.1</v>
      </c>
      <c r="J48" s="2">
        <v>37.200000000000003</v>
      </c>
      <c r="K48" s="2">
        <v>1944.7</v>
      </c>
      <c r="L48" s="2">
        <v>55286</v>
      </c>
      <c r="M48" s="2">
        <v>30.7</v>
      </c>
      <c r="N48" s="2">
        <v>56.6</v>
      </c>
      <c r="O48" s="2">
        <v>3</v>
      </c>
      <c r="P48" s="2">
        <v>7.1</v>
      </c>
      <c r="Q48" s="2">
        <v>53.7</v>
      </c>
      <c r="R48" s="2">
        <v>72.7</v>
      </c>
      <c r="S48" s="2">
        <v>71.2</v>
      </c>
      <c r="T48" s="2">
        <v>97</v>
      </c>
      <c r="U48" s="2">
        <v>142.1</v>
      </c>
      <c r="V48" s="2">
        <v>229.9</v>
      </c>
      <c r="W48" s="2">
        <v>144.4</v>
      </c>
      <c r="X48" s="2">
        <v>230.2</v>
      </c>
      <c r="Y48" s="2">
        <v>108.5</v>
      </c>
      <c r="Z48" s="2">
        <v>207.8</v>
      </c>
      <c r="AB48" s="23">
        <v>92.2</v>
      </c>
      <c r="AC48" s="24">
        <v>48.1</v>
      </c>
      <c r="AD48" s="24">
        <v>52</v>
      </c>
      <c r="AE48" s="24">
        <v>67.5</v>
      </c>
      <c r="AF48" s="24">
        <v>39.5</v>
      </c>
      <c r="AG48" s="24">
        <v>52.7</v>
      </c>
      <c r="AH48" s="24">
        <v>34.1</v>
      </c>
      <c r="AI48" s="24">
        <v>37.200000000000003</v>
      </c>
      <c r="AJ48" s="25">
        <v>1944.7</v>
      </c>
      <c r="AK48" s="26">
        <v>55286</v>
      </c>
      <c r="AL48" s="26">
        <v>30.7</v>
      </c>
      <c r="AM48" s="26">
        <v>56.6</v>
      </c>
      <c r="AN48" s="26">
        <v>3</v>
      </c>
      <c r="AO48" s="26">
        <v>7.1</v>
      </c>
      <c r="AP48" s="26">
        <v>53.7</v>
      </c>
      <c r="AQ48" s="26">
        <v>72.7</v>
      </c>
      <c r="AR48" s="25">
        <v>71.2</v>
      </c>
      <c r="AS48" s="26">
        <v>97</v>
      </c>
      <c r="AT48" s="26">
        <v>142.1</v>
      </c>
      <c r="AU48" s="26">
        <v>229.9</v>
      </c>
      <c r="AV48" s="26">
        <v>144.4</v>
      </c>
      <c r="AW48" s="26">
        <v>230.2</v>
      </c>
      <c r="AX48" s="26">
        <v>108.5</v>
      </c>
      <c r="AY48" s="26">
        <v>207.8</v>
      </c>
      <c r="AZ48" s="34">
        <f t="shared" si="15"/>
        <v>0</v>
      </c>
      <c r="BA48" s="34">
        <f t="shared" si="16"/>
        <v>0</v>
      </c>
      <c r="BB48" s="34">
        <f t="shared" si="17"/>
        <v>0</v>
      </c>
      <c r="BC48" s="34">
        <f t="shared" si="18"/>
        <v>0</v>
      </c>
      <c r="BD48" s="34">
        <f t="shared" si="19"/>
        <v>0</v>
      </c>
      <c r="BE48" s="34">
        <f t="shared" si="20"/>
        <v>0</v>
      </c>
      <c r="BF48" s="34">
        <f t="shared" si="21"/>
        <v>0</v>
      </c>
      <c r="BG48" s="34">
        <f t="shared" si="22"/>
        <v>0</v>
      </c>
      <c r="BH48" s="34">
        <f t="shared" si="23"/>
        <v>0</v>
      </c>
      <c r="BI48" s="34">
        <f t="shared" si="24"/>
        <v>0</v>
      </c>
      <c r="BJ48" s="34">
        <f t="shared" si="25"/>
        <v>0</v>
      </c>
      <c r="BK48" s="34">
        <f t="shared" si="26"/>
        <v>0</v>
      </c>
      <c r="BL48" s="34">
        <f t="shared" si="27"/>
        <v>0</v>
      </c>
      <c r="BM48" s="34">
        <f t="shared" si="28"/>
        <v>0</v>
      </c>
      <c r="BN48" s="34">
        <f t="shared" si="29"/>
        <v>0</v>
      </c>
      <c r="BO48" s="34">
        <f t="shared" si="30"/>
        <v>0</v>
      </c>
      <c r="BP48" s="34">
        <f t="shared" si="31"/>
        <v>0</v>
      </c>
      <c r="BQ48" s="29">
        <f t="shared" si="32"/>
        <v>0</v>
      </c>
      <c r="BR48" s="29">
        <f t="shared" si="33"/>
        <v>0</v>
      </c>
      <c r="BS48" s="29">
        <f t="shared" si="34"/>
        <v>0</v>
      </c>
      <c r="BT48" s="29">
        <f t="shared" si="35"/>
        <v>0</v>
      </c>
      <c r="BU48" s="29">
        <f t="shared" si="36"/>
        <v>0</v>
      </c>
      <c r="BV48" s="29">
        <f t="shared" si="37"/>
        <v>0</v>
      </c>
      <c r="BW48" s="29">
        <f t="shared" si="38"/>
        <v>0</v>
      </c>
    </row>
    <row r="49" spans="1:75" ht="51.75">
      <c r="A49" s="3" t="s">
        <v>106</v>
      </c>
      <c r="B49" s="4" t="s">
        <v>107</v>
      </c>
      <c r="C49" s="2">
        <v>712.2</v>
      </c>
      <c r="D49" s="2">
        <v>2021.1</v>
      </c>
      <c r="E49" s="2">
        <v>12.3</v>
      </c>
      <c r="F49" s="2">
        <v>4.7</v>
      </c>
      <c r="G49" s="2">
        <v>-520.70000000000005</v>
      </c>
      <c r="H49" s="2">
        <v>88.5</v>
      </c>
      <c r="I49" s="2">
        <v>93.2</v>
      </c>
      <c r="J49" s="2">
        <v>87.8</v>
      </c>
      <c r="K49" s="2">
        <v>-1376.7</v>
      </c>
      <c r="L49" s="2">
        <v>58.6</v>
      </c>
      <c r="M49" s="2">
        <v>-558.29999999999995</v>
      </c>
      <c r="N49" s="2">
        <v>21.6</v>
      </c>
      <c r="O49" s="2">
        <v>49.5</v>
      </c>
      <c r="P49" s="2">
        <v>94.4</v>
      </c>
      <c r="Q49" s="2">
        <v>24.4</v>
      </c>
      <c r="R49" s="2">
        <v>84.9</v>
      </c>
      <c r="S49" s="2">
        <v>4.4000000000000004</v>
      </c>
      <c r="T49" s="2">
        <v>35.1</v>
      </c>
      <c r="U49" s="2">
        <v>9</v>
      </c>
      <c r="V49" s="2">
        <v>80.5</v>
      </c>
      <c r="W49" s="2">
        <v>15.2</v>
      </c>
      <c r="X49" s="2">
        <v>127.6</v>
      </c>
      <c r="Y49" s="2">
        <v>14</v>
      </c>
      <c r="Z49" s="2">
        <v>4.9000000000000004</v>
      </c>
      <c r="AB49" s="25">
        <v>712.2</v>
      </c>
      <c r="AC49" s="26">
        <v>2021.1</v>
      </c>
      <c r="AD49" s="26">
        <v>12.3</v>
      </c>
      <c r="AE49" s="26">
        <v>4.7</v>
      </c>
      <c r="AF49" s="26">
        <v>-520.70000000000005</v>
      </c>
      <c r="AG49" s="26">
        <v>88.5</v>
      </c>
      <c r="AH49" s="26">
        <v>93.2</v>
      </c>
      <c r="AI49" s="26">
        <v>87.8</v>
      </c>
      <c r="AJ49" s="25">
        <v>-1376.7</v>
      </c>
      <c r="AK49" s="26">
        <v>58.6</v>
      </c>
      <c r="AL49" s="26">
        <v>-558.29999999999995</v>
      </c>
      <c r="AM49" s="26">
        <v>21.6</v>
      </c>
      <c r="AN49" s="26">
        <v>49.5</v>
      </c>
      <c r="AO49" s="26">
        <v>94.4</v>
      </c>
      <c r="AP49" s="26">
        <v>24.4</v>
      </c>
      <c r="AQ49" s="26">
        <v>84.9</v>
      </c>
      <c r="AR49" s="25">
        <v>4.4000000000000004</v>
      </c>
      <c r="AS49" s="26">
        <v>35.1</v>
      </c>
      <c r="AT49" s="26">
        <v>9</v>
      </c>
      <c r="AU49" s="26">
        <v>80.5</v>
      </c>
      <c r="AV49" s="26">
        <v>15.2</v>
      </c>
      <c r="AW49" s="26">
        <v>127.6</v>
      </c>
      <c r="AX49" s="26">
        <v>14</v>
      </c>
      <c r="AY49" s="26">
        <v>4.9000000000000004</v>
      </c>
      <c r="AZ49" s="34">
        <f t="shared" si="15"/>
        <v>0</v>
      </c>
      <c r="BA49" s="34">
        <f t="shared" si="16"/>
        <v>0</v>
      </c>
      <c r="BB49" s="34">
        <f t="shared" si="17"/>
        <v>0</v>
      </c>
      <c r="BC49" s="34">
        <f t="shared" si="18"/>
        <v>0</v>
      </c>
      <c r="BD49" s="34">
        <f t="shared" si="19"/>
        <v>0</v>
      </c>
      <c r="BE49" s="34">
        <f t="shared" si="20"/>
        <v>0</v>
      </c>
      <c r="BF49" s="34">
        <f t="shared" si="21"/>
        <v>0</v>
      </c>
      <c r="BG49" s="34">
        <f t="shared" si="22"/>
        <v>0</v>
      </c>
      <c r="BH49" s="34">
        <f t="shared" si="23"/>
        <v>0</v>
      </c>
      <c r="BI49" s="34">
        <f t="shared" si="24"/>
        <v>0</v>
      </c>
      <c r="BJ49" s="34">
        <f t="shared" si="25"/>
        <v>0</v>
      </c>
      <c r="BK49" s="34">
        <f t="shared" si="26"/>
        <v>0</v>
      </c>
      <c r="BL49" s="34">
        <f t="shared" si="27"/>
        <v>0</v>
      </c>
      <c r="BM49" s="34">
        <f t="shared" si="28"/>
        <v>0</v>
      </c>
      <c r="BN49" s="34">
        <f t="shared" si="29"/>
        <v>0</v>
      </c>
      <c r="BO49" s="34">
        <f t="shared" si="30"/>
        <v>0</v>
      </c>
      <c r="BP49" s="34">
        <f t="shared" si="31"/>
        <v>0</v>
      </c>
      <c r="BQ49" s="29">
        <f t="shared" si="32"/>
        <v>0</v>
      </c>
      <c r="BR49" s="29">
        <f t="shared" si="33"/>
        <v>0</v>
      </c>
      <c r="BS49" s="29">
        <f t="shared" si="34"/>
        <v>0</v>
      </c>
      <c r="BT49" s="29">
        <f t="shared" si="35"/>
        <v>0</v>
      </c>
      <c r="BU49" s="29">
        <f t="shared" si="36"/>
        <v>0</v>
      </c>
      <c r="BV49" s="29">
        <f t="shared" si="37"/>
        <v>0</v>
      </c>
      <c r="BW49" s="29">
        <f t="shared" si="38"/>
        <v>0</v>
      </c>
    </row>
    <row r="50" spans="1:75" ht="27" thickBot="1">
      <c r="A50" s="3" t="s">
        <v>108</v>
      </c>
      <c r="B50" s="4" t="s">
        <v>109</v>
      </c>
      <c r="C50" s="2">
        <v>-531.5</v>
      </c>
      <c r="D50" s="2">
        <v>-251.4</v>
      </c>
      <c r="E50" s="2">
        <v>-23.2</v>
      </c>
      <c r="F50" s="2">
        <v>-66.099999999999994</v>
      </c>
      <c r="G50" s="2">
        <v>405.8</v>
      </c>
      <c r="H50" s="2">
        <v>200.9</v>
      </c>
      <c r="I50" s="2">
        <v>88</v>
      </c>
      <c r="J50" s="2">
        <v>94.9</v>
      </c>
      <c r="K50" s="2">
        <v>-2803.7</v>
      </c>
      <c r="L50" s="2">
        <v>-2426.3000000000002</v>
      </c>
      <c r="M50" s="2">
        <v>-613.9</v>
      </c>
      <c r="N50" s="2">
        <v>-1254.4000000000001</v>
      </c>
      <c r="O50" s="2">
        <v>-147.5</v>
      </c>
      <c r="P50" s="2">
        <v>-52.7</v>
      </c>
      <c r="Q50" s="2">
        <v>-9.4</v>
      </c>
      <c r="R50" s="2">
        <v>-43.3</v>
      </c>
      <c r="S50" s="2">
        <v>0.9</v>
      </c>
      <c r="T50" s="2">
        <v>0.5</v>
      </c>
      <c r="U50" s="2">
        <v>10.9</v>
      </c>
      <c r="V50" s="2">
        <v>3.6</v>
      </c>
      <c r="W50" s="2">
        <v>14</v>
      </c>
      <c r="X50" s="2">
        <v>7.4</v>
      </c>
      <c r="Y50" s="2">
        <v>-18.8</v>
      </c>
      <c r="Z50" s="2">
        <v>-39.799999999999997</v>
      </c>
      <c r="AB50" s="25">
        <v>-531.5</v>
      </c>
      <c r="AC50" s="26">
        <v>-251.4</v>
      </c>
      <c r="AD50" s="26">
        <v>-23.2</v>
      </c>
      <c r="AE50" s="26">
        <v>-66.099999999999994</v>
      </c>
      <c r="AF50" s="26">
        <v>405.8</v>
      </c>
      <c r="AG50" s="26">
        <v>200.9</v>
      </c>
      <c r="AH50" s="26">
        <v>88</v>
      </c>
      <c r="AI50" s="26">
        <v>94.9</v>
      </c>
      <c r="AJ50" s="25">
        <v>-2803.7</v>
      </c>
      <c r="AK50" s="26">
        <v>-2426.3000000000002</v>
      </c>
      <c r="AL50" s="26">
        <v>-613.9</v>
      </c>
      <c r="AM50" s="26">
        <v>-1254.4000000000001</v>
      </c>
      <c r="AN50" s="26">
        <v>-147.5</v>
      </c>
      <c r="AO50" s="26">
        <v>-52.7</v>
      </c>
      <c r="AP50" s="26">
        <v>-9.4</v>
      </c>
      <c r="AQ50" s="26">
        <v>-43.3</v>
      </c>
      <c r="AR50" s="25">
        <v>0.9</v>
      </c>
      <c r="AS50" s="26">
        <v>0.5</v>
      </c>
      <c r="AT50" s="26">
        <v>10.9</v>
      </c>
      <c r="AU50" s="26">
        <v>3.6</v>
      </c>
      <c r="AV50" s="26">
        <v>14</v>
      </c>
      <c r="AW50" s="26">
        <v>7.4</v>
      </c>
      <c r="AX50" s="26">
        <v>-18.8</v>
      </c>
      <c r="AY50" s="26">
        <v>-39.799999999999997</v>
      </c>
      <c r="AZ50" s="34">
        <f t="shared" si="15"/>
        <v>0</v>
      </c>
      <c r="BA50" s="34">
        <f t="shared" si="16"/>
        <v>0</v>
      </c>
      <c r="BB50" s="34">
        <f t="shared" si="17"/>
        <v>0</v>
      </c>
      <c r="BC50" s="34">
        <f t="shared" si="18"/>
        <v>0</v>
      </c>
      <c r="BD50" s="34">
        <f t="shared" si="19"/>
        <v>0</v>
      </c>
      <c r="BE50" s="34">
        <f t="shared" si="20"/>
        <v>0</v>
      </c>
      <c r="BF50" s="34">
        <f t="shared" si="21"/>
        <v>0</v>
      </c>
      <c r="BG50" s="34">
        <f t="shared" si="22"/>
        <v>0</v>
      </c>
      <c r="BH50" s="34">
        <f t="shared" si="23"/>
        <v>0</v>
      </c>
      <c r="BI50" s="34">
        <f t="shared" si="24"/>
        <v>0</v>
      </c>
      <c r="BJ50" s="34">
        <f t="shared" si="25"/>
        <v>0</v>
      </c>
      <c r="BK50" s="34">
        <f t="shared" si="26"/>
        <v>0</v>
      </c>
      <c r="BL50" s="34">
        <f t="shared" si="27"/>
        <v>0</v>
      </c>
      <c r="BM50" s="34">
        <f t="shared" si="28"/>
        <v>0</v>
      </c>
      <c r="BN50" s="34">
        <f t="shared" si="29"/>
        <v>0</v>
      </c>
      <c r="BO50" s="34">
        <f t="shared" si="30"/>
        <v>0</v>
      </c>
      <c r="BP50" s="34">
        <f t="shared" si="31"/>
        <v>0</v>
      </c>
      <c r="BQ50" s="29">
        <f t="shared" si="32"/>
        <v>0</v>
      </c>
      <c r="BR50" s="29">
        <f t="shared" si="33"/>
        <v>0</v>
      </c>
      <c r="BS50" s="29">
        <f t="shared" si="34"/>
        <v>0</v>
      </c>
      <c r="BT50" s="29">
        <f t="shared" si="35"/>
        <v>0</v>
      </c>
      <c r="BU50" s="29">
        <f t="shared" si="36"/>
        <v>0</v>
      </c>
      <c r="BV50" s="29">
        <f t="shared" si="37"/>
        <v>0</v>
      </c>
      <c r="BW50" s="29">
        <f t="shared" si="38"/>
        <v>0</v>
      </c>
    </row>
    <row r="51" spans="1:75" s="13" customFormat="1" ht="39">
      <c r="A51" s="10" t="s">
        <v>151</v>
      </c>
      <c r="B51" s="11" t="s">
        <v>110</v>
      </c>
      <c r="C51" s="12">
        <v>183.8</v>
      </c>
      <c r="D51" s="12">
        <v>160.80000000000001</v>
      </c>
      <c r="E51" s="12">
        <v>35.200000000000003</v>
      </c>
      <c r="F51" s="12">
        <v>38.299999999999997</v>
      </c>
      <c r="G51" s="12">
        <v>-127.8</v>
      </c>
      <c r="H51" s="12">
        <v>-109.7</v>
      </c>
      <c r="I51" s="12">
        <v>93.6</v>
      </c>
      <c r="J51" s="12">
        <v>92.4</v>
      </c>
      <c r="K51" s="12">
        <v>-945.5</v>
      </c>
      <c r="L51" s="12">
        <v>-1535.7</v>
      </c>
      <c r="M51" s="12">
        <v>-401.9</v>
      </c>
      <c r="N51" s="12">
        <v>-408.8</v>
      </c>
      <c r="O51" s="12">
        <v>19.5</v>
      </c>
      <c r="P51" s="12">
        <v>19.5</v>
      </c>
      <c r="Q51" s="12">
        <v>43.8</v>
      </c>
      <c r="R51" s="12">
        <v>47.6</v>
      </c>
      <c r="S51" s="12">
        <v>4.5</v>
      </c>
      <c r="T51" s="12">
        <v>3.8</v>
      </c>
      <c r="U51" s="12">
        <v>11.5</v>
      </c>
      <c r="V51" s="12">
        <v>14.4</v>
      </c>
      <c r="W51" s="12">
        <v>19.899999999999999</v>
      </c>
      <c r="X51" s="12">
        <v>19.7</v>
      </c>
      <c r="Y51" s="12">
        <v>54.4</v>
      </c>
      <c r="Z51" s="12">
        <v>62.2</v>
      </c>
      <c r="AB51" s="25">
        <v>183.8</v>
      </c>
      <c r="AC51" s="26">
        <v>160.80000000000001</v>
      </c>
      <c r="AD51" s="26">
        <v>35.200000000000003</v>
      </c>
      <c r="AE51" s="26">
        <v>38.299999999999997</v>
      </c>
      <c r="AF51" s="26">
        <v>-127.8</v>
      </c>
      <c r="AG51" s="26">
        <v>-109.7</v>
      </c>
      <c r="AH51" s="26">
        <v>93.6</v>
      </c>
      <c r="AI51" s="26">
        <v>92.4</v>
      </c>
      <c r="AJ51" s="23">
        <v>-945.5</v>
      </c>
      <c r="AK51" s="24">
        <v>-1535.7</v>
      </c>
      <c r="AL51" s="24">
        <v>-401.9</v>
      </c>
      <c r="AM51" s="24">
        <v>-408.8</v>
      </c>
      <c r="AN51" s="24">
        <v>19.5</v>
      </c>
      <c r="AO51" s="24">
        <v>19.5</v>
      </c>
      <c r="AP51" s="24">
        <v>43.8</v>
      </c>
      <c r="AQ51" s="24">
        <v>47.6</v>
      </c>
      <c r="AR51" s="23">
        <v>4.5</v>
      </c>
      <c r="AS51" s="24">
        <v>3.8</v>
      </c>
      <c r="AT51" s="24">
        <v>11.5</v>
      </c>
      <c r="AU51" s="24">
        <v>14.4</v>
      </c>
      <c r="AV51" s="24">
        <v>19.899999999999999</v>
      </c>
      <c r="AW51" s="24">
        <v>19.7</v>
      </c>
      <c r="AX51" s="24">
        <v>54.4</v>
      </c>
      <c r="AY51" s="24">
        <v>62.2</v>
      </c>
      <c r="AZ51" s="34">
        <f t="shared" si="15"/>
        <v>0</v>
      </c>
      <c r="BA51" s="34">
        <f t="shared" si="16"/>
        <v>0</v>
      </c>
      <c r="BB51" s="34">
        <f t="shared" si="17"/>
        <v>0</v>
      </c>
      <c r="BC51" s="34">
        <f t="shared" si="18"/>
        <v>0</v>
      </c>
      <c r="BD51" s="34">
        <f t="shared" si="19"/>
        <v>0</v>
      </c>
      <c r="BE51" s="34">
        <f t="shared" si="20"/>
        <v>0</v>
      </c>
      <c r="BF51" s="34">
        <f t="shared" si="21"/>
        <v>0</v>
      </c>
      <c r="BG51" s="34">
        <f t="shared" si="22"/>
        <v>0</v>
      </c>
      <c r="BH51" s="34">
        <f t="shared" si="23"/>
        <v>0</v>
      </c>
      <c r="BI51" s="34">
        <f t="shared" si="24"/>
        <v>0</v>
      </c>
      <c r="BJ51" s="34">
        <f t="shared" si="25"/>
        <v>0</v>
      </c>
      <c r="BK51" s="34">
        <f t="shared" si="26"/>
        <v>0</v>
      </c>
      <c r="BL51" s="34">
        <f t="shared" si="27"/>
        <v>0</v>
      </c>
      <c r="BM51" s="34">
        <f t="shared" si="28"/>
        <v>0</v>
      </c>
      <c r="BN51" s="34">
        <f t="shared" si="29"/>
        <v>0</v>
      </c>
      <c r="BO51" s="34">
        <f t="shared" si="30"/>
        <v>0</v>
      </c>
      <c r="BP51" s="34">
        <f t="shared" si="31"/>
        <v>0</v>
      </c>
      <c r="BQ51" s="29">
        <f t="shared" si="32"/>
        <v>0</v>
      </c>
      <c r="BR51" s="29">
        <f t="shared" si="33"/>
        <v>0</v>
      </c>
      <c r="BS51" s="29">
        <f t="shared" si="34"/>
        <v>0</v>
      </c>
      <c r="BT51" s="29">
        <f t="shared" si="35"/>
        <v>0</v>
      </c>
      <c r="BU51" s="29">
        <f t="shared" si="36"/>
        <v>0</v>
      </c>
      <c r="BV51" s="29">
        <f t="shared" si="37"/>
        <v>0</v>
      </c>
      <c r="BW51" s="29">
        <f t="shared" si="38"/>
        <v>0</v>
      </c>
    </row>
    <row r="52" spans="1:75" ht="15.75">
      <c r="A52" s="3" t="s">
        <v>111</v>
      </c>
      <c r="B52" s="4" t="s">
        <v>112</v>
      </c>
      <c r="C52" s="2">
        <v>761.9</v>
      </c>
      <c r="D52" s="2">
        <v>316.7</v>
      </c>
      <c r="E52" s="2">
        <v>11.6</v>
      </c>
      <c r="F52" s="2">
        <v>24</v>
      </c>
      <c r="G52" s="2">
        <v>-644.9</v>
      </c>
      <c r="H52" s="2">
        <v>-267</v>
      </c>
      <c r="I52" s="2">
        <v>92.6</v>
      </c>
      <c r="J52" s="2">
        <v>94</v>
      </c>
      <c r="K52" s="2">
        <v>-5295.8</v>
      </c>
      <c r="L52" s="2">
        <v>-5309.8</v>
      </c>
      <c r="M52" s="2">
        <v>-846.2</v>
      </c>
      <c r="N52" s="2">
        <v>-890.7</v>
      </c>
      <c r="O52" s="2">
        <v>29</v>
      </c>
      <c r="P52" s="2">
        <v>16.5</v>
      </c>
      <c r="Q52" s="2">
        <v>16.3</v>
      </c>
      <c r="R52" s="2">
        <v>28.7</v>
      </c>
      <c r="S52" s="2">
        <v>5.9</v>
      </c>
      <c r="T52" s="2">
        <v>4.9000000000000004</v>
      </c>
      <c r="U52" s="2">
        <v>8.9</v>
      </c>
      <c r="V52" s="2">
        <v>8.4</v>
      </c>
      <c r="W52" s="2">
        <v>10.6</v>
      </c>
      <c r="X52" s="2">
        <v>10.1</v>
      </c>
      <c r="Y52" s="2">
        <v>13.1</v>
      </c>
      <c r="Z52" s="2">
        <v>31.6</v>
      </c>
      <c r="AB52" s="25">
        <v>761.9</v>
      </c>
      <c r="AC52" s="26">
        <v>316.7</v>
      </c>
      <c r="AD52" s="26">
        <v>11.6</v>
      </c>
      <c r="AE52" s="26">
        <v>24</v>
      </c>
      <c r="AF52" s="26">
        <v>-644.9</v>
      </c>
      <c r="AG52" s="26">
        <v>-267</v>
      </c>
      <c r="AH52" s="26">
        <v>92.6</v>
      </c>
      <c r="AI52" s="26">
        <v>94</v>
      </c>
      <c r="AJ52" s="25">
        <v>-5295.8</v>
      </c>
      <c r="AK52" s="26">
        <v>-5309.8</v>
      </c>
      <c r="AL52" s="26">
        <v>-846.2</v>
      </c>
      <c r="AM52" s="26">
        <v>-890.7</v>
      </c>
      <c r="AN52" s="26">
        <v>29</v>
      </c>
      <c r="AO52" s="26">
        <v>16.5</v>
      </c>
      <c r="AP52" s="26">
        <v>16.3</v>
      </c>
      <c r="AQ52" s="26">
        <v>28.7</v>
      </c>
      <c r="AR52" s="25">
        <v>5.9</v>
      </c>
      <c r="AS52" s="26">
        <v>4.9000000000000004</v>
      </c>
      <c r="AT52" s="26">
        <v>8.9</v>
      </c>
      <c r="AU52" s="26">
        <v>8.4</v>
      </c>
      <c r="AV52" s="26">
        <v>10.6</v>
      </c>
      <c r="AW52" s="26">
        <v>10.1</v>
      </c>
      <c r="AX52" s="26">
        <v>13.1</v>
      </c>
      <c r="AY52" s="26">
        <v>31.6</v>
      </c>
      <c r="AZ52" s="34">
        <f t="shared" si="15"/>
        <v>0</v>
      </c>
      <c r="BA52" s="34">
        <f t="shared" si="16"/>
        <v>0</v>
      </c>
      <c r="BB52" s="34">
        <f t="shared" si="17"/>
        <v>0</v>
      </c>
      <c r="BC52" s="34">
        <f t="shared" si="18"/>
        <v>0</v>
      </c>
      <c r="BD52" s="34">
        <f t="shared" si="19"/>
        <v>0</v>
      </c>
      <c r="BE52" s="34">
        <f t="shared" si="20"/>
        <v>0</v>
      </c>
      <c r="BF52" s="34">
        <f t="shared" si="21"/>
        <v>0</v>
      </c>
      <c r="BG52" s="34">
        <f t="shared" si="22"/>
        <v>0</v>
      </c>
      <c r="BH52" s="34">
        <f t="shared" si="23"/>
        <v>0</v>
      </c>
      <c r="BI52" s="34">
        <f t="shared" si="24"/>
        <v>0</v>
      </c>
      <c r="BJ52" s="34">
        <f t="shared" si="25"/>
        <v>0</v>
      </c>
      <c r="BK52" s="34">
        <f t="shared" si="26"/>
        <v>0</v>
      </c>
      <c r="BL52" s="34">
        <f t="shared" si="27"/>
        <v>0</v>
      </c>
      <c r="BM52" s="34">
        <f t="shared" si="28"/>
        <v>0</v>
      </c>
      <c r="BN52" s="34">
        <f t="shared" si="29"/>
        <v>0</v>
      </c>
      <c r="BO52" s="34">
        <f t="shared" si="30"/>
        <v>0</v>
      </c>
      <c r="BP52" s="34">
        <f t="shared" si="31"/>
        <v>0</v>
      </c>
      <c r="BQ52" s="29">
        <f t="shared" si="32"/>
        <v>0</v>
      </c>
      <c r="BR52" s="29">
        <f t="shared" si="33"/>
        <v>0</v>
      </c>
      <c r="BS52" s="29">
        <f t="shared" si="34"/>
        <v>0</v>
      </c>
      <c r="BT52" s="29">
        <f t="shared" si="35"/>
        <v>0</v>
      </c>
      <c r="BU52" s="29">
        <f t="shared" si="36"/>
        <v>0</v>
      </c>
      <c r="BV52" s="29">
        <f t="shared" si="37"/>
        <v>0</v>
      </c>
      <c r="BW52" s="29">
        <f t="shared" si="38"/>
        <v>0</v>
      </c>
    </row>
    <row r="53" spans="1:75" ht="39">
      <c r="A53" s="3" t="s">
        <v>113</v>
      </c>
      <c r="B53" s="4" t="s">
        <v>114</v>
      </c>
      <c r="C53" s="2">
        <v>21.1</v>
      </c>
      <c r="D53" s="2">
        <v>56.7</v>
      </c>
      <c r="E53" s="2">
        <v>82.6</v>
      </c>
      <c r="F53" s="2">
        <v>63.8</v>
      </c>
      <c r="G53" s="2">
        <v>1.2</v>
      </c>
      <c r="H53" s="2">
        <v>1.2</v>
      </c>
      <c r="I53" s="2">
        <v>97.5</v>
      </c>
      <c r="J53" s="2">
        <v>97.7</v>
      </c>
      <c r="K53" s="2">
        <v>4665.2</v>
      </c>
      <c r="L53" s="2">
        <v>1058</v>
      </c>
      <c r="M53" s="2">
        <v>40.700000000000003</v>
      </c>
      <c r="N53" s="2">
        <v>33.6</v>
      </c>
      <c r="O53" s="2">
        <v>16.2</v>
      </c>
      <c r="P53" s="2">
        <v>35.200000000000003</v>
      </c>
      <c r="Q53" s="2">
        <v>98.5</v>
      </c>
      <c r="R53" s="2">
        <v>98.4</v>
      </c>
      <c r="S53" s="2">
        <v>0</v>
      </c>
      <c r="T53" s="2">
        <v>0.5</v>
      </c>
      <c r="U53" s="2">
        <v>167.2</v>
      </c>
      <c r="V53" s="2">
        <v>145.80000000000001</v>
      </c>
      <c r="W53" s="2">
        <v>168.7</v>
      </c>
      <c r="X53" s="2">
        <v>150.6</v>
      </c>
      <c r="Y53" s="2">
        <v>474.6</v>
      </c>
      <c r="Z53" s="2">
        <v>176.4</v>
      </c>
      <c r="AB53" s="25">
        <v>21.1</v>
      </c>
      <c r="AC53" s="26">
        <v>56.7</v>
      </c>
      <c r="AD53" s="26">
        <v>82.6</v>
      </c>
      <c r="AE53" s="26">
        <v>63.8</v>
      </c>
      <c r="AF53" s="26">
        <v>1.2</v>
      </c>
      <c r="AG53" s="26">
        <v>1.2</v>
      </c>
      <c r="AH53" s="26">
        <v>97.5</v>
      </c>
      <c r="AI53" s="26">
        <v>97.7</v>
      </c>
      <c r="AJ53" s="25">
        <v>4665.2</v>
      </c>
      <c r="AK53" s="26">
        <v>1058</v>
      </c>
      <c r="AL53" s="26">
        <v>40.700000000000003</v>
      </c>
      <c r="AM53" s="26">
        <v>33.6</v>
      </c>
      <c r="AN53" s="26">
        <v>16.2</v>
      </c>
      <c r="AO53" s="26">
        <v>35.200000000000003</v>
      </c>
      <c r="AP53" s="26">
        <v>98.5</v>
      </c>
      <c r="AQ53" s="26">
        <v>98.4</v>
      </c>
      <c r="AR53" s="25">
        <v>0</v>
      </c>
      <c r="AS53" s="26">
        <v>0.5</v>
      </c>
      <c r="AT53" s="26">
        <v>167.2</v>
      </c>
      <c r="AU53" s="26">
        <v>145.80000000000001</v>
      </c>
      <c r="AV53" s="26">
        <v>168.7</v>
      </c>
      <c r="AW53" s="26">
        <v>150.6</v>
      </c>
      <c r="AX53" s="26">
        <v>474.6</v>
      </c>
      <c r="AY53" s="26">
        <v>176.4</v>
      </c>
      <c r="AZ53" s="34">
        <f t="shared" si="15"/>
        <v>0</v>
      </c>
      <c r="BA53" s="34">
        <f t="shared" si="16"/>
        <v>0</v>
      </c>
      <c r="BB53" s="34">
        <f t="shared" si="17"/>
        <v>0</v>
      </c>
      <c r="BC53" s="34">
        <f t="shared" si="18"/>
        <v>0</v>
      </c>
      <c r="BD53" s="34">
        <f t="shared" si="19"/>
        <v>0</v>
      </c>
      <c r="BE53" s="34">
        <f t="shared" si="20"/>
        <v>0</v>
      </c>
      <c r="BF53" s="34">
        <f t="shared" si="21"/>
        <v>0</v>
      </c>
      <c r="BG53" s="34">
        <f t="shared" si="22"/>
        <v>0</v>
      </c>
      <c r="BH53" s="34">
        <f t="shared" si="23"/>
        <v>0</v>
      </c>
      <c r="BI53" s="34">
        <f t="shared" si="24"/>
        <v>0</v>
      </c>
      <c r="BJ53" s="34">
        <f t="shared" si="25"/>
        <v>0</v>
      </c>
      <c r="BK53" s="34">
        <f t="shared" si="26"/>
        <v>0</v>
      </c>
      <c r="BL53" s="34">
        <f t="shared" si="27"/>
        <v>0</v>
      </c>
      <c r="BM53" s="34">
        <f t="shared" si="28"/>
        <v>0</v>
      </c>
      <c r="BN53" s="34">
        <f t="shared" si="29"/>
        <v>0</v>
      </c>
      <c r="BO53" s="34">
        <f t="shared" si="30"/>
        <v>0</v>
      </c>
      <c r="BP53" s="34">
        <f t="shared" si="31"/>
        <v>0</v>
      </c>
      <c r="BQ53" s="29">
        <f t="shared" si="32"/>
        <v>0</v>
      </c>
      <c r="BR53" s="29">
        <f t="shared" si="33"/>
        <v>0</v>
      </c>
      <c r="BS53" s="29">
        <f t="shared" si="34"/>
        <v>0</v>
      </c>
      <c r="BT53" s="29">
        <f t="shared" si="35"/>
        <v>0</v>
      </c>
      <c r="BU53" s="29">
        <f t="shared" si="36"/>
        <v>0</v>
      </c>
      <c r="BV53" s="29">
        <f t="shared" si="37"/>
        <v>0</v>
      </c>
      <c r="BW53" s="29">
        <f t="shared" si="38"/>
        <v>0</v>
      </c>
    </row>
    <row r="54" spans="1:75" ht="27" thickBot="1">
      <c r="A54" s="3" t="s">
        <v>115</v>
      </c>
      <c r="B54" s="4" t="s">
        <v>116</v>
      </c>
      <c r="C54" s="2">
        <v>117.4</v>
      </c>
      <c r="D54" s="2">
        <v>101.1</v>
      </c>
      <c r="E54" s="2">
        <v>46</v>
      </c>
      <c r="F54" s="2">
        <v>49.7</v>
      </c>
      <c r="G54" s="2">
        <v>-49.8</v>
      </c>
      <c r="H54" s="2">
        <v>-55</v>
      </c>
      <c r="I54" s="2">
        <v>92.8</v>
      </c>
      <c r="J54" s="2">
        <v>85.2</v>
      </c>
      <c r="K54" s="2">
        <v>-171.1</v>
      </c>
      <c r="L54" s="2">
        <v>-338.9</v>
      </c>
      <c r="M54" s="2">
        <v>-111.1</v>
      </c>
      <c r="N54" s="2">
        <v>-119.4</v>
      </c>
      <c r="O54" s="2">
        <v>18.600000000000001</v>
      </c>
      <c r="P54" s="2" t="s">
        <v>55</v>
      </c>
      <c r="Q54" s="2">
        <v>56.5</v>
      </c>
      <c r="R54" s="2">
        <v>49.7</v>
      </c>
      <c r="S54" s="2">
        <v>0.1</v>
      </c>
      <c r="T54" s="2">
        <v>0.5</v>
      </c>
      <c r="U54" s="2">
        <v>16.600000000000001</v>
      </c>
      <c r="V54" s="2">
        <v>29.5</v>
      </c>
      <c r="W54" s="2">
        <v>47.4</v>
      </c>
      <c r="X54" s="2">
        <v>45.6</v>
      </c>
      <c r="Y54" s="2">
        <v>85.2</v>
      </c>
      <c r="Z54" s="2">
        <v>98.9</v>
      </c>
      <c r="AB54" s="25">
        <v>117.4</v>
      </c>
      <c r="AC54" s="26">
        <v>101.1</v>
      </c>
      <c r="AD54" s="26">
        <v>46</v>
      </c>
      <c r="AE54" s="26">
        <v>49.7</v>
      </c>
      <c r="AF54" s="26">
        <v>-49.8</v>
      </c>
      <c r="AG54" s="26">
        <v>-55</v>
      </c>
      <c r="AH54" s="26">
        <v>92.8</v>
      </c>
      <c r="AI54" s="26">
        <v>85.2</v>
      </c>
      <c r="AJ54" s="25">
        <v>-171.1</v>
      </c>
      <c r="AK54" s="26">
        <v>-338.9</v>
      </c>
      <c r="AL54" s="26">
        <v>-111.1</v>
      </c>
      <c r="AM54" s="26">
        <v>-119.4</v>
      </c>
      <c r="AN54" s="26">
        <v>18.600000000000001</v>
      </c>
      <c r="AO54" s="26" t="s">
        <v>55</v>
      </c>
      <c r="AP54" s="26">
        <v>56.5</v>
      </c>
      <c r="AQ54" s="26">
        <v>49.7</v>
      </c>
      <c r="AR54" s="25">
        <v>0.1</v>
      </c>
      <c r="AS54" s="26">
        <v>0.5</v>
      </c>
      <c r="AT54" s="26">
        <v>16.600000000000001</v>
      </c>
      <c r="AU54" s="26">
        <v>29.5</v>
      </c>
      <c r="AV54" s="26">
        <v>47.4</v>
      </c>
      <c r="AW54" s="26">
        <v>45.6</v>
      </c>
      <c r="AX54" s="26">
        <v>85.2</v>
      </c>
      <c r="AY54" s="26">
        <v>98.9</v>
      </c>
      <c r="AZ54" s="34">
        <f t="shared" si="15"/>
        <v>0</v>
      </c>
      <c r="BA54" s="34">
        <f t="shared" si="16"/>
        <v>0</v>
      </c>
      <c r="BB54" s="34">
        <f t="shared" si="17"/>
        <v>0</v>
      </c>
      <c r="BC54" s="34">
        <f t="shared" si="18"/>
        <v>0</v>
      </c>
      <c r="BD54" s="34">
        <f t="shared" si="19"/>
        <v>0</v>
      </c>
      <c r="BE54" s="34">
        <f t="shared" si="20"/>
        <v>0</v>
      </c>
      <c r="BF54" s="34">
        <f t="shared" si="21"/>
        <v>0</v>
      </c>
      <c r="BG54" s="34">
        <f t="shared" si="22"/>
        <v>0</v>
      </c>
      <c r="BH54" s="34">
        <f t="shared" si="23"/>
        <v>0</v>
      </c>
      <c r="BI54" s="34">
        <f t="shared" si="24"/>
        <v>0</v>
      </c>
      <c r="BJ54" s="34">
        <f t="shared" si="25"/>
        <v>0</v>
      </c>
      <c r="BK54" s="34">
        <f t="shared" si="26"/>
        <v>0</v>
      </c>
      <c r="BL54" s="34">
        <f t="shared" si="27"/>
        <v>0</v>
      </c>
      <c r="BM54" s="34" t="e">
        <f t="shared" si="28"/>
        <v>#VALUE!</v>
      </c>
      <c r="BN54" s="34">
        <f t="shared" si="29"/>
        <v>0</v>
      </c>
      <c r="BO54" s="34">
        <f t="shared" si="30"/>
        <v>0</v>
      </c>
      <c r="BP54" s="34">
        <f t="shared" si="31"/>
        <v>0</v>
      </c>
      <c r="BQ54" s="29">
        <f t="shared" si="32"/>
        <v>0</v>
      </c>
      <c r="BR54" s="29">
        <f t="shared" si="33"/>
        <v>0</v>
      </c>
      <c r="BS54" s="29">
        <f t="shared" si="34"/>
        <v>0</v>
      </c>
      <c r="BT54" s="29">
        <f t="shared" si="35"/>
        <v>0</v>
      </c>
      <c r="BU54" s="29">
        <f t="shared" si="36"/>
        <v>0</v>
      </c>
      <c r="BV54" s="29">
        <f t="shared" si="37"/>
        <v>0</v>
      </c>
      <c r="BW54" s="29">
        <f t="shared" si="38"/>
        <v>0</v>
      </c>
    </row>
    <row r="55" spans="1:75" ht="64.5">
      <c r="A55" s="3" t="s">
        <v>117</v>
      </c>
      <c r="B55" s="4" t="s">
        <v>118</v>
      </c>
      <c r="C55" s="2">
        <v>155.1</v>
      </c>
      <c r="D55" s="2">
        <v>136.19999999999999</v>
      </c>
      <c r="E55" s="2">
        <v>39.200000000000003</v>
      </c>
      <c r="F55" s="2">
        <v>42.3</v>
      </c>
      <c r="G55" s="2">
        <v>-135.80000000000001</v>
      </c>
      <c r="H55" s="2">
        <v>-110.4</v>
      </c>
      <c r="I55" s="2">
        <v>94</v>
      </c>
      <c r="J55" s="2">
        <v>89.9</v>
      </c>
      <c r="K55" s="2">
        <v>-3515</v>
      </c>
      <c r="L55" s="2">
        <v>-5385.2</v>
      </c>
      <c r="M55" s="2">
        <v>-704.2</v>
      </c>
      <c r="N55" s="2">
        <v>-427.4</v>
      </c>
      <c r="O55" s="2" t="s">
        <v>55</v>
      </c>
      <c r="P55" s="2" t="s">
        <v>55</v>
      </c>
      <c r="Q55" s="2">
        <v>39.200000000000003</v>
      </c>
      <c r="R55" s="2">
        <v>42.3</v>
      </c>
      <c r="S55" s="2">
        <v>5.4</v>
      </c>
      <c r="T55" s="2">
        <v>12.7</v>
      </c>
      <c r="U55" s="2">
        <v>9.9</v>
      </c>
      <c r="V55" s="2">
        <v>17.5</v>
      </c>
      <c r="W55" s="2">
        <v>12.4</v>
      </c>
      <c r="X55" s="2">
        <v>19</v>
      </c>
      <c r="Y55" s="2">
        <v>64.5</v>
      </c>
      <c r="Z55" s="2">
        <v>73.400000000000006</v>
      </c>
      <c r="AB55" s="23">
        <v>155.1</v>
      </c>
      <c r="AC55" s="24">
        <v>136.19999999999999</v>
      </c>
      <c r="AD55" s="24">
        <v>39.200000000000003</v>
      </c>
      <c r="AE55" s="24">
        <v>42.3</v>
      </c>
      <c r="AF55" s="24">
        <v>-135.80000000000001</v>
      </c>
      <c r="AG55" s="24">
        <v>-110.4</v>
      </c>
      <c r="AH55" s="24">
        <v>94</v>
      </c>
      <c r="AI55" s="24">
        <v>89.9</v>
      </c>
      <c r="AJ55" s="25">
        <v>-3515</v>
      </c>
      <c r="AK55" s="26">
        <v>-5385.2</v>
      </c>
      <c r="AL55" s="26">
        <v>-704.2</v>
      </c>
      <c r="AM55" s="26">
        <v>-427.4</v>
      </c>
      <c r="AN55" s="26" t="s">
        <v>55</v>
      </c>
      <c r="AO55" s="26" t="s">
        <v>55</v>
      </c>
      <c r="AP55" s="26">
        <v>39.200000000000003</v>
      </c>
      <c r="AQ55" s="26">
        <v>42.3</v>
      </c>
      <c r="AR55" s="25">
        <v>5.4</v>
      </c>
      <c r="AS55" s="26">
        <v>12.7</v>
      </c>
      <c r="AT55" s="26">
        <v>9.9</v>
      </c>
      <c r="AU55" s="26">
        <v>17.5</v>
      </c>
      <c r="AV55" s="26">
        <v>12.4</v>
      </c>
      <c r="AW55" s="26">
        <v>19</v>
      </c>
      <c r="AX55" s="26">
        <v>64.5</v>
      </c>
      <c r="AY55" s="26">
        <v>73.400000000000006</v>
      </c>
      <c r="AZ55" s="34">
        <f t="shared" si="15"/>
        <v>0</v>
      </c>
      <c r="BA55" s="34">
        <f t="shared" si="16"/>
        <v>0</v>
      </c>
      <c r="BB55" s="34">
        <f t="shared" si="17"/>
        <v>0</v>
      </c>
      <c r="BC55" s="34">
        <f t="shared" si="18"/>
        <v>0</v>
      </c>
      <c r="BD55" s="34">
        <f t="shared" si="19"/>
        <v>0</v>
      </c>
      <c r="BE55" s="34">
        <f t="shared" si="20"/>
        <v>0</v>
      </c>
      <c r="BF55" s="34">
        <f t="shared" si="21"/>
        <v>0</v>
      </c>
      <c r="BG55" s="34">
        <f t="shared" si="22"/>
        <v>0</v>
      </c>
      <c r="BH55" s="34">
        <f t="shared" si="23"/>
        <v>0</v>
      </c>
      <c r="BI55" s="34">
        <f t="shared" si="24"/>
        <v>0</v>
      </c>
      <c r="BJ55" s="34">
        <f t="shared" si="25"/>
        <v>0</v>
      </c>
      <c r="BK55" s="34">
        <f t="shared" si="26"/>
        <v>0</v>
      </c>
      <c r="BL55" s="34" t="e">
        <f t="shared" si="27"/>
        <v>#VALUE!</v>
      </c>
      <c r="BM55" s="34" t="e">
        <f t="shared" si="28"/>
        <v>#VALUE!</v>
      </c>
      <c r="BN55" s="34">
        <f t="shared" si="29"/>
        <v>0</v>
      </c>
      <c r="BO55" s="34">
        <f t="shared" si="30"/>
        <v>0</v>
      </c>
      <c r="BP55" s="34">
        <f t="shared" si="31"/>
        <v>0</v>
      </c>
      <c r="BQ55" s="29">
        <f t="shared" si="32"/>
        <v>0</v>
      </c>
      <c r="BR55" s="29">
        <f t="shared" si="33"/>
        <v>0</v>
      </c>
      <c r="BS55" s="29">
        <f t="shared" si="34"/>
        <v>0</v>
      </c>
      <c r="BT55" s="29">
        <f t="shared" si="35"/>
        <v>0</v>
      </c>
      <c r="BU55" s="29">
        <f t="shared" si="36"/>
        <v>0</v>
      </c>
      <c r="BV55" s="29">
        <f t="shared" si="37"/>
        <v>0</v>
      </c>
      <c r="BW55" s="29">
        <f t="shared" si="38"/>
        <v>0</v>
      </c>
    </row>
    <row r="56" spans="1:75" s="13" customFormat="1" ht="52.5" thickBot="1">
      <c r="A56" s="10" t="s">
        <v>152</v>
      </c>
      <c r="B56" s="11" t="s">
        <v>119</v>
      </c>
      <c r="C56" s="12">
        <v>1682.4</v>
      </c>
      <c r="D56" s="12">
        <v>569.79999999999995</v>
      </c>
      <c r="E56" s="12">
        <v>5.6</v>
      </c>
      <c r="F56" s="12">
        <v>14.9</v>
      </c>
      <c r="G56" s="12">
        <v>37.1</v>
      </c>
      <c r="H56" s="12">
        <v>-489.8</v>
      </c>
      <c r="I56" s="12">
        <v>89.8</v>
      </c>
      <c r="J56" s="12">
        <v>90.4</v>
      </c>
      <c r="K56" s="12">
        <v>51.4</v>
      </c>
      <c r="L56" s="12">
        <v>-3181.8</v>
      </c>
      <c r="M56" s="12">
        <v>14.6</v>
      </c>
      <c r="N56" s="12">
        <v>-612</v>
      </c>
      <c r="O56" s="12">
        <v>93.6</v>
      </c>
      <c r="P56" s="12" t="s">
        <v>55</v>
      </c>
      <c r="Q56" s="12">
        <v>87.8</v>
      </c>
      <c r="R56" s="12">
        <v>14.9</v>
      </c>
      <c r="S56" s="12">
        <v>59.1</v>
      </c>
      <c r="T56" s="12">
        <v>10.1</v>
      </c>
      <c r="U56" s="12">
        <v>83.9</v>
      </c>
      <c r="V56" s="12">
        <v>11.3</v>
      </c>
      <c r="W56" s="12">
        <v>117</v>
      </c>
      <c r="X56" s="12">
        <v>14</v>
      </c>
      <c r="Y56" s="12">
        <v>5.9</v>
      </c>
      <c r="Z56" s="12">
        <v>17.5</v>
      </c>
      <c r="AB56" s="25">
        <v>1682.4</v>
      </c>
      <c r="AC56" s="26">
        <v>569.79999999999995</v>
      </c>
      <c r="AD56" s="26">
        <v>5.6</v>
      </c>
      <c r="AE56" s="26">
        <v>14.9</v>
      </c>
      <c r="AF56" s="26">
        <v>37.1</v>
      </c>
      <c r="AG56" s="26">
        <v>-489.8</v>
      </c>
      <c r="AH56" s="26">
        <v>89.8</v>
      </c>
      <c r="AI56" s="26">
        <v>90.4</v>
      </c>
      <c r="AJ56" s="25">
        <v>51.4</v>
      </c>
      <c r="AK56" s="26">
        <v>-3181.8</v>
      </c>
      <c r="AL56" s="26">
        <v>14.6</v>
      </c>
      <c r="AM56" s="26">
        <v>-612</v>
      </c>
      <c r="AN56" s="26">
        <v>93.6</v>
      </c>
      <c r="AO56" s="26" t="s">
        <v>55</v>
      </c>
      <c r="AP56" s="26">
        <v>87.8</v>
      </c>
      <c r="AQ56" s="26">
        <v>14.9</v>
      </c>
      <c r="AR56" s="25">
        <v>59.1</v>
      </c>
      <c r="AS56" s="26">
        <v>10.1</v>
      </c>
      <c r="AT56" s="26">
        <v>83.9</v>
      </c>
      <c r="AU56" s="26">
        <v>11.3</v>
      </c>
      <c r="AV56" s="26">
        <v>117</v>
      </c>
      <c r="AW56" s="26">
        <v>14</v>
      </c>
      <c r="AX56" s="26">
        <v>5.9</v>
      </c>
      <c r="AY56" s="26">
        <v>17.5</v>
      </c>
      <c r="AZ56" s="34">
        <f t="shared" si="15"/>
        <v>0</v>
      </c>
      <c r="BA56" s="34">
        <f t="shared" si="16"/>
        <v>0</v>
      </c>
      <c r="BB56" s="34">
        <f t="shared" si="17"/>
        <v>0</v>
      </c>
      <c r="BC56" s="34">
        <f t="shared" si="18"/>
        <v>0</v>
      </c>
      <c r="BD56" s="34">
        <f t="shared" si="19"/>
        <v>0</v>
      </c>
      <c r="BE56" s="34">
        <f t="shared" si="20"/>
        <v>0</v>
      </c>
      <c r="BF56" s="34">
        <f t="shared" si="21"/>
        <v>0</v>
      </c>
      <c r="BG56" s="34">
        <f t="shared" si="22"/>
        <v>0</v>
      </c>
      <c r="BH56" s="34">
        <f t="shared" si="23"/>
        <v>0</v>
      </c>
      <c r="BI56" s="34">
        <f t="shared" si="24"/>
        <v>0</v>
      </c>
      <c r="BJ56" s="34">
        <f t="shared" si="25"/>
        <v>0</v>
      </c>
      <c r="BK56" s="34">
        <f t="shared" si="26"/>
        <v>0</v>
      </c>
      <c r="BL56" s="34">
        <f t="shared" si="27"/>
        <v>0</v>
      </c>
      <c r="BM56" s="34" t="e">
        <f t="shared" si="28"/>
        <v>#VALUE!</v>
      </c>
      <c r="BN56" s="34">
        <f t="shared" si="29"/>
        <v>0</v>
      </c>
      <c r="BO56" s="34">
        <f t="shared" si="30"/>
        <v>0</v>
      </c>
      <c r="BP56" s="34">
        <f t="shared" si="31"/>
        <v>0</v>
      </c>
      <c r="BQ56" s="29">
        <f t="shared" si="32"/>
        <v>0</v>
      </c>
      <c r="BR56" s="29">
        <f t="shared" si="33"/>
        <v>0</v>
      </c>
      <c r="BS56" s="29">
        <f t="shared" si="34"/>
        <v>0</v>
      </c>
      <c r="BT56" s="29">
        <f t="shared" si="35"/>
        <v>0</v>
      </c>
      <c r="BU56" s="29">
        <f t="shared" si="36"/>
        <v>0</v>
      </c>
      <c r="BV56" s="29">
        <f t="shared" si="37"/>
        <v>0</v>
      </c>
      <c r="BW56" s="29">
        <f t="shared" si="38"/>
        <v>0</v>
      </c>
    </row>
    <row r="57" spans="1:75" ht="52.5" thickBot="1">
      <c r="A57" s="3" t="s">
        <v>120</v>
      </c>
      <c r="B57" s="4" t="s">
        <v>121</v>
      </c>
      <c r="C57" s="2">
        <v>1682.4</v>
      </c>
      <c r="D57" s="2">
        <v>569.79999999999995</v>
      </c>
      <c r="E57" s="2">
        <v>5.6</v>
      </c>
      <c r="F57" s="2">
        <v>14.9</v>
      </c>
      <c r="G57" s="2">
        <v>37.1</v>
      </c>
      <c r="H57" s="2">
        <v>-489.8</v>
      </c>
      <c r="I57" s="2">
        <v>89.8</v>
      </c>
      <c r="J57" s="2">
        <v>90.4</v>
      </c>
      <c r="K57" s="2">
        <v>51.4</v>
      </c>
      <c r="L57" s="2">
        <v>-3181.8</v>
      </c>
      <c r="M57" s="2">
        <v>14.6</v>
      </c>
      <c r="N57" s="2">
        <v>-612</v>
      </c>
      <c r="O57" s="2">
        <v>93.6</v>
      </c>
      <c r="P57" s="2" t="s">
        <v>55</v>
      </c>
      <c r="Q57" s="2">
        <v>87.8</v>
      </c>
      <c r="R57" s="2">
        <v>14.9</v>
      </c>
      <c r="S57" s="2">
        <v>59.1</v>
      </c>
      <c r="T57" s="2">
        <v>10.1</v>
      </c>
      <c r="U57" s="2">
        <v>83.9</v>
      </c>
      <c r="V57" s="2">
        <v>11.3</v>
      </c>
      <c r="W57" s="2">
        <v>117</v>
      </c>
      <c r="X57" s="2">
        <v>14</v>
      </c>
      <c r="Y57" s="2">
        <v>5.9</v>
      </c>
      <c r="Z57" s="2">
        <v>17.5</v>
      </c>
      <c r="AB57" s="25">
        <v>1682.4</v>
      </c>
      <c r="AC57" s="26">
        <v>569.79999999999995</v>
      </c>
      <c r="AD57" s="26">
        <v>5.6</v>
      </c>
      <c r="AE57" s="26">
        <v>14.9</v>
      </c>
      <c r="AF57" s="26">
        <v>37.1</v>
      </c>
      <c r="AG57" s="26">
        <v>-489.8</v>
      </c>
      <c r="AH57" s="26">
        <v>89.8</v>
      </c>
      <c r="AI57" s="26">
        <v>90.4</v>
      </c>
      <c r="AJ57" s="23">
        <v>51.4</v>
      </c>
      <c r="AK57" s="24">
        <v>-3181.8</v>
      </c>
      <c r="AL57" s="24">
        <v>14.6</v>
      </c>
      <c r="AM57" s="24">
        <v>-612</v>
      </c>
      <c r="AN57" s="24">
        <v>93.6</v>
      </c>
      <c r="AO57" s="24" t="s">
        <v>55</v>
      </c>
      <c r="AP57" s="24">
        <v>87.8</v>
      </c>
      <c r="AQ57" s="24">
        <v>14.9</v>
      </c>
      <c r="AR57" s="25">
        <v>59.1</v>
      </c>
      <c r="AS57" s="26">
        <v>10.1</v>
      </c>
      <c r="AT57" s="26">
        <v>83.9</v>
      </c>
      <c r="AU57" s="26">
        <v>11.3</v>
      </c>
      <c r="AV57" s="26">
        <v>117</v>
      </c>
      <c r="AW57" s="26">
        <v>14</v>
      </c>
      <c r="AX57" s="26">
        <v>5.9</v>
      </c>
      <c r="AY57" s="26">
        <v>17.5</v>
      </c>
      <c r="AZ57" s="34">
        <f t="shared" si="15"/>
        <v>0</v>
      </c>
      <c r="BA57" s="34">
        <f t="shared" si="16"/>
        <v>0</v>
      </c>
      <c r="BB57" s="34">
        <f t="shared" si="17"/>
        <v>0</v>
      </c>
      <c r="BC57" s="34">
        <f t="shared" si="18"/>
        <v>0</v>
      </c>
      <c r="BD57" s="34">
        <f t="shared" si="19"/>
        <v>0</v>
      </c>
      <c r="BE57" s="34">
        <f t="shared" si="20"/>
        <v>0</v>
      </c>
      <c r="BF57" s="34">
        <f t="shared" si="21"/>
        <v>0</v>
      </c>
      <c r="BG57" s="34">
        <f t="shared" si="22"/>
        <v>0</v>
      </c>
      <c r="BH57" s="34">
        <f t="shared" si="23"/>
        <v>0</v>
      </c>
      <c r="BI57" s="34">
        <f t="shared" si="24"/>
        <v>0</v>
      </c>
      <c r="BJ57" s="34">
        <f t="shared" si="25"/>
        <v>0</v>
      </c>
      <c r="BK57" s="34">
        <f t="shared" si="26"/>
        <v>0</v>
      </c>
      <c r="BL57" s="34">
        <f t="shared" si="27"/>
        <v>0</v>
      </c>
      <c r="BM57" s="34" t="e">
        <f t="shared" si="28"/>
        <v>#VALUE!</v>
      </c>
      <c r="BN57" s="34">
        <f t="shared" si="29"/>
        <v>0</v>
      </c>
      <c r="BO57" s="34">
        <f t="shared" si="30"/>
        <v>0</v>
      </c>
      <c r="BP57" s="34">
        <f t="shared" si="31"/>
        <v>0</v>
      </c>
      <c r="BQ57" s="29">
        <f t="shared" si="32"/>
        <v>0</v>
      </c>
      <c r="BR57" s="29">
        <f t="shared" si="33"/>
        <v>0</v>
      </c>
      <c r="BS57" s="29">
        <f t="shared" si="34"/>
        <v>0</v>
      </c>
      <c r="BT57" s="29">
        <f t="shared" si="35"/>
        <v>0</v>
      </c>
      <c r="BU57" s="29">
        <f t="shared" si="36"/>
        <v>0</v>
      </c>
      <c r="BV57" s="29">
        <f t="shared" si="37"/>
        <v>0</v>
      </c>
      <c r="BW57" s="29">
        <f t="shared" si="38"/>
        <v>0</v>
      </c>
    </row>
    <row r="58" spans="1:75" s="13" customFormat="1" ht="15.75">
      <c r="A58" s="10" t="s">
        <v>153</v>
      </c>
      <c r="B58" s="11" t="s">
        <v>122</v>
      </c>
      <c r="C58" s="12">
        <v>77.7</v>
      </c>
      <c r="D58" s="12">
        <v>8.9</v>
      </c>
      <c r="E58" s="12">
        <v>56.3</v>
      </c>
      <c r="F58" s="12">
        <v>91.8</v>
      </c>
      <c r="G58" s="12">
        <v>100</v>
      </c>
      <c r="H58" s="12">
        <v>100</v>
      </c>
      <c r="I58" s="12">
        <v>68</v>
      </c>
      <c r="J58" s="12">
        <v>78.900000000000006</v>
      </c>
      <c r="K58" s="12">
        <v>82.7</v>
      </c>
      <c r="L58" s="12">
        <v>116.5</v>
      </c>
      <c r="M58" s="12">
        <v>56.3</v>
      </c>
      <c r="N58" s="12">
        <v>91.8</v>
      </c>
      <c r="O58" s="12" t="s">
        <v>55</v>
      </c>
      <c r="P58" s="12" t="s">
        <v>55</v>
      </c>
      <c r="Q58" s="12">
        <v>56.3</v>
      </c>
      <c r="R58" s="12">
        <v>91.8</v>
      </c>
      <c r="S58" s="12">
        <v>31.8</v>
      </c>
      <c r="T58" s="12">
        <v>20.5</v>
      </c>
      <c r="U58" s="12">
        <v>73.099999999999994</v>
      </c>
      <c r="V58" s="12">
        <v>259</v>
      </c>
      <c r="W58" s="12">
        <v>228.7</v>
      </c>
      <c r="X58" s="12">
        <v>1225.3</v>
      </c>
      <c r="Y58" s="12">
        <v>128.69999999999999</v>
      </c>
      <c r="Z58" s="12">
        <v>1125.3</v>
      </c>
      <c r="AB58" s="25">
        <v>77.7</v>
      </c>
      <c r="AC58" s="26">
        <v>8.9</v>
      </c>
      <c r="AD58" s="26">
        <v>56.3</v>
      </c>
      <c r="AE58" s="26">
        <v>91.8</v>
      </c>
      <c r="AF58" s="26">
        <v>100</v>
      </c>
      <c r="AG58" s="26">
        <v>100</v>
      </c>
      <c r="AH58" s="26">
        <v>68</v>
      </c>
      <c r="AI58" s="26">
        <v>78.900000000000006</v>
      </c>
      <c r="AJ58" s="25">
        <v>82.7</v>
      </c>
      <c r="AK58" s="26">
        <v>116.5</v>
      </c>
      <c r="AL58" s="26">
        <v>56.3</v>
      </c>
      <c r="AM58" s="26">
        <v>91.8</v>
      </c>
      <c r="AN58" s="26" t="s">
        <v>55</v>
      </c>
      <c r="AO58" s="26" t="s">
        <v>55</v>
      </c>
      <c r="AP58" s="26">
        <v>56.3</v>
      </c>
      <c r="AQ58" s="26">
        <v>91.8</v>
      </c>
      <c r="AR58" s="23">
        <v>31.8</v>
      </c>
      <c r="AS58" s="24">
        <v>20.5</v>
      </c>
      <c r="AT58" s="24">
        <v>73.099999999999994</v>
      </c>
      <c r="AU58" s="24">
        <v>259</v>
      </c>
      <c r="AV58" s="24">
        <v>228.7</v>
      </c>
      <c r="AW58" s="24">
        <v>1225.3</v>
      </c>
      <c r="AX58" s="24">
        <v>128.69999999999999</v>
      </c>
      <c r="AY58" s="24">
        <v>1125.3</v>
      </c>
      <c r="AZ58" s="34">
        <f t="shared" si="15"/>
        <v>0</v>
      </c>
      <c r="BA58" s="34">
        <f t="shared" si="16"/>
        <v>0</v>
      </c>
      <c r="BB58" s="34">
        <f t="shared" si="17"/>
        <v>0</v>
      </c>
      <c r="BC58" s="34">
        <f t="shared" si="18"/>
        <v>0</v>
      </c>
      <c r="BD58" s="34">
        <f t="shared" si="19"/>
        <v>0</v>
      </c>
      <c r="BE58" s="34">
        <f t="shared" si="20"/>
        <v>0</v>
      </c>
      <c r="BF58" s="34">
        <f t="shared" si="21"/>
        <v>0</v>
      </c>
      <c r="BG58" s="34">
        <f t="shared" si="22"/>
        <v>0</v>
      </c>
      <c r="BH58" s="34">
        <f t="shared" si="23"/>
        <v>0</v>
      </c>
      <c r="BI58" s="34">
        <f t="shared" si="24"/>
        <v>0</v>
      </c>
      <c r="BJ58" s="34">
        <f t="shared" si="25"/>
        <v>0</v>
      </c>
      <c r="BK58" s="34">
        <f t="shared" si="26"/>
        <v>0</v>
      </c>
      <c r="BL58" s="34" t="e">
        <f t="shared" si="27"/>
        <v>#VALUE!</v>
      </c>
      <c r="BM58" s="34" t="e">
        <f t="shared" si="28"/>
        <v>#VALUE!</v>
      </c>
      <c r="BN58" s="34">
        <f t="shared" si="29"/>
        <v>0</v>
      </c>
      <c r="BO58" s="34">
        <f t="shared" si="30"/>
        <v>0</v>
      </c>
      <c r="BP58" s="34">
        <f t="shared" si="31"/>
        <v>0</v>
      </c>
      <c r="BQ58" s="29">
        <f t="shared" si="32"/>
        <v>0</v>
      </c>
      <c r="BR58" s="29">
        <f t="shared" si="33"/>
        <v>0</v>
      </c>
      <c r="BS58" s="29">
        <f t="shared" si="34"/>
        <v>0</v>
      </c>
      <c r="BT58" s="29">
        <f t="shared" si="35"/>
        <v>0</v>
      </c>
      <c r="BU58" s="29">
        <f t="shared" si="36"/>
        <v>0</v>
      </c>
      <c r="BV58" s="29">
        <f t="shared" si="37"/>
        <v>0</v>
      </c>
      <c r="BW58" s="29">
        <f t="shared" si="38"/>
        <v>0</v>
      </c>
    </row>
    <row r="59" spans="1:75" ht="15.75">
      <c r="A59" s="3" t="s">
        <v>123</v>
      </c>
      <c r="B59" s="4" t="s">
        <v>124</v>
      </c>
      <c r="C59" s="2">
        <v>77.7</v>
      </c>
      <c r="D59" s="2">
        <v>8.9</v>
      </c>
      <c r="E59" s="2">
        <v>56.3</v>
      </c>
      <c r="F59" s="2">
        <v>91.8</v>
      </c>
      <c r="G59" s="2">
        <v>100</v>
      </c>
      <c r="H59" s="2">
        <v>100</v>
      </c>
      <c r="I59" s="2">
        <v>68</v>
      </c>
      <c r="J59" s="2">
        <v>78.900000000000006</v>
      </c>
      <c r="K59" s="2">
        <v>82.7</v>
      </c>
      <c r="L59" s="2">
        <v>116.5</v>
      </c>
      <c r="M59" s="2">
        <v>56.3</v>
      </c>
      <c r="N59" s="2">
        <v>91.8</v>
      </c>
      <c r="O59" s="2" t="s">
        <v>55</v>
      </c>
      <c r="P59" s="2" t="s">
        <v>55</v>
      </c>
      <c r="Q59" s="2">
        <v>56.3</v>
      </c>
      <c r="R59" s="2">
        <v>91.8</v>
      </c>
      <c r="S59" s="2">
        <v>31.8</v>
      </c>
      <c r="T59" s="2">
        <v>20.5</v>
      </c>
      <c r="U59" s="2">
        <v>73.099999999999994</v>
      </c>
      <c r="V59" s="2">
        <v>259</v>
      </c>
      <c r="W59" s="2">
        <v>228.7</v>
      </c>
      <c r="X59" s="2">
        <v>1225.3</v>
      </c>
      <c r="Y59" s="2">
        <v>128.69999999999999</v>
      </c>
      <c r="Z59" s="2">
        <v>1125.3</v>
      </c>
      <c r="AB59" s="25">
        <v>77.7</v>
      </c>
      <c r="AC59" s="26">
        <v>8.9</v>
      </c>
      <c r="AD59" s="26">
        <v>56.3</v>
      </c>
      <c r="AE59" s="26">
        <v>91.8</v>
      </c>
      <c r="AF59" s="26">
        <v>100</v>
      </c>
      <c r="AG59" s="26">
        <v>100</v>
      </c>
      <c r="AH59" s="26">
        <v>68</v>
      </c>
      <c r="AI59" s="26">
        <v>78.900000000000006</v>
      </c>
      <c r="AJ59" s="25">
        <v>82.7</v>
      </c>
      <c r="AK59" s="26">
        <v>116.5</v>
      </c>
      <c r="AL59" s="26">
        <v>56.3</v>
      </c>
      <c r="AM59" s="26">
        <v>91.8</v>
      </c>
      <c r="AN59" s="26" t="s">
        <v>55</v>
      </c>
      <c r="AO59" s="26" t="s">
        <v>55</v>
      </c>
      <c r="AP59" s="26">
        <v>56.3</v>
      </c>
      <c r="AQ59" s="26">
        <v>91.8</v>
      </c>
      <c r="AR59" s="25">
        <v>31.8</v>
      </c>
      <c r="AS59" s="26">
        <v>20.5</v>
      </c>
      <c r="AT59" s="26">
        <v>73.099999999999994</v>
      </c>
      <c r="AU59" s="26">
        <v>259</v>
      </c>
      <c r="AV59" s="26">
        <v>228.7</v>
      </c>
      <c r="AW59" s="26">
        <v>1225.3</v>
      </c>
      <c r="AX59" s="26">
        <v>128.69999999999999</v>
      </c>
      <c r="AY59" s="26">
        <v>1125.3</v>
      </c>
      <c r="AZ59" s="34">
        <f t="shared" si="15"/>
        <v>0</v>
      </c>
      <c r="BA59" s="34">
        <f t="shared" si="16"/>
        <v>0</v>
      </c>
      <c r="BB59" s="34">
        <f t="shared" si="17"/>
        <v>0</v>
      </c>
      <c r="BC59" s="34">
        <f t="shared" si="18"/>
        <v>0</v>
      </c>
      <c r="BD59" s="34">
        <f t="shared" si="19"/>
        <v>0</v>
      </c>
      <c r="BE59" s="34">
        <f t="shared" si="20"/>
        <v>0</v>
      </c>
      <c r="BF59" s="34">
        <f t="shared" si="21"/>
        <v>0</v>
      </c>
      <c r="BG59" s="34">
        <f t="shared" si="22"/>
        <v>0</v>
      </c>
      <c r="BH59" s="34">
        <f t="shared" si="23"/>
        <v>0</v>
      </c>
      <c r="BI59" s="34">
        <f t="shared" si="24"/>
        <v>0</v>
      </c>
      <c r="BJ59" s="34">
        <f t="shared" si="25"/>
        <v>0</v>
      </c>
      <c r="BK59" s="34">
        <f t="shared" si="26"/>
        <v>0</v>
      </c>
      <c r="BL59" s="34" t="e">
        <f t="shared" si="27"/>
        <v>#VALUE!</v>
      </c>
      <c r="BM59" s="34" t="e">
        <f t="shared" si="28"/>
        <v>#VALUE!</v>
      </c>
      <c r="BN59" s="34">
        <f t="shared" si="29"/>
        <v>0</v>
      </c>
      <c r="BO59" s="34">
        <f t="shared" si="30"/>
        <v>0</v>
      </c>
      <c r="BP59" s="34">
        <f t="shared" si="31"/>
        <v>0</v>
      </c>
      <c r="BQ59" s="29">
        <f t="shared" si="32"/>
        <v>0</v>
      </c>
      <c r="BR59" s="29">
        <f t="shared" si="33"/>
        <v>0</v>
      </c>
      <c r="BS59" s="29">
        <f t="shared" si="34"/>
        <v>0</v>
      </c>
      <c r="BT59" s="29">
        <f t="shared" si="35"/>
        <v>0</v>
      </c>
      <c r="BU59" s="29">
        <f t="shared" si="36"/>
        <v>0</v>
      </c>
      <c r="BV59" s="29">
        <f t="shared" si="37"/>
        <v>0</v>
      </c>
      <c r="BW59" s="29">
        <f t="shared" si="38"/>
        <v>0</v>
      </c>
    </row>
    <row r="60" spans="1:75" s="13" customFormat="1" ht="39">
      <c r="A60" s="10" t="s">
        <v>154</v>
      </c>
      <c r="B60" s="11" t="s">
        <v>125</v>
      </c>
      <c r="C60" s="12">
        <v>30.8</v>
      </c>
      <c r="D60" s="12">
        <v>19.100000000000001</v>
      </c>
      <c r="E60" s="12">
        <v>76.400000000000006</v>
      </c>
      <c r="F60" s="12">
        <v>84</v>
      </c>
      <c r="G60" s="12">
        <v>88.7</v>
      </c>
      <c r="H60" s="12">
        <v>90.9</v>
      </c>
      <c r="I60" s="12">
        <v>9.6</v>
      </c>
      <c r="J60" s="12">
        <v>8.5</v>
      </c>
      <c r="K60" s="12">
        <v>7036.4</v>
      </c>
      <c r="L60" s="12">
        <v>8945.5</v>
      </c>
      <c r="M60" s="12">
        <v>74.2</v>
      </c>
      <c r="N60" s="12">
        <v>82.6</v>
      </c>
      <c r="O60" s="12" t="s">
        <v>55</v>
      </c>
      <c r="P60" s="12" t="s">
        <v>55</v>
      </c>
      <c r="Q60" s="12">
        <v>76.400000000000006</v>
      </c>
      <c r="R60" s="12">
        <v>84</v>
      </c>
      <c r="S60" s="12">
        <v>327.10000000000002</v>
      </c>
      <c r="T60" s="12">
        <v>496.6</v>
      </c>
      <c r="U60" s="12">
        <v>383.6</v>
      </c>
      <c r="V60" s="12">
        <v>570</v>
      </c>
      <c r="W60" s="12">
        <v>387.7</v>
      </c>
      <c r="X60" s="12">
        <v>575.4</v>
      </c>
      <c r="Y60" s="12">
        <v>324.5</v>
      </c>
      <c r="Z60" s="12">
        <v>523.20000000000005</v>
      </c>
      <c r="AB60" s="25">
        <v>30.8</v>
      </c>
      <c r="AC60" s="26">
        <v>19.100000000000001</v>
      </c>
      <c r="AD60" s="26">
        <v>76.400000000000006</v>
      </c>
      <c r="AE60" s="26">
        <v>84</v>
      </c>
      <c r="AF60" s="26">
        <v>88.7</v>
      </c>
      <c r="AG60" s="26">
        <v>90.9</v>
      </c>
      <c r="AH60" s="26">
        <v>9.6</v>
      </c>
      <c r="AI60" s="26">
        <v>8.5</v>
      </c>
      <c r="AJ60" s="25">
        <v>7036.4</v>
      </c>
      <c r="AK60" s="26">
        <v>8945.5</v>
      </c>
      <c r="AL60" s="26">
        <v>74.2</v>
      </c>
      <c r="AM60" s="26">
        <v>82.6</v>
      </c>
      <c r="AN60" s="26" t="s">
        <v>55</v>
      </c>
      <c r="AO60" s="26" t="s">
        <v>55</v>
      </c>
      <c r="AP60" s="26">
        <v>76.400000000000006</v>
      </c>
      <c r="AQ60" s="26">
        <v>84</v>
      </c>
      <c r="AR60" s="25">
        <v>327.10000000000002</v>
      </c>
      <c r="AS60" s="26">
        <v>496.6</v>
      </c>
      <c r="AT60" s="26">
        <v>383.6</v>
      </c>
      <c r="AU60" s="26">
        <v>570</v>
      </c>
      <c r="AV60" s="26">
        <v>387.7</v>
      </c>
      <c r="AW60" s="26">
        <v>575.4</v>
      </c>
      <c r="AX60" s="26">
        <v>324.5</v>
      </c>
      <c r="AY60" s="26">
        <v>523.20000000000005</v>
      </c>
      <c r="AZ60" s="34">
        <f t="shared" si="15"/>
        <v>0</v>
      </c>
      <c r="BA60" s="34">
        <f t="shared" si="16"/>
        <v>0</v>
      </c>
      <c r="BB60" s="34">
        <f t="shared" si="17"/>
        <v>0</v>
      </c>
      <c r="BC60" s="34">
        <f t="shared" si="18"/>
        <v>0</v>
      </c>
      <c r="BD60" s="34">
        <f t="shared" si="19"/>
        <v>0</v>
      </c>
      <c r="BE60" s="34">
        <f t="shared" si="20"/>
        <v>0</v>
      </c>
      <c r="BF60" s="34">
        <f t="shared" si="21"/>
        <v>0</v>
      </c>
      <c r="BG60" s="34">
        <f t="shared" si="22"/>
        <v>0</v>
      </c>
      <c r="BH60" s="34">
        <f t="shared" si="23"/>
        <v>0</v>
      </c>
      <c r="BI60" s="34">
        <f t="shared" si="24"/>
        <v>0</v>
      </c>
      <c r="BJ60" s="34">
        <f t="shared" si="25"/>
        <v>0</v>
      </c>
      <c r="BK60" s="34">
        <f t="shared" si="26"/>
        <v>0</v>
      </c>
      <c r="BL60" s="34" t="e">
        <f t="shared" si="27"/>
        <v>#VALUE!</v>
      </c>
      <c r="BM60" s="34" t="e">
        <f t="shared" si="28"/>
        <v>#VALUE!</v>
      </c>
      <c r="BN60" s="34">
        <f t="shared" si="29"/>
        <v>0</v>
      </c>
      <c r="BO60" s="34">
        <f t="shared" si="30"/>
        <v>0</v>
      </c>
      <c r="BP60" s="34">
        <f t="shared" si="31"/>
        <v>0</v>
      </c>
      <c r="BQ60" s="29">
        <f t="shared" si="32"/>
        <v>0</v>
      </c>
      <c r="BR60" s="29">
        <f t="shared" si="33"/>
        <v>0</v>
      </c>
      <c r="BS60" s="29">
        <f t="shared" si="34"/>
        <v>0</v>
      </c>
      <c r="BT60" s="29">
        <f t="shared" si="35"/>
        <v>0</v>
      </c>
      <c r="BU60" s="29">
        <f t="shared" si="36"/>
        <v>0</v>
      </c>
      <c r="BV60" s="29">
        <f t="shared" si="37"/>
        <v>0</v>
      </c>
      <c r="BW60" s="29">
        <f t="shared" si="38"/>
        <v>0</v>
      </c>
    </row>
    <row r="61" spans="1:75" ht="26.25">
      <c r="A61" s="3" t="s">
        <v>126</v>
      </c>
      <c r="B61" s="4" t="s">
        <v>127</v>
      </c>
      <c r="C61" s="2">
        <v>30.8</v>
      </c>
      <c r="D61" s="2">
        <v>19.100000000000001</v>
      </c>
      <c r="E61" s="2">
        <v>76.400000000000006</v>
      </c>
      <c r="F61" s="2">
        <v>84</v>
      </c>
      <c r="G61" s="2">
        <v>88.7</v>
      </c>
      <c r="H61" s="2">
        <v>90.9</v>
      </c>
      <c r="I61" s="2">
        <v>9.6</v>
      </c>
      <c r="J61" s="2">
        <v>8.5</v>
      </c>
      <c r="K61" s="2">
        <v>7036.4</v>
      </c>
      <c r="L61" s="2">
        <v>8945.5</v>
      </c>
      <c r="M61" s="2">
        <v>74.2</v>
      </c>
      <c r="N61" s="2">
        <v>82.6</v>
      </c>
      <c r="O61" s="2" t="s">
        <v>55</v>
      </c>
      <c r="P61" s="2" t="s">
        <v>55</v>
      </c>
      <c r="Q61" s="2">
        <v>76.400000000000006</v>
      </c>
      <c r="R61" s="2">
        <v>84</v>
      </c>
      <c r="S61" s="2">
        <v>327.10000000000002</v>
      </c>
      <c r="T61" s="2">
        <v>496.6</v>
      </c>
      <c r="U61" s="2">
        <v>383.6</v>
      </c>
      <c r="V61" s="2">
        <v>570</v>
      </c>
      <c r="W61" s="2">
        <v>387.7</v>
      </c>
      <c r="X61" s="2">
        <v>575.4</v>
      </c>
      <c r="Y61" s="2">
        <v>324.5</v>
      </c>
      <c r="Z61" s="2">
        <v>523.20000000000005</v>
      </c>
      <c r="AB61" s="25">
        <v>30.8</v>
      </c>
      <c r="AC61" s="26">
        <v>19.100000000000001</v>
      </c>
      <c r="AD61" s="26">
        <v>76.400000000000006</v>
      </c>
      <c r="AE61" s="26">
        <v>84</v>
      </c>
      <c r="AF61" s="26">
        <v>88.7</v>
      </c>
      <c r="AG61" s="26">
        <v>90.9</v>
      </c>
      <c r="AH61" s="26">
        <v>9.6</v>
      </c>
      <c r="AI61" s="26">
        <v>8.5</v>
      </c>
      <c r="AJ61" s="25">
        <v>7036.4</v>
      </c>
      <c r="AK61" s="26">
        <v>8945.5</v>
      </c>
      <c r="AL61" s="26">
        <v>74.2</v>
      </c>
      <c r="AM61" s="26">
        <v>82.6</v>
      </c>
      <c r="AN61" s="26" t="s">
        <v>55</v>
      </c>
      <c r="AO61" s="26" t="s">
        <v>55</v>
      </c>
      <c r="AP61" s="26">
        <v>76.400000000000006</v>
      </c>
      <c r="AQ61" s="26">
        <v>84</v>
      </c>
      <c r="AR61" s="25">
        <v>327.10000000000002</v>
      </c>
      <c r="AS61" s="26">
        <v>496.6</v>
      </c>
      <c r="AT61" s="26">
        <v>383.6</v>
      </c>
      <c r="AU61" s="26">
        <v>570</v>
      </c>
      <c r="AV61" s="26">
        <v>387.7</v>
      </c>
      <c r="AW61" s="26">
        <v>575.4</v>
      </c>
      <c r="AX61" s="26">
        <v>324.5</v>
      </c>
      <c r="AY61" s="26">
        <v>523.20000000000005</v>
      </c>
      <c r="AZ61" s="34">
        <f t="shared" si="15"/>
        <v>0</v>
      </c>
      <c r="BA61" s="34">
        <f t="shared" si="16"/>
        <v>0</v>
      </c>
      <c r="BB61" s="34">
        <f t="shared" si="17"/>
        <v>0</v>
      </c>
      <c r="BC61" s="34">
        <f t="shared" si="18"/>
        <v>0</v>
      </c>
      <c r="BD61" s="34">
        <f t="shared" si="19"/>
        <v>0</v>
      </c>
      <c r="BE61" s="34">
        <f t="shared" si="20"/>
        <v>0</v>
      </c>
      <c r="BF61" s="34">
        <f t="shared" si="21"/>
        <v>0</v>
      </c>
      <c r="BG61" s="34">
        <f t="shared" si="22"/>
        <v>0</v>
      </c>
      <c r="BH61" s="34">
        <f t="shared" si="23"/>
        <v>0</v>
      </c>
      <c r="BI61" s="34">
        <f t="shared" si="24"/>
        <v>0</v>
      </c>
      <c r="BJ61" s="34">
        <f t="shared" si="25"/>
        <v>0</v>
      </c>
      <c r="BK61" s="34">
        <f t="shared" si="26"/>
        <v>0</v>
      </c>
      <c r="BL61" s="34" t="e">
        <f t="shared" si="27"/>
        <v>#VALUE!</v>
      </c>
      <c r="BM61" s="34" t="e">
        <f t="shared" si="28"/>
        <v>#VALUE!</v>
      </c>
      <c r="BN61" s="34">
        <f t="shared" si="29"/>
        <v>0</v>
      </c>
      <c r="BO61" s="34">
        <f t="shared" si="30"/>
        <v>0</v>
      </c>
      <c r="BP61" s="34">
        <f t="shared" si="31"/>
        <v>0</v>
      </c>
      <c r="BQ61" s="29">
        <f t="shared" si="32"/>
        <v>0</v>
      </c>
      <c r="BR61" s="29">
        <f t="shared" si="33"/>
        <v>0</v>
      </c>
      <c r="BS61" s="29">
        <f t="shared" si="34"/>
        <v>0</v>
      </c>
      <c r="BT61" s="29">
        <f t="shared" si="35"/>
        <v>0</v>
      </c>
      <c r="BU61" s="29">
        <f t="shared" si="36"/>
        <v>0</v>
      </c>
      <c r="BV61" s="29">
        <f t="shared" si="37"/>
        <v>0</v>
      </c>
      <c r="BW61" s="29">
        <f t="shared" si="38"/>
        <v>0</v>
      </c>
    </row>
    <row r="62" spans="1:75" s="13" customFormat="1" ht="39">
      <c r="A62" s="10" t="s">
        <v>155</v>
      </c>
      <c r="B62" s="11" t="s">
        <v>128</v>
      </c>
      <c r="C62" s="12">
        <v>8.3000000000000007</v>
      </c>
      <c r="D62" s="12">
        <v>6.8</v>
      </c>
      <c r="E62" s="12">
        <v>92.4</v>
      </c>
      <c r="F62" s="12">
        <v>93.7</v>
      </c>
      <c r="G62" s="12">
        <v>100</v>
      </c>
      <c r="H62" s="12">
        <v>100</v>
      </c>
      <c r="I62" s="12" t="s">
        <v>55</v>
      </c>
      <c r="J62" s="12" t="s">
        <v>55</v>
      </c>
      <c r="K62" s="12">
        <v>0</v>
      </c>
      <c r="L62" s="12">
        <v>0</v>
      </c>
      <c r="M62" s="12">
        <v>92.4</v>
      </c>
      <c r="N62" s="12">
        <v>93.7</v>
      </c>
      <c r="O62" s="12" t="s">
        <v>55</v>
      </c>
      <c r="P62" s="12" t="s">
        <v>55</v>
      </c>
      <c r="Q62" s="12">
        <v>92.4</v>
      </c>
      <c r="R62" s="12">
        <v>93.7</v>
      </c>
      <c r="S62" s="12">
        <v>838.9</v>
      </c>
      <c r="T62" s="12">
        <v>461.5</v>
      </c>
      <c r="U62" s="12">
        <v>1311.1</v>
      </c>
      <c r="V62" s="12">
        <v>1576.9</v>
      </c>
      <c r="W62" s="12">
        <v>1311.1</v>
      </c>
      <c r="X62" s="12">
        <v>1576.9</v>
      </c>
      <c r="Y62" s="12">
        <v>1211.0999999999999</v>
      </c>
      <c r="Z62" s="12">
        <v>1476.9</v>
      </c>
      <c r="AB62" s="27">
        <v>8.3000000000000007</v>
      </c>
      <c r="AC62" s="28">
        <v>6.8</v>
      </c>
      <c r="AD62" s="28">
        <v>92.4</v>
      </c>
      <c r="AE62" s="28">
        <v>93.7</v>
      </c>
      <c r="AF62" s="28">
        <v>100</v>
      </c>
      <c r="AG62" s="28">
        <v>100</v>
      </c>
      <c r="AH62" s="28" t="s">
        <v>55</v>
      </c>
      <c r="AI62" s="28" t="s">
        <v>55</v>
      </c>
      <c r="AJ62" s="25">
        <v>0</v>
      </c>
      <c r="AK62" s="26">
        <v>0</v>
      </c>
      <c r="AL62" s="26">
        <v>92.4</v>
      </c>
      <c r="AM62" s="26">
        <v>93.7</v>
      </c>
      <c r="AN62" s="26" t="s">
        <v>55</v>
      </c>
      <c r="AO62" s="26" t="s">
        <v>55</v>
      </c>
      <c r="AP62" s="26">
        <v>92.4</v>
      </c>
      <c r="AQ62" s="26">
        <v>93.7</v>
      </c>
      <c r="AR62" s="25">
        <v>838.9</v>
      </c>
      <c r="AS62" s="26">
        <v>461.5</v>
      </c>
      <c r="AT62" s="26">
        <v>1311.1</v>
      </c>
      <c r="AU62" s="26">
        <v>1576.9</v>
      </c>
      <c r="AV62" s="26">
        <v>1311.1</v>
      </c>
      <c r="AW62" s="26">
        <v>1576.9</v>
      </c>
      <c r="AX62" s="26">
        <v>1211.0999999999999</v>
      </c>
      <c r="AY62" s="26">
        <v>1476.9</v>
      </c>
      <c r="AZ62" s="34">
        <f t="shared" si="15"/>
        <v>0</v>
      </c>
      <c r="BA62" s="34">
        <f t="shared" si="16"/>
        <v>0</v>
      </c>
      <c r="BB62" s="34">
        <f t="shared" si="17"/>
        <v>0</v>
      </c>
      <c r="BC62" s="34">
        <f t="shared" si="18"/>
        <v>0</v>
      </c>
      <c r="BD62" s="34">
        <f t="shared" si="19"/>
        <v>0</v>
      </c>
      <c r="BE62" s="34">
        <f t="shared" si="20"/>
        <v>0</v>
      </c>
      <c r="BF62" s="34" t="e">
        <f t="shared" si="21"/>
        <v>#VALUE!</v>
      </c>
      <c r="BG62" s="34" t="e">
        <f t="shared" si="22"/>
        <v>#VALUE!</v>
      </c>
      <c r="BH62" s="34">
        <f t="shared" si="23"/>
        <v>0</v>
      </c>
      <c r="BI62" s="34">
        <f t="shared" si="24"/>
        <v>0</v>
      </c>
      <c r="BJ62" s="34">
        <f t="shared" si="25"/>
        <v>0</v>
      </c>
      <c r="BK62" s="34">
        <f t="shared" si="26"/>
        <v>0</v>
      </c>
      <c r="BL62" s="34" t="e">
        <f t="shared" si="27"/>
        <v>#VALUE!</v>
      </c>
      <c r="BM62" s="34" t="e">
        <f t="shared" si="28"/>
        <v>#VALUE!</v>
      </c>
      <c r="BN62" s="34">
        <f t="shared" si="29"/>
        <v>0</v>
      </c>
      <c r="BO62" s="34">
        <f t="shared" si="30"/>
        <v>0</v>
      </c>
      <c r="BP62" s="34">
        <f t="shared" si="31"/>
        <v>0</v>
      </c>
      <c r="BQ62" s="29">
        <f t="shared" si="32"/>
        <v>0</v>
      </c>
      <c r="BR62" s="29">
        <f t="shared" si="33"/>
        <v>0</v>
      </c>
      <c r="BS62" s="29">
        <f t="shared" si="34"/>
        <v>0</v>
      </c>
      <c r="BT62" s="29">
        <f t="shared" si="35"/>
        <v>0</v>
      </c>
      <c r="BU62" s="29">
        <f t="shared" si="36"/>
        <v>0</v>
      </c>
      <c r="BV62" s="29">
        <f t="shared" si="37"/>
        <v>0</v>
      </c>
      <c r="BW62" s="29">
        <f t="shared" si="38"/>
        <v>0</v>
      </c>
    </row>
    <row r="63" spans="1:75" ht="26.25">
      <c r="A63" s="3" t="s">
        <v>129</v>
      </c>
      <c r="B63" s="4" t="s">
        <v>130</v>
      </c>
      <c r="C63" s="2">
        <v>8.3000000000000007</v>
      </c>
      <c r="D63" s="2">
        <v>6.8</v>
      </c>
      <c r="E63" s="2">
        <v>92.4</v>
      </c>
      <c r="F63" s="2">
        <v>93.7</v>
      </c>
      <c r="G63" s="2">
        <v>100</v>
      </c>
      <c r="H63" s="2">
        <v>100</v>
      </c>
      <c r="I63" s="2" t="s">
        <v>55</v>
      </c>
      <c r="J63" s="2" t="s">
        <v>55</v>
      </c>
      <c r="K63" s="2">
        <v>0</v>
      </c>
      <c r="L63" s="2">
        <v>0</v>
      </c>
      <c r="M63" s="2">
        <v>92.4</v>
      </c>
      <c r="N63" s="2">
        <v>93.7</v>
      </c>
      <c r="O63" s="2" t="s">
        <v>55</v>
      </c>
      <c r="P63" s="2" t="s">
        <v>55</v>
      </c>
      <c r="Q63" s="2">
        <v>92.4</v>
      </c>
      <c r="R63" s="2">
        <v>93.7</v>
      </c>
      <c r="S63" s="2">
        <v>838.9</v>
      </c>
      <c r="T63" s="2">
        <v>461.5</v>
      </c>
      <c r="U63" s="2">
        <v>1311.1</v>
      </c>
      <c r="V63" s="2">
        <v>1576.9</v>
      </c>
      <c r="W63" s="2">
        <v>1311.1</v>
      </c>
      <c r="X63" s="2">
        <v>1576.9</v>
      </c>
      <c r="Y63" s="2">
        <v>1211.0999999999999</v>
      </c>
      <c r="Z63" s="2">
        <v>1476.9</v>
      </c>
      <c r="AB63" s="25">
        <v>8.3000000000000007</v>
      </c>
      <c r="AC63" s="26">
        <v>6.8</v>
      </c>
      <c r="AD63" s="26">
        <v>92.4</v>
      </c>
      <c r="AE63" s="26">
        <v>93.7</v>
      </c>
      <c r="AF63" s="26">
        <v>100</v>
      </c>
      <c r="AG63" s="26">
        <v>100</v>
      </c>
      <c r="AH63" s="26" t="s">
        <v>55</v>
      </c>
      <c r="AI63" s="26" t="s">
        <v>55</v>
      </c>
      <c r="AJ63" s="25">
        <v>0</v>
      </c>
      <c r="AK63" s="26">
        <v>0</v>
      </c>
      <c r="AL63" s="26">
        <v>92.4</v>
      </c>
      <c r="AM63" s="26">
        <v>93.7</v>
      </c>
      <c r="AN63" s="26" t="s">
        <v>55</v>
      </c>
      <c r="AO63" s="26" t="s">
        <v>55</v>
      </c>
      <c r="AP63" s="26">
        <v>92.4</v>
      </c>
      <c r="AQ63" s="26">
        <v>93.7</v>
      </c>
      <c r="AR63" s="25">
        <v>838.9</v>
      </c>
      <c r="AS63" s="26">
        <v>461.5</v>
      </c>
      <c r="AT63" s="26">
        <v>1311.1</v>
      </c>
      <c r="AU63" s="26">
        <v>1576.9</v>
      </c>
      <c r="AV63" s="26">
        <v>1311.1</v>
      </c>
      <c r="AW63" s="26">
        <v>1576.9</v>
      </c>
      <c r="AX63" s="26">
        <v>1211.0999999999999</v>
      </c>
      <c r="AY63" s="26">
        <v>1476.9</v>
      </c>
      <c r="AZ63" s="34">
        <f t="shared" si="15"/>
        <v>0</v>
      </c>
      <c r="BA63" s="34">
        <f t="shared" si="16"/>
        <v>0</v>
      </c>
      <c r="BB63" s="34">
        <f t="shared" si="17"/>
        <v>0</v>
      </c>
      <c r="BC63" s="34">
        <f t="shared" si="18"/>
        <v>0</v>
      </c>
      <c r="BD63" s="34">
        <f t="shared" si="19"/>
        <v>0</v>
      </c>
      <c r="BE63" s="34">
        <f t="shared" si="20"/>
        <v>0</v>
      </c>
      <c r="BF63" s="34" t="e">
        <f t="shared" si="21"/>
        <v>#VALUE!</v>
      </c>
      <c r="BG63" s="34" t="e">
        <f t="shared" si="22"/>
        <v>#VALUE!</v>
      </c>
      <c r="BH63" s="34">
        <f t="shared" si="23"/>
        <v>0</v>
      </c>
      <c r="BI63" s="34">
        <f t="shared" si="24"/>
        <v>0</v>
      </c>
      <c r="BJ63" s="34">
        <f t="shared" si="25"/>
        <v>0</v>
      </c>
      <c r="BK63" s="34">
        <f t="shared" si="26"/>
        <v>0</v>
      </c>
      <c r="BL63" s="34" t="e">
        <f t="shared" si="27"/>
        <v>#VALUE!</v>
      </c>
      <c r="BM63" s="34" t="e">
        <f t="shared" si="28"/>
        <v>#VALUE!</v>
      </c>
      <c r="BN63" s="34">
        <f t="shared" si="29"/>
        <v>0</v>
      </c>
      <c r="BO63" s="34">
        <f t="shared" si="30"/>
        <v>0</v>
      </c>
      <c r="BP63" s="34">
        <f t="shared" si="31"/>
        <v>0</v>
      </c>
      <c r="BQ63" s="29">
        <f t="shared" si="32"/>
        <v>0</v>
      </c>
      <c r="BR63" s="29">
        <f t="shared" si="33"/>
        <v>0</v>
      </c>
      <c r="BS63" s="29">
        <f t="shared" si="34"/>
        <v>0</v>
      </c>
      <c r="BT63" s="29">
        <f t="shared" si="35"/>
        <v>0</v>
      </c>
      <c r="BU63" s="29">
        <f t="shared" si="36"/>
        <v>0</v>
      </c>
      <c r="BV63" s="29">
        <f t="shared" si="37"/>
        <v>0</v>
      </c>
      <c r="BW63" s="29">
        <f t="shared" si="38"/>
        <v>0</v>
      </c>
    </row>
    <row r="64" spans="1:75" s="13" customFormat="1" ht="26.25">
      <c r="A64" s="10" t="s">
        <v>156</v>
      </c>
      <c r="B64" s="11" t="s">
        <v>131</v>
      </c>
      <c r="C64" s="12">
        <v>18.600000000000001</v>
      </c>
      <c r="D64" s="12">
        <v>11.4</v>
      </c>
      <c r="E64" s="12">
        <v>84.3</v>
      </c>
      <c r="F64" s="12">
        <v>89.8</v>
      </c>
      <c r="G64" s="12">
        <v>95.4</v>
      </c>
      <c r="H64" s="12">
        <v>96.7</v>
      </c>
      <c r="I64" s="12">
        <v>4.2</v>
      </c>
      <c r="J64" s="12">
        <v>3.2</v>
      </c>
      <c r="K64" s="12">
        <v>25386.9</v>
      </c>
      <c r="L64" s="12">
        <v>36579</v>
      </c>
      <c r="M64" s="12">
        <v>83.7</v>
      </c>
      <c r="N64" s="12">
        <v>89.5</v>
      </c>
      <c r="O64" s="12">
        <v>0</v>
      </c>
      <c r="P64" s="12">
        <v>0</v>
      </c>
      <c r="Q64" s="12">
        <v>84.3</v>
      </c>
      <c r="R64" s="12">
        <v>89.8</v>
      </c>
      <c r="S64" s="12">
        <v>487.4</v>
      </c>
      <c r="T64" s="12">
        <v>819.2</v>
      </c>
      <c r="U64" s="12">
        <v>612</v>
      </c>
      <c r="V64" s="12">
        <v>946.8</v>
      </c>
      <c r="W64" s="12">
        <v>614.1</v>
      </c>
      <c r="X64" s="12">
        <v>949.2</v>
      </c>
      <c r="Y64" s="12">
        <v>537.29999999999995</v>
      </c>
      <c r="Z64" s="12">
        <v>876.1</v>
      </c>
      <c r="AB64" s="25">
        <v>18.600000000000001</v>
      </c>
      <c r="AC64" s="26">
        <v>11.4</v>
      </c>
      <c r="AD64" s="26">
        <v>84.3</v>
      </c>
      <c r="AE64" s="26">
        <v>89.8</v>
      </c>
      <c r="AF64" s="26">
        <v>95.4</v>
      </c>
      <c r="AG64" s="26">
        <v>96.7</v>
      </c>
      <c r="AH64" s="26">
        <v>4.2</v>
      </c>
      <c r="AI64" s="26">
        <v>3.2</v>
      </c>
      <c r="AJ64" s="25">
        <v>25386.9</v>
      </c>
      <c r="AK64" s="26">
        <v>36579</v>
      </c>
      <c r="AL64" s="26">
        <v>83.7</v>
      </c>
      <c r="AM64" s="26">
        <v>89.5</v>
      </c>
      <c r="AN64" s="26">
        <v>0</v>
      </c>
      <c r="AO64" s="26">
        <v>0</v>
      </c>
      <c r="AP64" s="26">
        <v>84.3</v>
      </c>
      <c r="AQ64" s="26">
        <v>89.8</v>
      </c>
      <c r="AR64" s="25">
        <v>487.4</v>
      </c>
      <c r="AS64" s="26">
        <v>819.2</v>
      </c>
      <c r="AT64" s="26">
        <v>612</v>
      </c>
      <c r="AU64" s="26">
        <v>946.8</v>
      </c>
      <c r="AV64" s="26">
        <v>614.1</v>
      </c>
      <c r="AW64" s="26">
        <v>949.2</v>
      </c>
      <c r="AX64" s="26">
        <v>537.29999999999995</v>
      </c>
      <c r="AY64" s="26">
        <v>876.1</v>
      </c>
      <c r="AZ64" s="34">
        <f t="shared" si="15"/>
        <v>0</v>
      </c>
      <c r="BA64" s="34">
        <f t="shared" si="16"/>
        <v>0</v>
      </c>
      <c r="BB64" s="34">
        <f t="shared" si="17"/>
        <v>0</v>
      </c>
      <c r="BC64" s="34">
        <f t="shared" si="18"/>
        <v>0</v>
      </c>
      <c r="BD64" s="34">
        <f t="shared" si="19"/>
        <v>0</v>
      </c>
      <c r="BE64" s="34">
        <f t="shared" si="20"/>
        <v>0</v>
      </c>
      <c r="BF64" s="34">
        <f t="shared" si="21"/>
        <v>0</v>
      </c>
      <c r="BG64" s="34">
        <f t="shared" si="22"/>
        <v>0</v>
      </c>
      <c r="BH64" s="34">
        <f t="shared" si="23"/>
        <v>0</v>
      </c>
      <c r="BI64" s="34">
        <f t="shared" si="24"/>
        <v>0</v>
      </c>
      <c r="BJ64" s="34">
        <f t="shared" si="25"/>
        <v>0</v>
      </c>
      <c r="BK64" s="34">
        <f t="shared" si="26"/>
        <v>0</v>
      </c>
      <c r="BL64" s="34">
        <f t="shared" si="27"/>
        <v>0</v>
      </c>
      <c r="BM64" s="34">
        <f t="shared" si="28"/>
        <v>0</v>
      </c>
      <c r="BN64" s="34">
        <f t="shared" si="29"/>
        <v>0</v>
      </c>
      <c r="BO64" s="34">
        <f t="shared" si="30"/>
        <v>0</v>
      </c>
      <c r="BP64" s="34">
        <f t="shared" si="31"/>
        <v>0</v>
      </c>
      <c r="BQ64" s="29">
        <f t="shared" si="32"/>
        <v>0</v>
      </c>
      <c r="BR64" s="29">
        <f t="shared" si="33"/>
        <v>0</v>
      </c>
      <c r="BS64" s="29">
        <f t="shared" si="34"/>
        <v>0</v>
      </c>
      <c r="BT64" s="29">
        <f t="shared" si="35"/>
        <v>0</v>
      </c>
      <c r="BU64" s="29">
        <f t="shared" si="36"/>
        <v>0</v>
      </c>
      <c r="BV64" s="29">
        <f t="shared" si="37"/>
        <v>0</v>
      </c>
      <c r="BW64" s="29">
        <f t="shared" si="38"/>
        <v>0</v>
      </c>
    </row>
    <row r="65" spans="1:75" ht="26.25">
      <c r="A65" s="3" t="s">
        <v>132</v>
      </c>
      <c r="B65" s="4" t="s">
        <v>133</v>
      </c>
      <c r="C65" s="2">
        <v>14.7</v>
      </c>
      <c r="D65" s="2">
        <v>7.5</v>
      </c>
      <c r="E65" s="2">
        <v>87.2</v>
      </c>
      <c r="F65" s="2">
        <v>93</v>
      </c>
      <c r="G65" s="2">
        <v>96</v>
      </c>
      <c r="H65" s="2">
        <v>97.1</v>
      </c>
      <c r="I65" s="2">
        <v>3.9</v>
      </c>
      <c r="J65" s="2">
        <v>2.9</v>
      </c>
      <c r="K65" s="2">
        <v>26304.400000000001</v>
      </c>
      <c r="L65" s="2">
        <v>38382</v>
      </c>
      <c r="M65" s="2">
        <v>86.8</v>
      </c>
      <c r="N65" s="2">
        <v>92.9</v>
      </c>
      <c r="O65" s="2">
        <v>0</v>
      </c>
      <c r="P65" s="2">
        <v>0</v>
      </c>
      <c r="Q65" s="2">
        <v>87.2</v>
      </c>
      <c r="R65" s="2">
        <v>93.1</v>
      </c>
      <c r="S65" s="2">
        <v>613.4</v>
      </c>
      <c r="T65" s="2">
        <v>1232.5</v>
      </c>
      <c r="U65" s="2">
        <v>752.8</v>
      </c>
      <c r="V65" s="2">
        <v>1398.8</v>
      </c>
      <c r="W65" s="2">
        <v>755.3</v>
      </c>
      <c r="X65" s="2">
        <v>1402.2</v>
      </c>
      <c r="Y65" s="2">
        <v>680.5</v>
      </c>
      <c r="Z65" s="2">
        <v>1335.6</v>
      </c>
      <c r="AB65" s="25">
        <v>14.7</v>
      </c>
      <c r="AC65" s="26">
        <v>7.5</v>
      </c>
      <c r="AD65" s="26">
        <v>87.2</v>
      </c>
      <c r="AE65" s="26">
        <v>93</v>
      </c>
      <c r="AF65" s="26">
        <v>96</v>
      </c>
      <c r="AG65" s="26">
        <v>97.1</v>
      </c>
      <c r="AH65" s="26">
        <v>3.9</v>
      </c>
      <c r="AI65" s="26">
        <v>2.9</v>
      </c>
      <c r="AJ65" s="25">
        <v>26304.400000000001</v>
      </c>
      <c r="AK65" s="26">
        <v>38382</v>
      </c>
      <c r="AL65" s="26">
        <v>86.8</v>
      </c>
      <c r="AM65" s="26">
        <v>92.9</v>
      </c>
      <c r="AN65" s="26">
        <v>0</v>
      </c>
      <c r="AO65" s="26">
        <v>0</v>
      </c>
      <c r="AP65" s="26">
        <v>87.2</v>
      </c>
      <c r="AQ65" s="26">
        <v>93.1</v>
      </c>
      <c r="AR65" s="25">
        <v>613.4</v>
      </c>
      <c r="AS65" s="26">
        <v>1232.5</v>
      </c>
      <c r="AT65" s="26">
        <v>752.8</v>
      </c>
      <c r="AU65" s="26">
        <v>1398.8</v>
      </c>
      <c r="AV65" s="26">
        <v>755.3</v>
      </c>
      <c r="AW65" s="26">
        <v>1402.2</v>
      </c>
      <c r="AX65" s="26">
        <v>680.5</v>
      </c>
      <c r="AY65" s="26">
        <v>1335.6</v>
      </c>
      <c r="AZ65" s="34">
        <f t="shared" si="15"/>
        <v>0</v>
      </c>
      <c r="BA65" s="34">
        <f t="shared" si="16"/>
        <v>0</v>
      </c>
      <c r="BB65" s="34">
        <f t="shared" si="17"/>
        <v>0</v>
      </c>
      <c r="BC65" s="34">
        <f t="shared" si="18"/>
        <v>0</v>
      </c>
      <c r="BD65" s="34">
        <f t="shared" si="19"/>
        <v>0</v>
      </c>
      <c r="BE65" s="34">
        <f t="shared" si="20"/>
        <v>0</v>
      </c>
      <c r="BF65" s="34">
        <f t="shared" si="21"/>
        <v>0</v>
      </c>
      <c r="BG65" s="34">
        <f t="shared" si="22"/>
        <v>0</v>
      </c>
      <c r="BH65" s="34">
        <f t="shared" si="23"/>
        <v>0</v>
      </c>
      <c r="BI65" s="34">
        <f t="shared" si="24"/>
        <v>0</v>
      </c>
      <c r="BJ65" s="34">
        <f t="shared" si="25"/>
        <v>0</v>
      </c>
      <c r="BK65" s="34">
        <f t="shared" si="26"/>
        <v>0</v>
      </c>
      <c r="BL65" s="34">
        <f t="shared" si="27"/>
        <v>0</v>
      </c>
      <c r="BM65" s="34">
        <f t="shared" si="28"/>
        <v>0</v>
      </c>
      <c r="BN65" s="34">
        <f t="shared" si="29"/>
        <v>0</v>
      </c>
      <c r="BO65" s="34">
        <f t="shared" si="30"/>
        <v>0</v>
      </c>
      <c r="BP65" s="34">
        <f t="shared" si="31"/>
        <v>0</v>
      </c>
      <c r="BQ65" s="29">
        <f t="shared" si="32"/>
        <v>0</v>
      </c>
      <c r="BR65" s="29">
        <f t="shared" si="33"/>
        <v>0</v>
      </c>
      <c r="BS65" s="29">
        <f t="shared" si="34"/>
        <v>0</v>
      </c>
      <c r="BT65" s="29">
        <f t="shared" si="35"/>
        <v>0</v>
      </c>
      <c r="BU65" s="29">
        <f t="shared" si="36"/>
        <v>0</v>
      </c>
      <c r="BV65" s="29">
        <f t="shared" si="37"/>
        <v>0</v>
      </c>
      <c r="BW65" s="29">
        <f t="shared" si="38"/>
        <v>0</v>
      </c>
    </row>
    <row r="66" spans="1:75" ht="26.25">
      <c r="A66" s="3" t="s">
        <v>134</v>
      </c>
      <c r="B66" s="4" t="s">
        <v>135</v>
      </c>
      <c r="C66" s="2">
        <v>-544.70000000000005</v>
      </c>
      <c r="D66" s="2">
        <v>-263.89999999999998</v>
      </c>
      <c r="E66" s="2">
        <v>-22.5</v>
      </c>
      <c r="F66" s="2">
        <v>-61</v>
      </c>
      <c r="G66" s="2">
        <v>173.6</v>
      </c>
      <c r="H66" s="2">
        <v>128.19999999999999</v>
      </c>
      <c r="I66" s="2">
        <v>16.8</v>
      </c>
      <c r="J66" s="2">
        <v>17.5</v>
      </c>
      <c r="K66" s="2">
        <v>-14317</v>
      </c>
      <c r="L66" s="2">
        <v>-24462.5</v>
      </c>
      <c r="M66" s="2">
        <v>-46.8</v>
      </c>
      <c r="N66" s="2">
        <v>-94.5</v>
      </c>
      <c r="O66" s="2" t="s">
        <v>55</v>
      </c>
      <c r="P66" s="2" t="s">
        <v>55</v>
      </c>
      <c r="Q66" s="2">
        <v>-22.5</v>
      </c>
      <c r="R66" s="2">
        <v>-61</v>
      </c>
      <c r="S66" s="2">
        <v>0.3</v>
      </c>
      <c r="T66" s="2">
        <v>0</v>
      </c>
      <c r="U66" s="2">
        <v>67.900000000000006</v>
      </c>
      <c r="V66" s="2">
        <v>51.2</v>
      </c>
      <c r="W66" s="2">
        <v>68.099999999999994</v>
      </c>
      <c r="X66" s="2">
        <v>51.4</v>
      </c>
      <c r="Y66" s="2">
        <v>-18.399999999999999</v>
      </c>
      <c r="Z66" s="2">
        <v>-37.9</v>
      </c>
      <c r="AB66" s="25">
        <v>-544.70000000000005</v>
      </c>
      <c r="AC66" s="26">
        <v>-263.89999999999998</v>
      </c>
      <c r="AD66" s="26">
        <v>-22.5</v>
      </c>
      <c r="AE66" s="26">
        <v>-61</v>
      </c>
      <c r="AF66" s="26">
        <v>173.6</v>
      </c>
      <c r="AG66" s="26">
        <v>128.19999999999999</v>
      </c>
      <c r="AH66" s="26">
        <v>16.8</v>
      </c>
      <c r="AI66" s="26">
        <v>17.5</v>
      </c>
      <c r="AJ66" s="25">
        <v>-14317</v>
      </c>
      <c r="AK66" s="26">
        <v>-24462.5</v>
      </c>
      <c r="AL66" s="26">
        <v>-46.8</v>
      </c>
      <c r="AM66" s="26">
        <v>-94.5</v>
      </c>
      <c r="AN66" s="26" t="s">
        <v>55</v>
      </c>
      <c r="AO66" s="26" t="s">
        <v>55</v>
      </c>
      <c r="AP66" s="26">
        <v>-22.5</v>
      </c>
      <c r="AQ66" s="26">
        <v>-61</v>
      </c>
      <c r="AR66" s="25">
        <v>0.3</v>
      </c>
      <c r="AS66" s="26">
        <v>0</v>
      </c>
      <c r="AT66" s="26">
        <v>67.900000000000006</v>
      </c>
      <c r="AU66" s="26">
        <v>51.2</v>
      </c>
      <c r="AV66" s="26">
        <v>68.099999999999994</v>
      </c>
      <c r="AW66" s="26">
        <v>51.4</v>
      </c>
      <c r="AX66" s="26">
        <v>-18.399999999999999</v>
      </c>
      <c r="AY66" s="26">
        <v>-37.9</v>
      </c>
      <c r="AZ66" s="34">
        <f t="shared" si="15"/>
        <v>0</v>
      </c>
      <c r="BA66" s="34">
        <f t="shared" si="16"/>
        <v>0</v>
      </c>
      <c r="BB66" s="34">
        <f t="shared" si="17"/>
        <v>0</v>
      </c>
      <c r="BC66" s="34">
        <f t="shared" si="18"/>
        <v>0</v>
      </c>
      <c r="BD66" s="34">
        <f t="shared" si="19"/>
        <v>0</v>
      </c>
      <c r="BE66" s="34">
        <f t="shared" si="20"/>
        <v>0</v>
      </c>
      <c r="BF66" s="34">
        <f t="shared" si="21"/>
        <v>0</v>
      </c>
      <c r="BG66" s="34">
        <f t="shared" si="22"/>
        <v>0</v>
      </c>
      <c r="BH66" s="34">
        <f t="shared" si="23"/>
        <v>0</v>
      </c>
      <c r="BI66" s="34">
        <f t="shared" si="24"/>
        <v>0</v>
      </c>
      <c r="BJ66" s="34">
        <f t="shared" si="25"/>
        <v>0</v>
      </c>
      <c r="BK66" s="34">
        <f t="shared" si="26"/>
        <v>0</v>
      </c>
      <c r="BL66" s="34" t="e">
        <f t="shared" si="27"/>
        <v>#VALUE!</v>
      </c>
      <c r="BM66" s="34" t="e">
        <f t="shared" si="28"/>
        <v>#VALUE!</v>
      </c>
      <c r="BN66" s="34">
        <f t="shared" si="29"/>
        <v>0</v>
      </c>
      <c r="BO66" s="34">
        <f t="shared" si="30"/>
        <v>0</v>
      </c>
      <c r="BP66" s="34">
        <f t="shared" si="31"/>
        <v>0</v>
      </c>
      <c r="BQ66" s="29">
        <f t="shared" si="32"/>
        <v>0</v>
      </c>
      <c r="BR66" s="29">
        <f t="shared" si="33"/>
        <v>0</v>
      </c>
      <c r="BS66" s="29">
        <f t="shared" si="34"/>
        <v>0</v>
      </c>
      <c r="BT66" s="29">
        <f t="shared" si="35"/>
        <v>0</v>
      </c>
      <c r="BU66" s="29">
        <f t="shared" si="36"/>
        <v>0</v>
      </c>
      <c r="BV66" s="29">
        <f t="shared" si="37"/>
        <v>0</v>
      </c>
      <c r="BW66" s="29">
        <f t="shared" si="38"/>
        <v>0</v>
      </c>
    </row>
  </sheetData>
  <autoFilter ref="A7:EV66"/>
  <mergeCells count="27">
    <mergeCell ref="A5:A6"/>
    <mergeCell ref="O4:P4"/>
    <mergeCell ref="O5:P5"/>
    <mergeCell ref="I5:J5"/>
    <mergeCell ref="K5:L5"/>
    <mergeCell ref="M5:N5"/>
    <mergeCell ref="C5:D5"/>
    <mergeCell ref="E5:F5"/>
    <mergeCell ref="G5:H5"/>
    <mergeCell ref="I4:J4"/>
    <mergeCell ref="B5:B6"/>
    <mergeCell ref="Y5:Z5"/>
    <mergeCell ref="W4:Z4"/>
    <mergeCell ref="W5:X5"/>
    <mergeCell ref="Q5:R5"/>
    <mergeCell ref="S5:T5"/>
    <mergeCell ref="U5:V5"/>
    <mergeCell ref="C1:J1"/>
    <mergeCell ref="C2:J2"/>
    <mergeCell ref="C3:J3"/>
    <mergeCell ref="Q4:R4"/>
    <mergeCell ref="K1:R1"/>
    <mergeCell ref="S1:Z1"/>
    <mergeCell ref="S2:Z2"/>
    <mergeCell ref="K2:R2"/>
    <mergeCell ref="K3:R3"/>
    <mergeCell ref="S3:Z3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22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T22</vt:lpstr>
      <vt:lpstr>'T22'!ExternalData_1</vt:lpstr>
      <vt:lpstr>'T22'!Заголовки_для_печати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2017-11-27T14:01:09Z</cp:lastPrinted>
  <dcterms:created xsi:type="dcterms:W3CDTF">2006-03-06T10:31:21Z</dcterms:created>
  <dcterms:modified xsi:type="dcterms:W3CDTF">2025-09-04T02:20:19Z</dcterms:modified>
</cp:coreProperties>
</file>