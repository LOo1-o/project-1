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90" yWindow="30" windowWidth="9405" windowHeight="4875" tabRatio="345"/>
  </bookViews>
  <sheets>
    <sheet name="T29" sheetId="1" r:id="rId1"/>
  </sheets>
  <definedNames>
    <definedName name="_xlnm._FilterDatabase" localSheetId="0" hidden="1">'T29'!$A$9:$FS$67</definedName>
    <definedName name="ExternalData_1" localSheetId="0">'T29'!$A$9:$AP$67</definedName>
    <definedName name="_xlnm.Print_Titles" localSheetId="0">'T29'!$A:$B,'T29'!$4:$7</definedName>
  </definedNames>
  <calcPr calcId="125725"/>
</workbook>
</file>

<file path=xl/calcChain.xml><?xml version="1.0" encoding="utf-8"?>
<calcChain xmlns="http://schemas.openxmlformats.org/spreadsheetml/2006/main">
  <c r="CE11" i="1"/>
  <c r="CF11"/>
  <c r="CG11"/>
  <c r="CH11"/>
  <c r="CI11"/>
  <c r="CJ11"/>
  <c r="CK11"/>
  <c r="CL11"/>
  <c r="CM11"/>
  <c r="CN11"/>
  <c r="CO11"/>
  <c r="CP11"/>
  <c r="CQ11"/>
  <c r="CR11"/>
  <c r="CS11"/>
  <c r="CT11"/>
  <c r="CU11"/>
  <c r="CV11"/>
  <c r="CW11"/>
  <c r="CX11"/>
  <c r="CY11"/>
  <c r="CZ11"/>
  <c r="DA11"/>
  <c r="DB11"/>
  <c r="DC11"/>
  <c r="DD11"/>
  <c r="DE11"/>
  <c r="DF11"/>
  <c r="DG11"/>
  <c r="DH11"/>
  <c r="DI11"/>
  <c r="DJ11"/>
  <c r="DK11"/>
  <c r="DL11"/>
  <c r="DM11"/>
  <c r="DN11"/>
  <c r="DO11"/>
  <c r="DP11"/>
  <c r="DQ11"/>
  <c r="DR11"/>
  <c r="CE12"/>
  <c r="CF12"/>
  <c r="CG12"/>
  <c r="CH12"/>
  <c r="CI12"/>
  <c r="CJ12"/>
  <c r="CK12"/>
  <c r="CL12"/>
  <c r="CM12"/>
  <c r="CN12"/>
  <c r="CO12"/>
  <c r="CP12"/>
  <c r="CQ12"/>
  <c r="CR12"/>
  <c r="CS12"/>
  <c r="CT12"/>
  <c r="CU12"/>
  <c r="CV12"/>
  <c r="CW12"/>
  <c r="CX12"/>
  <c r="CY12"/>
  <c r="CZ12"/>
  <c r="DA12"/>
  <c r="DB12"/>
  <c r="DC12"/>
  <c r="DD12"/>
  <c r="DE12"/>
  <c r="DF12"/>
  <c r="DG12"/>
  <c r="DH12"/>
  <c r="DI12"/>
  <c r="DJ12"/>
  <c r="DK12"/>
  <c r="DL12"/>
  <c r="DM12"/>
  <c r="DN12"/>
  <c r="DO12"/>
  <c r="DP12"/>
  <c r="DQ12"/>
  <c r="DR12"/>
  <c r="CE13"/>
  <c r="CF13"/>
  <c r="CG13"/>
  <c r="CH13"/>
  <c r="CI13"/>
  <c r="CJ13"/>
  <c r="CK13"/>
  <c r="CL13"/>
  <c r="CM13"/>
  <c r="CN13"/>
  <c r="CO13"/>
  <c r="CP13"/>
  <c r="CQ13"/>
  <c r="CR13"/>
  <c r="CS13"/>
  <c r="CT13"/>
  <c r="CU13"/>
  <c r="CV13"/>
  <c r="CW13"/>
  <c r="CX13"/>
  <c r="CY13"/>
  <c r="CZ13"/>
  <c r="DA13"/>
  <c r="DB13"/>
  <c r="DC13"/>
  <c r="DD13"/>
  <c r="DE13"/>
  <c r="DF13"/>
  <c r="DG13"/>
  <c r="DH13"/>
  <c r="DI13"/>
  <c r="DJ13"/>
  <c r="DK13"/>
  <c r="DL13"/>
  <c r="DM13"/>
  <c r="DN13"/>
  <c r="DO13"/>
  <c r="DP13"/>
  <c r="DQ13"/>
  <c r="DR13"/>
  <c r="CE14"/>
  <c r="CF14"/>
  <c r="CG14"/>
  <c r="CH14"/>
  <c r="CI14"/>
  <c r="CJ14"/>
  <c r="CK14"/>
  <c r="CL14"/>
  <c r="CM14"/>
  <c r="CN14"/>
  <c r="CO14"/>
  <c r="CP14"/>
  <c r="CQ14"/>
  <c r="CR14"/>
  <c r="CS14"/>
  <c r="CT14"/>
  <c r="CU14"/>
  <c r="CV14"/>
  <c r="CW14"/>
  <c r="CX14"/>
  <c r="CY14"/>
  <c r="CZ14"/>
  <c r="DA14"/>
  <c r="DB14"/>
  <c r="DC14"/>
  <c r="DD14"/>
  <c r="DE14"/>
  <c r="DF14"/>
  <c r="DG14"/>
  <c r="DH14"/>
  <c r="DI14"/>
  <c r="DJ14"/>
  <c r="DK14"/>
  <c r="DL14"/>
  <c r="DM14"/>
  <c r="DN14"/>
  <c r="DO14"/>
  <c r="DP14"/>
  <c r="DQ14"/>
  <c r="DR14"/>
  <c r="CE15"/>
  <c r="CF15"/>
  <c r="CG15"/>
  <c r="CH15"/>
  <c r="CI15"/>
  <c r="CJ15"/>
  <c r="CK15"/>
  <c r="CL15"/>
  <c r="CM15"/>
  <c r="CN15"/>
  <c r="CO15"/>
  <c r="CP15"/>
  <c r="CQ15"/>
  <c r="CR15"/>
  <c r="CS15"/>
  <c r="CT15"/>
  <c r="CU15"/>
  <c r="CV15"/>
  <c r="CW15"/>
  <c r="CX15"/>
  <c r="CY15"/>
  <c r="CZ15"/>
  <c r="DA15"/>
  <c r="DB15"/>
  <c r="DC15"/>
  <c r="DD15"/>
  <c r="DE15"/>
  <c r="DF15"/>
  <c r="DG15"/>
  <c r="DH15"/>
  <c r="DI15"/>
  <c r="DJ15"/>
  <c r="DK15"/>
  <c r="DL15"/>
  <c r="DM15"/>
  <c r="DN15"/>
  <c r="DO15"/>
  <c r="DP15"/>
  <c r="DQ15"/>
  <c r="DR15"/>
  <c r="CE16"/>
  <c r="CF16"/>
  <c r="CG16"/>
  <c r="CH16"/>
  <c r="CI16"/>
  <c r="CJ16"/>
  <c r="CK16"/>
  <c r="CL16"/>
  <c r="CM16"/>
  <c r="CN16"/>
  <c r="CO16"/>
  <c r="CP16"/>
  <c r="CQ16"/>
  <c r="CR16"/>
  <c r="CS16"/>
  <c r="CT16"/>
  <c r="CU16"/>
  <c r="CV16"/>
  <c r="CW16"/>
  <c r="CX16"/>
  <c r="CY16"/>
  <c r="CZ16"/>
  <c r="DA16"/>
  <c r="DB16"/>
  <c r="DC16"/>
  <c r="DD16"/>
  <c r="DE16"/>
  <c r="DF16"/>
  <c r="DG16"/>
  <c r="DH16"/>
  <c r="DI16"/>
  <c r="DJ16"/>
  <c r="DK16"/>
  <c r="DL16"/>
  <c r="DM16"/>
  <c r="DN16"/>
  <c r="DO16"/>
  <c r="DP16"/>
  <c r="DQ16"/>
  <c r="DR16"/>
  <c r="CE17"/>
  <c r="CF17"/>
  <c r="CG17"/>
  <c r="CH17"/>
  <c r="CI17"/>
  <c r="CJ17"/>
  <c r="CK17"/>
  <c r="CL17"/>
  <c r="CM17"/>
  <c r="CN17"/>
  <c r="CO17"/>
  <c r="CP17"/>
  <c r="CQ17"/>
  <c r="CR17"/>
  <c r="CS17"/>
  <c r="CT17"/>
  <c r="CU17"/>
  <c r="CV17"/>
  <c r="CW17"/>
  <c r="CX17"/>
  <c r="CY17"/>
  <c r="CZ17"/>
  <c r="DA17"/>
  <c r="DB17"/>
  <c r="DC17"/>
  <c r="DD17"/>
  <c r="DE17"/>
  <c r="DF17"/>
  <c r="DG17"/>
  <c r="DH17"/>
  <c r="DI17"/>
  <c r="DJ17"/>
  <c r="DK17"/>
  <c r="DL17"/>
  <c r="DM17"/>
  <c r="DN17"/>
  <c r="DO17"/>
  <c r="DP17"/>
  <c r="DQ17"/>
  <c r="DR17"/>
  <c r="CE18"/>
  <c r="CF18"/>
  <c r="CG18"/>
  <c r="CH18"/>
  <c r="CI18"/>
  <c r="CJ18"/>
  <c r="CK18"/>
  <c r="CL18"/>
  <c r="CM18"/>
  <c r="CN18"/>
  <c r="CO18"/>
  <c r="CP18"/>
  <c r="CQ18"/>
  <c r="CR18"/>
  <c r="CS18"/>
  <c r="CT18"/>
  <c r="CU18"/>
  <c r="CV18"/>
  <c r="CW18"/>
  <c r="CX18"/>
  <c r="CY18"/>
  <c r="CZ18"/>
  <c r="DA18"/>
  <c r="DB18"/>
  <c r="DC18"/>
  <c r="DD18"/>
  <c r="DE18"/>
  <c r="DF18"/>
  <c r="DG18"/>
  <c r="DH18"/>
  <c r="DI18"/>
  <c r="DJ18"/>
  <c r="DK18"/>
  <c r="DL18"/>
  <c r="DM18"/>
  <c r="DN18"/>
  <c r="DO18"/>
  <c r="DP18"/>
  <c r="DQ18"/>
  <c r="DR18"/>
  <c r="CE19"/>
  <c r="CF19"/>
  <c r="CG19"/>
  <c r="CH19"/>
  <c r="CI19"/>
  <c r="CJ19"/>
  <c r="CK19"/>
  <c r="CL19"/>
  <c r="CM19"/>
  <c r="CN19"/>
  <c r="CO19"/>
  <c r="CP19"/>
  <c r="CQ19"/>
  <c r="CR19"/>
  <c r="CS19"/>
  <c r="CT19"/>
  <c r="CU19"/>
  <c r="CV19"/>
  <c r="CW19"/>
  <c r="CX19"/>
  <c r="CY19"/>
  <c r="CZ19"/>
  <c r="DA19"/>
  <c r="DB19"/>
  <c r="DC19"/>
  <c r="DD19"/>
  <c r="DE19"/>
  <c r="DF19"/>
  <c r="DG19"/>
  <c r="DH19"/>
  <c r="DI19"/>
  <c r="DJ19"/>
  <c r="DK19"/>
  <c r="DL19"/>
  <c r="DM19"/>
  <c r="DN19"/>
  <c r="DO19"/>
  <c r="DP19"/>
  <c r="DQ19"/>
  <c r="DR19"/>
  <c r="CE20"/>
  <c r="CF20"/>
  <c r="CG20"/>
  <c r="CH20"/>
  <c r="CI20"/>
  <c r="CJ20"/>
  <c r="CK20"/>
  <c r="CL20"/>
  <c r="CM20"/>
  <c r="CN20"/>
  <c r="CO20"/>
  <c r="CP20"/>
  <c r="CQ20"/>
  <c r="CR20"/>
  <c r="CS20"/>
  <c r="CT20"/>
  <c r="CU20"/>
  <c r="CV20"/>
  <c r="CW20"/>
  <c r="CX20"/>
  <c r="CY20"/>
  <c r="CZ20"/>
  <c r="DA20"/>
  <c r="DB20"/>
  <c r="DC20"/>
  <c r="DD20"/>
  <c r="DE20"/>
  <c r="DF20"/>
  <c r="DG20"/>
  <c r="DH20"/>
  <c r="DI20"/>
  <c r="DJ20"/>
  <c r="DK20"/>
  <c r="DL20"/>
  <c r="DM20"/>
  <c r="DN20"/>
  <c r="DO20"/>
  <c r="DP20"/>
  <c r="DQ20"/>
  <c r="DR20"/>
  <c r="CE21"/>
  <c r="CF21"/>
  <c r="CG21"/>
  <c r="CH21"/>
  <c r="CI21"/>
  <c r="CJ21"/>
  <c r="CK21"/>
  <c r="CL21"/>
  <c r="CM21"/>
  <c r="CN21"/>
  <c r="CO21"/>
  <c r="CP21"/>
  <c r="CQ21"/>
  <c r="CR21"/>
  <c r="CS21"/>
  <c r="CT21"/>
  <c r="CU21"/>
  <c r="CV21"/>
  <c r="CW21"/>
  <c r="CX21"/>
  <c r="CY21"/>
  <c r="CZ21"/>
  <c r="DA21"/>
  <c r="DB21"/>
  <c r="DC21"/>
  <c r="DD21"/>
  <c r="DE21"/>
  <c r="DF21"/>
  <c r="DG21"/>
  <c r="DH21"/>
  <c r="DI21"/>
  <c r="DJ21"/>
  <c r="DK21"/>
  <c r="DL21"/>
  <c r="DM21"/>
  <c r="DN21"/>
  <c r="DO21"/>
  <c r="DP21"/>
  <c r="DQ21"/>
  <c r="DR21"/>
  <c r="CE22"/>
  <c r="CF22"/>
  <c r="CG22"/>
  <c r="CH22"/>
  <c r="CI22"/>
  <c r="CJ22"/>
  <c r="CK22"/>
  <c r="CL22"/>
  <c r="CM22"/>
  <c r="CN22"/>
  <c r="CO22"/>
  <c r="CP22"/>
  <c r="CQ22"/>
  <c r="CR22"/>
  <c r="CS22"/>
  <c r="CT22"/>
  <c r="CU22"/>
  <c r="CV22"/>
  <c r="CW22"/>
  <c r="CX22"/>
  <c r="CY22"/>
  <c r="CZ22"/>
  <c r="DA22"/>
  <c r="DB22"/>
  <c r="DC22"/>
  <c r="DD22"/>
  <c r="DE22"/>
  <c r="DF22"/>
  <c r="DG22"/>
  <c r="DH22"/>
  <c r="DI22"/>
  <c r="DJ22"/>
  <c r="DK22"/>
  <c r="DL22"/>
  <c r="DM22"/>
  <c r="DN22"/>
  <c r="DO22"/>
  <c r="DP22"/>
  <c r="DQ22"/>
  <c r="DR22"/>
  <c r="CE23"/>
  <c r="CF23"/>
  <c r="CG23"/>
  <c r="CH23"/>
  <c r="CI23"/>
  <c r="CJ23"/>
  <c r="CK23"/>
  <c r="CL23"/>
  <c r="CM23"/>
  <c r="CN23"/>
  <c r="CO23"/>
  <c r="CP23"/>
  <c r="CQ23"/>
  <c r="CR23"/>
  <c r="CS23"/>
  <c r="CT23"/>
  <c r="CU23"/>
  <c r="CV23"/>
  <c r="CW23"/>
  <c r="CX23"/>
  <c r="CY23"/>
  <c r="CZ23"/>
  <c r="DA23"/>
  <c r="DB23"/>
  <c r="DC23"/>
  <c r="DD23"/>
  <c r="DE23"/>
  <c r="DF23"/>
  <c r="DG23"/>
  <c r="DH23"/>
  <c r="DI23"/>
  <c r="DJ23"/>
  <c r="DK23"/>
  <c r="DL23"/>
  <c r="DM23"/>
  <c r="DN23"/>
  <c r="DO23"/>
  <c r="DP23"/>
  <c r="DQ23"/>
  <c r="DR23"/>
  <c r="CE24"/>
  <c r="CF24"/>
  <c r="CG24"/>
  <c r="CH24"/>
  <c r="CI24"/>
  <c r="CJ24"/>
  <c r="CK24"/>
  <c r="CL24"/>
  <c r="CM24"/>
  <c r="CN24"/>
  <c r="CO24"/>
  <c r="CP24"/>
  <c r="CQ24"/>
  <c r="CR24"/>
  <c r="CS24"/>
  <c r="CT24"/>
  <c r="CU24"/>
  <c r="CV24"/>
  <c r="CW24"/>
  <c r="CX24"/>
  <c r="CY24"/>
  <c r="CZ24"/>
  <c r="DA24"/>
  <c r="DB24"/>
  <c r="DC24"/>
  <c r="DD24"/>
  <c r="DE24"/>
  <c r="DF24"/>
  <c r="DG24"/>
  <c r="DH24"/>
  <c r="DI24"/>
  <c r="DJ24"/>
  <c r="DK24"/>
  <c r="DL24"/>
  <c r="DM24"/>
  <c r="DN24"/>
  <c r="DO24"/>
  <c r="DP24"/>
  <c r="DQ24"/>
  <c r="DR24"/>
  <c r="CE25"/>
  <c r="CF25"/>
  <c r="CG25"/>
  <c r="CH25"/>
  <c r="CI25"/>
  <c r="CJ25"/>
  <c r="CK25"/>
  <c r="CL25"/>
  <c r="CM25"/>
  <c r="CN25"/>
  <c r="CO25"/>
  <c r="CP25"/>
  <c r="CQ25"/>
  <c r="CR25"/>
  <c r="CS25"/>
  <c r="CT25"/>
  <c r="CU25"/>
  <c r="CV25"/>
  <c r="CW25"/>
  <c r="CX25"/>
  <c r="CY25"/>
  <c r="CZ25"/>
  <c r="DA25"/>
  <c r="DB25"/>
  <c r="DC25"/>
  <c r="DD25"/>
  <c r="DE25"/>
  <c r="DF25"/>
  <c r="DG25"/>
  <c r="DH25"/>
  <c r="DI25"/>
  <c r="DJ25"/>
  <c r="DK25"/>
  <c r="DL25"/>
  <c r="DM25"/>
  <c r="DN25"/>
  <c r="DO25"/>
  <c r="DP25"/>
  <c r="DQ25"/>
  <c r="DR25"/>
  <c r="CE26"/>
  <c r="CF26"/>
  <c r="CG26"/>
  <c r="CH26"/>
  <c r="CI26"/>
  <c r="CJ26"/>
  <c r="CK26"/>
  <c r="CL26"/>
  <c r="CM26"/>
  <c r="CN26"/>
  <c r="CO26"/>
  <c r="CP26"/>
  <c r="CQ26"/>
  <c r="CR26"/>
  <c r="CS26"/>
  <c r="CT26"/>
  <c r="CU26"/>
  <c r="CV26"/>
  <c r="CW26"/>
  <c r="CX26"/>
  <c r="CY26"/>
  <c r="CZ26"/>
  <c r="DA26"/>
  <c r="DB26"/>
  <c r="DC26"/>
  <c r="DD26"/>
  <c r="DE26"/>
  <c r="DF26"/>
  <c r="DG26"/>
  <c r="DH26"/>
  <c r="DI26"/>
  <c r="DJ26"/>
  <c r="DK26"/>
  <c r="DL26"/>
  <c r="DM26"/>
  <c r="DN26"/>
  <c r="DO26"/>
  <c r="DP26"/>
  <c r="DQ26"/>
  <c r="DR26"/>
  <c r="CE27"/>
  <c r="CF27"/>
  <c r="CG27"/>
  <c r="CH27"/>
  <c r="CI27"/>
  <c r="CJ27"/>
  <c r="CK27"/>
  <c r="CL27"/>
  <c r="CM27"/>
  <c r="CN27"/>
  <c r="CO27"/>
  <c r="CP27"/>
  <c r="CQ27"/>
  <c r="CR27"/>
  <c r="CS27"/>
  <c r="CT27"/>
  <c r="CU27"/>
  <c r="CV27"/>
  <c r="CW27"/>
  <c r="CX27"/>
  <c r="CY27"/>
  <c r="CZ27"/>
  <c r="DA27"/>
  <c r="DB27"/>
  <c r="DC27"/>
  <c r="DD27"/>
  <c r="DE27"/>
  <c r="DF27"/>
  <c r="DG27"/>
  <c r="DH27"/>
  <c r="DI27"/>
  <c r="DJ27"/>
  <c r="DK27"/>
  <c r="DL27"/>
  <c r="DM27"/>
  <c r="DN27"/>
  <c r="DO27"/>
  <c r="DP27"/>
  <c r="DQ27"/>
  <c r="DR27"/>
  <c r="CE28"/>
  <c r="CF28"/>
  <c r="CG28"/>
  <c r="CH28"/>
  <c r="CI28"/>
  <c r="CJ28"/>
  <c r="CK28"/>
  <c r="CL28"/>
  <c r="CM28"/>
  <c r="CN28"/>
  <c r="CO28"/>
  <c r="CP28"/>
  <c r="CQ28"/>
  <c r="CR28"/>
  <c r="CS28"/>
  <c r="CT28"/>
  <c r="CU28"/>
  <c r="CV28"/>
  <c r="CW28"/>
  <c r="CX28"/>
  <c r="CY28"/>
  <c r="CZ28"/>
  <c r="DA28"/>
  <c r="DB28"/>
  <c r="DC28"/>
  <c r="DD28"/>
  <c r="DE28"/>
  <c r="DF28"/>
  <c r="DG28"/>
  <c r="DH28"/>
  <c r="DI28"/>
  <c r="DJ28"/>
  <c r="DK28"/>
  <c r="DL28"/>
  <c r="DM28"/>
  <c r="DN28"/>
  <c r="DO28"/>
  <c r="DP28"/>
  <c r="DQ28"/>
  <c r="DR28"/>
  <c r="CE29"/>
  <c r="CF29"/>
  <c r="CG29"/>
  <c r="CH29"/>
  <c r="CI29"/>
  <c r="CJ29"/>
  <c r="CK29"/>
  <c r="CL29"/>
  <c r="CM29"/>
  <c r="CN29"/>
  <c r="CO29"/>
  <c r="CP29"/>
  <c r="CQ29"/>
  <c r="CR29"/>
  <c r="CS29"/>
  <c r="CT29"/>
  <c r="CU29"/>
  <c r="CV29"/>
  <c r="CW29"/>
  <c r="CX29"/>
  <c r="CY29"/>
  <c r="CZ29"/>
  <c r="DA29"/>
  <c r="DB29"/>
  <c r="DC29"/>
  <c r="DD29"/>
  <c r="DE29"/>
  <c r="DF29"/>
  <c r="DG29"/>
  <c r="DH29"/>
  <c r="DI29"/>
  <c r="DJ29"/>
  <c r="DK29"/>
  <c r="DL29"/>
  <c r="DM29"/>
  <c r="DN29"/>
  <c r="DO29"/>
  <c r="DP29"/>
  <c r="DQ29"/>
  <c r="DR29"/>
  <c r="CE30"/>
  <c r="CF30"/>
  <c r="CG30"/>
  <c r="CH30"/>
  <c r="CI30"/>
  <c r="CJ30"/>
  <c r="CK30"/>
  <c r="CL30"/>
  <c r="CM30"/>
  <c r="CN30"/>
  <c r="CO30"/>
  <c r="CP30"/>
  <c r="CQ30"/>
  <c r="CR30"/>
  <c r="CS30"/>
  <c r="CT30"/>
  <c r="CU30"/>
  <c r="CV30"/>
  <c r="CW30"/>
  <c r="CX30"/>
  <c r="CY30"/>
  <c r="CZ30"/>
  <c r="DA30"/>
  <c r="DB30"/>
  <c r="DC30"/>
  <c r="DD30"/>
  <c r="DE30"/>
  <c r="DF30"/>
  <c r="DG30"/>
  <c r="DH30"/>
  <c r="DI30"/>
  <c r="DJ30"/>
  <c r="DK30"/>
  <c r="DL30"/>
  <c r="DM30"/>
  <c r="DN30"/>
  <c r="DO30"/>
  <c r="DP30"/>
  <c r="DQ30"/>
  <c r="DR30"/>
  <c r="CE31"/>
  <c r="CF31"/>
  <c r="CG31"/>
  <c r="CH31"/>
  <c r="CI31"/>
  <c r="CJ31"/>
  <c r="CK31"/>
  <c r="CL31"/>
  <c r="CM31"/>
  <c r="CN31"/>
  <c r="CO31"/>
  <c r="CP31"/>
  <c r="CQ31"/>
  <c r="CR31"/>
  <c r="CS31"/>
  <c r="CT31"/>
  <c r="CU31"/>
  <c r="CV31"/>
  <c r="CW31"/>
  <c r="CX31"/>
  <c r="CY31"/>
  <c r="CZ31"/>
  <c r="DA31"/>
  <c r="DB31"/>
  <c r="DC31"/>
  <c r="DD31"/>
  <c r="DE31"/>
  <c r="DF31"/>
  <c r="DG31"/>
  <c r="DH31"/>
  <c r="DI31"/>
  <c r="DJ31"/>
  <c r="DK31"/>
  <c r="DL31"/>
  <c r="DM31"/>
  <c r="DN31"/>
  <c r="DO31"/>
  <c r="DP31"/>
  <c r="DQ31"/>
  <c r="DR31"/>
  <c r="CE32"/>
  <c r="CF32"/>
  <c r="CG32"/>
  <c r="CH32"/>
  <c r="CI32"/>
  <c r="CJ32"/>
  <c r="CK32"/>
  <c r="CL32"/>
  <c r="CM32"/>
  <c r="CN32"/>
  <c r="CO32"/>
  <c r="CP32"/>
  <c r="CQ32"/>
  <c r="CR32"/>
  <c r="CS32"/>
  <c r="CT32"/>
  <c r="CU32"/>
  <c r="CV32"/>
  <c r="CW32"/>
  <c r="CX32"/>
  <c r="CY32"/>
  <c r="CZ32"/>
  <c r="DA32"/>
  <c r="DB32"/>
  <c r="DC32"/>
  <c r="DD32"/>
  <c r="DE32"/>
  <c r="DF32"/>
  <c r="DG32"/>
  <c r="DH32"/>
  <c r="DI32"/>
  <c r="DJ32"/>
  <c r="DK32"/>
  <c r="DL32"/>
  <c r="DM32"/>
  <c r="DN32"/>
  <c r="DO32"/>
  <c r="DP32"/>
  <c r="DQ32"/>
  <c r="DR32"/>
  <c r="CE33"/>
  <c r="CF33"/>
  <c r="CG33"/>
  <c r="CH33"/>
  <c r="CI33"/>
  <c r="CJ33"/>
  <c r="CK33"/>
  <c r="CL33"/>
  <c r="CM33"/>
  <c r="CN33"/>
  <c r="CO33"/>
  <c r="CP33"/>
  <c r="CQ33"/>
  <c r="CR33"/>
  <c r="CS33"/>
  <c r="CT33"/>
  <c r="CU33"/>
  <c r="CV33"/>
  <c r="CW33"/>
  <c r="CX33"/>
  <c r="CY33"/>
  <c r="CZ33"/>
  <c r="DA33"/>
  <c r="DB33"/>
  <c r="DC33"/>
  <c r="DD33"/>
  <c r="DE33"/>
  <c r="DF33"/>
  <c r="DG33"/>
  <c r="DH33"/>
  <c r="DI33"/>
  <c r="DJ33"/>
  <c r="DK33"/>
  <c r="DL33"/>
  <c r="DM33"/>
  <c r="DN33"/>
  <c r="DO33"/>
  <c r="DP33"/>
  <c r="DQ33"/>
  <c r="DR33"/>
  <c r="CE34"/>
  <c r="CF34"/>
  <c r="CG34"/>
  <c r="CH34"/>
  <c r="CI34"/>
  <c r="CJ34"/>
  <c r="CK34"/>
  <c r="CL34"/>
  <c r="CM34"/>
  <c r="CN34"/>
  <c r="CO34"/>
  <c r="CP34"/>
  <c r="CQ34"/>
  <c r="CR34"/>
  <c r="CS34"/>
  <c r="CT34"/>
  <c r="CU34"/>
  <c r="CV34"/>
  <c r="CW34"/>
  <c r="CX34"/>
  <c r="CY34"/>
  <c r="CZ34"/>
  <c r="DA34"/>
  <c r="DB34"/>
  <c r="DC34"/>
  <c r="DD34"/>
  <c r="DE34"/>
  <c r="DF34"/>
  <c r="DG34"/>
  <c r="DH34"/>
  <c r="DI34"/>
  <c r="DJ34"/>
  <c r="DK34"/>
  <c r="DL34"/>
  <c r="DM34"/>
  <c r="DN34"/>
  <c r="DO34"/>
  <c r="DP34"/>
  <c r="DQ34"/>
  <c r="DR34"/>
  <c r="CE35"/>
  <c r="CF35"/>
  <c r="CG35"/>
  <c r="CH35"/>
  <c r="CI35"/>
  <c r="CJ35"/>
  <c r="CK35"/>
  <c r="CL35"/>
  <c r="CM35"/>
  <c r="CN35"/>
  <c r="CO35"/>
  <c r="CP35"/>
  <c r="CQ35"/>
  <c r="CR35"/>
  <c r="CS35"/>
  <c r="CT35"/>
  <c r="CU35"/>
  <c r="CV35"/>
  <c r="CW35"/>
  <c r="CX35"/>
  <c r="CY35"/>
  <c r="CZ35"/>
  <c r="DA35"/>
  <c r="DB35"/>
  <c r="DC35"/>
  <c r="DD35"/>
  <c r="DE35"/>
  <c r="DF35"/>
  <c r="DG35"/>
  <c r="DH35"/>
  <c r="DI35"/>
  <c r="DJ35"/>
  <c r="DK35"/>
  <c r="DL35"/>
  <c r="DM35"/>
  <c r="DN35"/>
  <c r="DO35"/>
  <c r="DP35"/>
  <c r="DQ35"/>
  <c r="DR35"/>
  <c r="CE36"/>
  <c r="CF36"/>
  <c r="CG36"/>
  <c r="CH36"/>
  <c r="CI36"/>
  <c r="CJ36"/>
  <c r="CK36"/>
  <c r="CL36"/>
  <c r="CM36"/>
  <c r="CN36"/>
  <c r="CO36"/>
  <c r="CP36"/>
  <c r="CQ36"/>
  <c r="CR36"/>
  <c r="CS36"/>
  <c r="CT36"/>
  <c r="CU36"/>
  <c r="CV36"/>
  <c r="CW36"/>
  <c r="CX36"/>
  <c r="CY36"/>
  <c r="CZ36"/>
  <c r="DA36"/>
  <c r="DB36"/>
  <c r="DC36"/>
  <c r="DD36"/>
  <c r="DE36"/>
  <c r="DF36"/>
  <c r="DG36"/>
  <c r="DH36"/>
  <c r="DI36"/>
  <c r="DJ36"/>
  <c r="DK36"/>
  <c r="DL36"/>
  <c r="DM36"/>
  <c r="DN36"/>
  <c r="DO36"/>
  <c r="DP36"/>
  <c r="DQ36"/>
  <c r="DR36"/>
  <c r="CE37"/>
  <c r="CF37"/>
  <c r="CG37"/>
  <c r="CH37"/>
  <c r="CI37"/>
  <c r="CJ37"/>
  <c r="CK37"/>
  <c r="CL37"/>
  <c r="CM37"/>
  <c r="CN37"/>
  <c r="CO37"/>
  <c r="CP37"/>
  <c r="CQ37"/>
  <c r="CR37"/>
  <c r="CS37"/>
  <c r="CT37"/>
  <c r="CU37"/>
  <c r="CV37"/>
  <c r="CW37"/>
  <c r="CX37"/>
  <c r="CY37"/>
  <c r="CZ37"/>
  <c r="DA37"/>
  <c r="DB37"/>
  <c r="DC37"/>
  <c r="DD37"/>
  <c r="DE37"/>
  <c r="DF37"/>
  <c r="DG37"/>
  <c r="DH37"/>
  <c r="DI37"/>
  <c r="DJ37"/>
  <c r="DK37"/>
  <c r="DL37"/>
  <c r="DM37"/>
  <c r="DN37"/>
  <c r="DO37"/>
  <c r="DP37"/>
  <c r="DQ37"/>
  <c r="DR37"/>
  <c r="CE38"/>
  <c r="CF38"/>
  <c r="CG38"/>
  <c r="CH38"/>
  <c r="CI38"/>
  <c r="CJ38"/>
  <c r="CK38"/>
  <c r="CL38"/>
  <c r="CM38"/>
  <c r="CN38"/>
  <c r="CO38"/>
  <c r="CP38"/>
  <c r="CQ38"/>
  <c r="CR38"/>
  <c r="CS38"/>
  <c r="CT38"/>
  <c r="CU38"/>
  <c r="CV38"/>
  <c r="CW38"/>
  <c r="CX38"/>
  <c r="CY38"/>
  <c r="CZ38"/>
  <c r="DA38"/>
  <c r="DB38"/>
  <c r="DC38"/>
  <c r="DD38"/>
  <c r="DE38"/>
  <c r="DF38"/>
  <c r="DG38"/>
  <c r="DH38"/>
  <c r="DI38"/>
  <c r="DJ38"/>
  <c r="DK38"/>
  <c r="DL38"/>
  <c r="DM38"/>
  <c r="DN38"/>
  <c r="DO38"/>
  <c r="DP38"/>
  <c r="DQ38"/>
  <c r="DR38"/>
  <c r="CE39"/>
  <c r="CF39"/>
  <c r="CG39"/>
  <c r="CH39"/>
  <c r="CI39"/>
  <c r="CJ39"/>
  <c r="CK39"/>
  <c r="CL39"/>
  <c r="CM39"/>
  <c r="CN39"/>
  <c r="CO39"/>
  <c r="CP39"/>
  <c r="CQ39"/>
  <c r="CR39"/>
  <c r="CS39"/>
  <c r="CT39"/>
  <c r="CU39"/>
  <c r="CV39"/>
  <c r="CW39"/>
  <c r="CX39"/>
  <c r="CY39"/>
  <c r="CZ39"/>
  <c r="DA39"/>
  <c r="DB39"/>
  <c r="DC39"/>
  <c r="DD39"/>
  <c r="DE39"/>
  <c r="DF39"/>
  <c r="DG39"/>
  <c r="DH39"/>
  <c r="DI39"/>
  <c r="DJ39"/>
  <c r="DK39"/>
  <c r="DL39"/>
  <c r="DM39"/>
  <c r="DN39"/>
  <c r="DO39"/>
  <c r="DP39"/>
  <c r="DQ39"/>
  <c r="DR39"/>
  <c r="CE40"/>
  <c r="CF40"/>
  <c r="CG40"/>
  <c r="CH40"/>
  <c r="CI40"/>
  <c r="CJ40"/>
  <c r="CK40"/>
  <c r="CL40"/>
  <c r="CM40"/>
  <c r="CN40"/>
  <c r="CO40"/>
  <c r="CP40"/>
  <c r="CQ40"/>
  <c r="CR40"/>
  <c r="CS40"/>
  <c r="CT40"/>
  <c r="CU40"/>
  <c r="CV40"/>
  <c r="CW40"/>
  <c r="CX40"/>
  <c r="CY40"/>
  <c r="CZ40"/>
  <c r="DA40"/>
  <c r="DB40"/>
  <c r="DC40"/>
  <c r="DD40"/>
  <c r="DE40"/>
  <c r="DF40"/>
  <c r="DG40"/>
  <c r="DH40"/>
  <c r="DI40"/>
  <c r="DJ40"/>
  <c r="DK40"/>
  <c r="DL40"/>
  <c r="DM40"/>
  <c r="DN40"/>
  <c r="DO40"/>
  <c r="DP40"/>
  <c r="DQ40"/>
  <c r="DR40"/>
  <c r="CE41"/>
  <c r="CF41"/>
  <c r="CG41"/>
  <c r="CH41"/>
  <c r="CI41"/>
  <c r="CJ41"/>
  <c r="CK41"/>
  <c r="CL41"/>
  <c r="CM41"/>
  <c r="CN41"/>
  <c r="CO41"/>
  <c r="CP41"/>
  <c r="CQ41"/>
  <c r="CR41"/>
  <c r="CS41"/>
  <c r="CT41"/>
  <c r="CU41"/>
  <c r="CV41"/>
  <c r="CW41"/>
  <c r="CX41"/>
  <c r="CY41"/>
  <c r="CZ41"/>
  <c r="DA41"/>
  <c r="DB41"/>
  <c r="DC41"/>
  <c r="DD41"/>
  <c r="DE41"/>
  <c r="DF41"/>
  <c r="DG41"/>
  <c r="DH41"/>
  <c r="DI41"/>
  <c r="DJ41"/>
  <c r="DK41"/>
  <c r="DL41"/>
  <c r="DM41"/>
  <c r="DN41"/>
  <c r="DO41"/>
  <c r="DP41"/>
  <c r="DQ41"/>
  <c r="DR41"/>
  <c r="CE42"/>
  <c r="CF42"/>
  <c r="CG42"/>
  <c r="CH42"/>
  <c r="CI42"/>
  <c r="CJ42"/>
  <c r="CK42"/>
  <c r="CL42"/>
  <c r="CM42"/>
  <c r="CN42"/>
  <c r="CO42"/>
  <c r="CP42"/>
  <c r="CQ42"/>
  <c r="CR42"/>
  <c r="CS42"/>
  <c r="CT42"/>
  <c r="CU42"/>
  <c r="CV42"/>
  <c r="CW42"/>
  <c r="CX42"/>
  <c r="CY42"/>
  <c r="CZ42"/>
  <c r="DA42"/>
  <c r="DB42"/>
  <c r="DC42"/>
  <c r="DD42"/>
  <c r="DE42"/>
  <c r="DF42"/>
  <c r="DG42"/>
  <c r="DH42"/>
  <c r="DI42"/>
  <c r="DJ42"/>
  <c r="DK42"/>
  <c r="DL42"/>
  <c r="DM42"/>
  <c r="DN42"/>
  <c r="DO42"/>
  <c r="DP42"/>
  <c r="DQ42"/>
  <c r="DR42"/>
  <c r="CE43"/>
  <c r="CF43"/>
  <c r="CG43"/>
  <c r="CH43"/>
  <c r="CI43"/>
  <c r="CJ43"/>
  <c r="CK43"/>
  <c r="CL43"/>
  <c r="CM43"/>
  <c r="CN43"/>
  <c r="CO43"/>
  <c r="CP43"/>
  <c r="CQ43"/>
  <c r="CR43"/>
  <c r="CS43"/>
  <c r="CT43"/>
  <c r="CU43"/>
  <c r="CV43"/>
  <c r="CW43"/>
  <c r="CX43"/>
  <c r="CY43"/>
  <c r="CZ43"/>
  <c r="DA43"/>
  <c r="DB43"/>
  <c r="DC43"/>
  <c r="DD43"/>
  <c r="DE43"/>
  <c r="DF43"/>
  <c r="DG43"/>
  <c r="DH43"/>
  <c r="DI43"/>
  <c r="DJ43"/>
  <c r="DK43"/>
  <c r="DL43"/>
  <c r="DM43"/>
  <c r="DN43"/>
  <c r="DO43"/>
  <c r="DP43"/>
  <c r="DQ43"/>
  <c r="DR43"/>
  <c r="CE44"/>
  <c r="CF44"/>
  <c r="CG44"/>
  <c r="CH44"/>
  <c r="CI44"/>
  <c r="CJ44"/>
  <c r="CK44"/>
  <c r="CL44"/>
  <c r="CM44"/>
  <c r="CN44"/>
  <c r="CO44"/>
  <c r="CP44"/>
  <c r="CQ44"/>
  <c r="CR44"/>
  <c r="CS44"/>
  <c r="CT44"/>
  <c r="CU44"/>
  <c r="CV44"/>
  <c r="CW44"/>
  <c r="CX44"/>
  <c r="CY44"/>
  <c r="CZ44"/>
  <c r="DA44"/>
  <c r="DB44"/>
  <c r="DC44"/>
  <c r="DD44"/>
  <c r="DE44"/>
  <c r="DF44"/>
  <c r="DG44"/>
  <c r="DH44"/>
  <c r="DI44"/>
  <c r="DJ44"/>
  <c r="DK44"/>
  <c r="DL44"/>
  <c r="DM44"/>
  <c r="DN44"/>
  <c r="DO44"/>
  <c r="DP44"/>
  <c r="DQ44"/>
  <c r="DR44"/>
  <c r="CE45"/>
  <c r="CF45"/>
  <c r="CG45"/>
  <c r="CH45"/>
  <c r="CI45"/>
  <c r="CJ45"/>
  <c r="CK45"/>
  <c r="CL45"/>
  <c r="CM45"/>
  <c r="CN45"/>
  <c r="CO45"/>
  <c r="CP45"/>
  <c r="CQ45"/>
  <c r="CR45"/>
  <c r="CS45"/>
  <c r="CT45"/>
  <c r="CU45"/>
  <c r="CV45"/>
  <c r="CW45"/>
  <c r="CX45"/>
  <c r="CY45"/>
  <c r="CZ45"/>
  <c r="DA45"/>
  <c r="DB45"/>
  <c r="DC45"/>
  <c r="DD45"/>
  <c r="DE45"/>
  <c r="DF45"/>
  <c r="DG45"/>
  <c r="DH45"/>
  <c r="DI45"/>
  <c r="DJ45"/>
  <c r="DK45"/>
  <c r="DL45"/>
  <c r="DM45"/>
  <c r="DN45"/>
  <c r="DO45"/>
  <c r="DP45"/>
  <c r="DQ45"/>
  <c r="DR45"/>
  <c r="CE46"/>
  <c r="CF46"/>
  <c r="CG46"/>
  <c r="CH46"/>
  <c r="CI46"/>
  <c r="CJ46"/>
  <c r="CK46"/>
  <c r="CL46"/>
  <c r="CM46"/>
  <c r="CN46"/>
  <c r="CO46"/>
  <c r="CP46"/>
  <c r="CQ46"/>
  <c r="CR46"/>
  <c r="CS46"/>
  <c r="CT46"/>
  <c r="CU46"/>
  <c r="CV46"/>
  <c r="CW46"/>
  <c r="CX46"/>
  <c r="CY46"/>
  <c r="CZ46"/>
  <c r="DA46"/>
  <c r="DB46"/>
  <c r="DC46"/>
  <c r="DD46"/>
  <c r="DE46"/>
  <c r="DF46"/>
  <c r="DG46"/>
  <c r="DH46"/>
  <c r="DI46"/>
  <c r="DJ46"/>
  <c r="DK46"/>
  <c r="DL46"/>
  <c r="DM46"/>
  <c r="DN46"/>
  <c r="DO46"/>
  <c r="DP46"/>
  <c r="DQ46"/>
  <c r="DR46"/>
  <c r="CE47"/>
  <c r="CF47"/>
  <c r="CG47"/>
  <c r="CH47"/>
  <c r="CI47"/>
  <c r="CJ47"/>
  <c r="CK47"/>
  <c r="CL47"/>
  <c r="CM47"/>
  <c r="CN47"/>
  <c r="CO47"/>
  <c r="CP47"/>
  <c r="CQ47"/>
  <c r="CR47"/>
  <c r="CS47"/>
  <c r="CT47"/>
  <c r="CU47"/>
  <c r="CV47"/>
  <c r="CW47"/>
  <c r="CX47"/>
  <c r="CY47"/>
  <c r="CZ47"/>
  <c r="DA47"/>
  <c r="DB47"/>
  <c r="DC47"/>
  <c r="DD47"/>
  <c r="DE47"/>
  <c r="DF47"/>
  <c r="DG47"/>
  <c r="DH47"/>
  <c r="DI47"/>
  <c r="DJ47"/>
  <c r="DK47"/>
  <c r="DL47"/>
  <c r="DM47"/>
  <c r="DN47"/>
  <c r="DO47"/>
  <c r="DP47"/>
  <c r="DQ47"/>
  <c r="DR47"/>
  <c r="CE48"/>
  <c r="CF48"/>
  <c r="CG48"/>
  <c r="CH48"/>
  <c r="CI48"/>
  <c r="CJ48"/>
  <c r="CK48"/>
  <c r="CL48"/>
  <c r="CM48"/>
  <c r="CN48"/>
  <c r="CO48"/>
  <c r="CP48"/>
  <c r="CQ48"/>
  <c r="CR48"/>
  <c r="CS48"/>
  <c r="CT48"/>
  <c r="CU48"/>
  <c r="CV48"/>
  <c r="CW48"/>
  <c r="CX48"/>
  <c r="CY48"/>
  <c r="CZ48"/>
  <c r="DA48"/>
  <c r="DB48"/>
  <c r="DC48"/>
  <c r="DD48"/>
  <c r="DE48"/>
  <c r="DF48"/>
  <c r="DG48"/>
  <c r="DH48"/>
  <c r="DI48"/>
  <c r="DJ48"/>
  <c r="DK48"/>
  <c r="DL48"/>
  <c r="DM48"/>
  <c r="DN48"/>
  <c r="DO48"/>
  <c r="DP48"/>
  <c r="DQ48"/>
  <c r="DR48"/>
  <c r="CE49"/>
  <c r="CF49"/>
  <c r="CG49"/>
  <c r="CH49"/>
  <c r="CI49"/>
  <c r="CJ49"/>
  <c r="CK49"/>
  <c r="CL49"/>
  <c r="CM49"/>
  <c r="CN49"/>
  <c r="CO49"/>
  <c r="CP49"/>
  <c r="CQ49"/>
  <c r="CR49"/>
  <c r="CS49"/>
  <c r="CT49"/>
  <c r="CU49"/>
  <c r="CV49"/>
  <c r="CW49"/>
  <c r="CX49"/>
  <c r="CY49"/>
  <c r="CZ49"/>
  <c r="DA49"/>
  <c r="DB49"/>
  <c r="DC49"/>
  <c r="DD49"/>
  <c r="DE49"/>
  <c r="DF49"/>
  <c r="DG49"/>
  <c r="DH49"/>
  <c r="DI49"/>
  <c r="DJ49"/>
  <c r="DK49"/>
  <c r="DL49"/>
  <c r="DM49"/>
  <c r="DN49"/>
  <c r="DO49"/>
  <c r="DP49"/>
  <c r="DQ49"/>
  <c r="DR49"/>
  <c r="CE50"/>
  <c r="CF50"/>
  <c r="CG50"/>
  <c r="CH50"/>
  <c r="CI50"/>
  <c r="CJ50"/>
  <c r="CK50"/>
  <c r="CL50"/>
  <c r="CM50"/>
  <c r="CN50"/>
  <c r="CO50"/>
  <c r="CP50"/>
  <c r="CQ50"/>
  <c r="CR50"/>
  <c r="CS50"/>
  <c r="CT50"/>
  <c r="CU50"/>
  <c r="CV50"/>
  <c r="CW50"/>
  <c r="CX50"/>
  <c r="CY50"/>
  <c r="CZ50"/>
  <c r="DA50"/>
  <c r="DB50"/>
  <c r="DC50"/>
  <c r="DD50"/>
  <c r="DE50"/>
  <c r="DF50"/>
  <c r="DG50"/>
  <c r="DH50"/>
  <c r="DI50"/>
  <c r="DJ50"/>
  <c r="DK50"/>
  <c r="DL50"/>
  <c r="DM50"/>
  <c r="DN50"/>
  <c r="DO50"/>
  <c r="DP50"/>
  <c r="DQ50"/>
  <c r="DR50"/>
  <c r="CE51"/>
  <c r="CF51"/>
  <c r="CG51"/>
  <c r="CH51"/>
  <c r="CI51"/>
  <c r="CJ51"/>
  <c r="CK51"/>
  <c r="CL51"/>
  <c r="CM51"/>
  <c r="CN51"/>
  <c r="CO51"/>
  <c r="CP51"/>
  <c r="CQ51"/>
  <c r="CR51"/>
  <c r="CS51"/>
  <c r="CT51"/>
  <c r="CU51"/>
  <c r="CV51"/>
  <c r="CW51"/>
  <c r="CX51"/>
  <c r="CY51"/>
  <c r="CZ51"/>
  <c r="DA51"/>
  <c r="DB51"/>
  <c r="DC51"/>
  <c r="DD51"/>
  <c r="DE51"/>
  <c r="DF51"/>
  <c r="DG51"/>
  <c r="DH51"/>
  <c r="DI51"/>
  <c r="DJ51"/>
  <c r="DK51"/>
  <c r="DL51"/>
  <c r="DM51"/>
  <c r="DN51"/>
  <c r="DO51"/>
  <c r="DP51"/>
  <c r="DQ51"/>
  <c r="DR51"/>
  <c r="CE52"/>
  <c r="CF52"/>
  <c r="CG52"/>
  <c r="CH52"/>
  <c r="CI52"/>
  <c r="CJ52"/>
  <c r="CK52"/>
  <c r="CL52"/>
  <c r="CM52"/>
  <c r="CN52"/>
  <c r="CO52"/>
  <c r="CP52"/>
  <c r="CQ52"/>
  <c r="CR52"/>
  <c r="CS52"/>
  <c r="CT52"/>
  <c r="CU52"/>
  <c r="CV52"/>
  <c r="CW52"/>
  <c r="CX52"/>
  <c r="CY52"/>
  <c r="CZ52"/>
  <c r="DA52"/>
  <c r="DB52"/>
  <c r="DC52"/>
  <c r="DD52"/>
  <c r="DE52"/>
  <c r="DF52"/>
  <c r="DG52"/>
  <c r="DH52"/>
  <c r="DI52"/>
  <c r="DJ52"/>
  <c r="DK52"/>
  <c r="DL52"/>
  <c r="DM52"/>
  <c r="DN52"/>
  <c r="DO52"/>
  <c r="DP52"/>
  <c r="DQ52"/>
  <c r="DR52"/>
  <c r="CE53"/>
  <c r="CF53"/>
  <c r="CG53"/>
  <c r="CH53"/>
  <c r="CI53"/>
  <c r="CJ53"/>
  <c r="CK53"/>
  <c r="CL53"/>
  <c r="CM53"/>
  <c r="CN53"/>
  <c r="CO53"/>
  <c r="CP53"/>
  <c r="CQ53"/>
  <c r="CR53"/>
  <c r="CS53"/>
  <c r="CT53"/>
  <c r="CU53"/>
  <c r="CV53"/>
  <c r="CW53"/>
  <c r="CX53"/>
  <c r="CY53"/>
  <c r="CZ53"/>
  <c r="DA53"/>
  <c r="DB53"/>
  <c r="DC53"/>
  <c r="DD53"/>
  <c r="DE53"/>
  <c r="DF53"/>
  <c r="DG53"/>
  <c r="DH53"/>
  <c r="DI53"/>
  <c r="DJ53"/>
  <c r="DK53"/>
  <c r="DL53"/>
  <c r="DM53"/>
  <c r="DN53"/>
  <c r="DO53"/>
  <c r="DP53"/>
  <c r="DQ53"/>
  <c r="DR53"/>
  <c r="CE54"/>
  <c r="CF54"/>
  <c r="CG54"/>
  <c r="CH54"/>
  <c r="CI54"/>
  <c r="CJ54"/>
  <c r="CK54"/>
  <c r="CL54"/>
  <c r="CM54"/>
  <c r="CN54"/>
  <c r="CO54"/>
  <c r="CP54"/>
  <c r="CQ54"/>
  <c r="CR54"/>
  <c r="CS54"/>
  <c r="CT54"/>
  <c r="CU54"/>
  <c r="CV54"/>
  <c r="CW54"/>
  <c r="CX54"/>
  <c r="CY54"/>
  <c r="CZ54"/>
  <c r="DA54"/>
  <c r="DB54"/>
  <c r="DC54"/>
  <c r="DD54"/>
  <c r="DE54"/>
  <c r="DF54"/>
  <c r="DG54"/>
  <c r="DH54"/>
  <c r="DI54"/>
  <c r="DJ54"/>
  <c r="DK54"/>
  <c r="DL54"/>
  <c r="DM54"/>
  <c r="DN54"/>
  <c r="DO54"/>
  <c r="DP54"/>
  <c r="DQ54"/>
  <c r="DR54"/>
  <c r="CE55"/>
  <c r="CF55"/>
  <c r="CG55"/>
  <c r="CH55"/>
  <c r="CI55"/>
  <c r="CJ55"/>
  <c r="CK55"/>
  <c r="CL55"/>
  <c r="CM55"/>
  <c r="CN55"/>
  <c r="CO55"/>
  <c r="CP55"/>
  <c r="CQ55"/>
  <c r="CR55"/>
  <c r="CS55"/>
  <c r="CT55"/>
  <c r="CU55"/>
  <c r="CV55"/>
  <c r="CW55"/>
  <c r="CX55"/>
  <c r="CY55"/>
  <c r="CZ55"/>
  <c r="DA55"/>
  <c r="DB55"/>
  <c r="DC55"/>
  <c r="DD55"/>
  <c r="DE55"/>
  <c r="DF55"/>
  <c r="DG55"/>
  <c r="DH55"/>
  <c r="DI55"/>
  <c r="DJ55"/>
  <c r="DK55"/>
  <c r="DL55"/>
  <c r="DM55"/>
  <c r="DN55"/>
  <c r="DO55"/>
  <c r="DP55"/>
  <c r="DQ55"/>
  <c r="DR55"/>
  <c r="CE56"/>
  <c r="CF56"/>
  <c r="CG56"/>
  <c r="CH56"/>
  <c r="CI56"/>
  <c r="CJ56"/>
  <c r="CK56"/>
  <c r="CL56"/>
  <c r="CM56"/>
  <c r="CN56"/>
  <c r="CO56"/>
  <c r="CP56"/>
  <c r="CQ56"/>
  <c r="CR56"/>
  <c r="CS56"/>
  <c r="CT56"/>
  <c r="CU56"/>
  <c r="CV56"/>
  <c r="CW56"/>
  <c r="CX56"/>
  <c r="CY56"/>
  <c r="CZ56"/>
  <c r="DA56"/>
  <c r="DB56"/>
  <c r="DC56"/>
  <c r="DD56"/>
  <c r="DE56"/>
  <c r="DF56"/>
  <c r="DG56"/>
  <c r="DH56"/>
  <c r="DI56"/>
  <c r="DJ56"/>
  <c r="DK56"/>
  <c r="DL56"/>
  <c r="DM56"/>
  <c r="DN56"/>
  <c r="DO56"/>
  <c r="DP56"/>
  <c r="DQ56"/>
  <c r="DR56"/>
  <c r="CE57"/>
  <c r="CF57"/>
  <c r="CG57"/>
  <c r="CH57"/>
  <c r="CI57"/>
  <c r="CJ57"/>
  <c r="CK57"/>
  <c r="CL57"/>
  <c r="CM57"/>
  <c r="CN57"/>
  <c r="CO57"/>
  <c r="CP57"/>
  <c r="CQ57"/>
  <c r="CR57"/>
  <c r="CS57"/>
  <c r="CT57"/>
  <c r="CU57"/>
  <c r="CV57"/>
  <c r="CW57"/>
  <c r="CX57"/>
  <c r="CY57"/>
  <c r="CZ57"/>
  <c r="DA57"/>
  <c r="DB57"/>
  <c r="DC57"/>
  <c r="DD57"/>
  <c r="DE57"/>
  <c r="DF57"/>
  <c r="DG57"/>
  <c r="DH57"/>
  <c r="DI57"/>
  <c r="DJ57"/>
  <c r="DK57"/>
  <c r="DL57"/>
  <c r="DM57"/>
  <c r="DN57"/>
  <c r="DO57"/>
  <c r="DP57"/>
  <c r="DQ57"/>
  <c r="DR57"/>
  <c r="CE58"/>
  <c r="CF58"/>
  <c r="CG58"/>
  <c r="CH58"/>
  <c r="CI58"/>
  <c r="CJ58"/>
  <c r="CK58"/>
  <c r="CL58"/>
  <c r="CM58"/>
  <c r="CN58"/>
  <c r="CO58"/>
  <c r="CP58"/>
  <c r="CQ58"/>
  <c r="CR58"/>
  <c r="CS58"/>
  <c r="CT58"/>
  <c r="CU58"/>
  <c r="CV58"/>
  <c r="CW58"/>
  <c r="CX58"/>
  <c r="CY58"/>
  <c r="CZ58"/>
  <c r="DA58"/>
  <c r="DB58"/>
  <c r="DC58"/>
  <c r="DD58"/>
  <c r="DE58"/>
  <c r="DF58"/>
  <c r="DG58"/>
  <c r="DH58"/>
  <c r="DI58"/>
  <c r="DJ58"/>
  <c r="DK58"/>
  <c r="DL58"/>
  <c r="DM58"/>
  <c r="DN58"/>
  <c r="DO58"/>
  <c r="DP58"/>
  <c r="DQ58"/>
  <c r="DR58"/>
  <c r="CE59"/>
  <c r="CF59"/>
  <c r="CG59"/>
  <c r="CH59"/>
  <c r="CI59"/>
  <c r="CJ59"/>
  <c r="CK59"/>
  <c r="CL59"/>
  <c r="CM59"/>
  <c r="CN59"/>
  <c r="CO59"/>
  <c r="CP59"/>
  <c r="CQ59"/>
  <c r="CR59"/>
  <c r="CS59"/>
  <c r="CT59"/>
  <c r="CU59"/>
  <c r="CV59"/>
  <c r="CW59"/>
  <c r="CX59"/>
  <c r="CY59"/>
  <c r="CZ59"/>
  <c r="DA59"/>
  <c r="DB59"/>
  <c r="DC59"/>
  <c r="DD59"/>
  <c r="DE59"/>
  <c r="DF59"/>
  <c r="DG59"/>
  <c r="DH59"/>
  <c r="DI59"/>
  <c r="DJ59"/>
  <c r="DK59"/>
  <c r="DL59"/>
  <c r="DM59"/>
  <c r="DN59"/>
  <c r="DO59"/>
  <c r="DP59"/>
  <c r="DQ59"/>
  <c r="DR59"/>
  <c r="CE60"/>
  <c r="CF60"/>
  <c r="CG60"/>
  <c r="CH60"/>
  <c r="CI60"/>
  <c r="CJ60"/>
  <c r="CK60"/>
  <c r="CL60"/>
  <c r="CM60"/>
  <c r="CN60"/>
  <c r="CO60"/>
  <c r="CP60"/>
  <c r="CQ60"/>
  <c r="CR60"/>
  <c r="CS60"/>
  <c r="CT60"/>
  <c r="CU60"/>
  <c r="CV60"/>
  <c r="CW60"/>
  <c r="CX60"/>
  <c r="CY60"/>
  <c r="CZ60"/>
  <c r="DA60"/>
  <c r="DB60"/>
  <c r="DC60"/>
  <c r="DD60"/>
  <c r="DE60"/>
  <c r="DF60"/>
  <c r="DG60"/>
  <c r="DH60"/>
  <c r="DI60"/>
  <c r="DJ60"/>
  <c r="DK60"/>
  <c r="DL60"/>
  <c r="DM60"/>
  <c r="DN60"/>
  <c r="DO60"/>
  <c r="DP60"/>
  <c r="DQ60"/>
  <c r="DR60"/>
  <c r="CE61"/>
  <c r="CF61"/>
  <c r="CG61"/>
  <c r="CH61"/>
  <c r="CI61"/>
  <c r="CJ61"/>
  <c r="CK61"/>
  <c r="CL61"/>
  <c r="CM61"/>
  <c r="CN61"/>
  <c r="CO61"/>
  <c r="CP61"/>
  <c r="CQ61"/>
  <c r="CR61"/>
  <c r="CS61"/>
  <c r="CT61"/>
  <c r="CU61"/>
  <c r="CV61"/>
  <c r="CW61"/>
  <c r="CX61"/>
  <c r="CY61"/>
  <c r="CZ61"/>
  <c r="DA61"/>
  <c r="DB61"/>
  <c r="DC61"/>
  <c r="DD61"/>
  <c r="DE61"/>
  <c r="DF61"/>
  <c r="DG61"/>
  <c r="DH61"/>
  <c r="DI61"/>
  <c r="DJ61"/>
  <c r="DK61"/>
  <c r="DL61"/>
  <c r="DM61"/>
  <c r="DN61"/>
  <c r="DO61"/>
  <c r="DP61"/>
  <c r="DQ61"/>
  <c r="DR61"/>
  <c r="CE62"/>
  <c r="CF62"/>
  <c r="CG62"/>
  <c r="CH62"/>
  <c r="CI62"/>
  <c r="CJ62"/>
  <c r="CK62"/>
  <c r="CL62"/>
  <c r="CM62"/>
  <c r="CN62"/>
  <c r="CO62"/>
  <c r="CP62"/>
  <c r="CQ62"/>
  <c r="CR62"/>
  <c r="CS62"/>
  <c r="CT62"/>
  <c r="CU62"/>
  <c r="CV62"/>
  <c r="CW62"/>
  <c r="CX62"/>
  <c r="CY62"/>
  <c r="CZ62"/>
  <c r="DA62"/>
  <c r="DB62"/>
  <c r="DC62"/>
  <c r="DD62"/>
  <c r="DE62"/>
  <c r="DF62"/>
  <c r="DG62"/>
  <c r="DH62"/>
  <c r="DI62"/>
  <c r="DJ62"/>
  <c r="DK62"/>
  <c r="DL62"/>
  <c r="DM62"/>
  <c r="DN62"/>
  <c r="DO62"/>
  <c r="DP62"/>
  <c r="DQ62"/>
  <c r="DR62"/>
  <c r="CE63"/>
  <c r="CF63"/>
  <c r="CG63"/>
  <c r="CH63"/>
  <c r="CI63"/>
  <c r="CJ63"/>
  <c r="CK63"/>
  <c r="CL63"/>
  <c r="CM63"/>
  <c r="CN63"/>
  <c r="CO63"/>
  <c r="CP63"/>
  <c r="CQ63"/>
  <c r="CR63"/>
  <c r="CS63"/>
  <c r="CT63"/>
  <c r="CU63"/>
  <c r="CV63"/>
  <c r="CW63"/>
  <c r="CX63"/>
  <c r="CY63"/>
  <c r="CZ63"/>
  <c r="DA63"/>
  <c r="DB63"/>
  <c r="DC63"/>
  <c r="DD63"/>
  <c r="DE63"/>
  <c r="DF63"/>
  <c r="DG63"/>
  <c r="DH63"/>
  <c r="DI63"/>
  <c r="DJ63"/>
  <c r="DK63"/>
  <c r="DL63"/>
  <c r="DM63"/>
  <c r="DN63"/>
  <c r="DO63"/>
  <c r="DP63"/>
  <c r="DQ63"/>
  <c r="DR63"/>
  <c r="CE64"/>
  <c r="CF64"/>
  <c r="CG64"/>
  <c r="CH64"/>
  <c r="CI64"/>
  <c r="CJ64"/>
  <c r="CK64"/>
  <c r="CL64"/>
  <c r="CM64"/>
  <c r="CN64"/>
  <c r="CO64"/>
  <c r="CP64"/>
  <c r="CQ64"/>
  <c r="CR64"/>
  <c r="CS64"/>
  <c r="CT64"/>
  <c r="CU64"/>
  <c r="CV64"/>
  <c r="CW64"/>
  <c r="CX64"/>
  <c r="CY64"/>
  <c r="CZ64"/>
  <c r="DA64"/>
  <c r="DB64"/>
  <c r="DC64"/>
  <c r="DD64"/>
  <c r="DE64"/>
  <c r="DF64"/>
  <c r="DG64"/>
  <c r="DH64"/>
  <c r="DI64"/>
  <c r="DJ64"/>
  <c r="DK64"/>
  <c r="DL64"/>
  <c r="DM64"/>
  <c r="DN64"/>
  <c r="DO64"/>
  <c r="DP64"/>
  <c r="DQ64"/>
  <c r="DR64"/>
  <c r="CE65"/>
  <c r="CF65"/>
  <c r="CG65"/>
  <c r="CH65"/>
  <c r="CI65"/>
  <c r="CJ65"/>
  <c r="CK65"/>
  <c r="CL65"/>
  <c r="CM65"/>
  <c r="CN65"/>
  <c r="CO65"/>
  <c r="CP65"/>
  <c r="CQ65"/>
  <c r="CR65"/>
  <c r="CS65"/>
  <c r="CT65"/>
  <c r="CU65"/>
  <c r="CV65"/>
  <c r="CW65"/>
  <c r="CX65"/>
  <c r="CY65"/>
  <c r="CZ65"/>
  <c r="DA65"/>
  <c r="DB65"/>
  <c r="DC65"/>
  <c r="DD65"/>
  <c r="DE65"/>
  <c r="DF65"/>
  <c r="DG65"/>
  <c r="DH65"/>
  <c r="DI65"/>
  <c r="DJ65"/>
  <c r="DK65"/>
  <c r="DL65"/>
  <c r="DM65"/>
  <c r="DN65"/>
  <c r="DO65"/>
  <c r="DP65"/>
  <c r="DQ65"/>
  <c r="DR65"/>
  <c r="CE66"/>
  <c r="CF66"/>
  <c r="CG66"/>
  <c r="CH66"/>
  <c r="CI66"/>
  <c r="CJ66"/>
  <c r="CK66"/>
  <c r="CL66"/>
  <c r="CM66"/>
  <c r="CN66"/>
  <c r="CO66"/>
  <c r="CP66"/>
  <c r="CQ66"/>
  <c r="CR66"/>
  <c r="CS66"/>
  <c r="CT66"/>
  <c r="CU66"/>
  <c r="CV66"/>
  <c r="CW66"/>
  <c r="CX66"/>
  <c r="CY66"/>
  <c r="CZ66"/>
  <c r="DA66"/>
  <c r="DB66"/>
  <c r="DC66"/>
  <c r="DD66"/>
  <c r="DE66"/>
  <c r="DF66"/>
  <c r="DG66"/>
  <c r="DH66"/>
  <c r="DI66"/>
  <c r="DJ66"/>
  <c r="DK66"/>
  <c r="DL66"/>
  <c r="DM66"/>
  <c r="DN66"/>
  <c r="DO66"/>
  <c r="DP66"/>
  <c r="DQ66"/>
  <c r="DR66"/>
  <c r="CE67"/>
  <c r="CF67"/>
  <c r="CG67"/>
  <c r="CH67"/>
  <c r="CI67"/>
  <c r="CJ67"/>
  <c r="CK67"/>
  <c r="CL67"/>
  <c r="CM67"/>
  <c r="CN67"/>
  <c r="CO67"/>
  <c r="CP67"/>
  <c r="CQ67"/>
  <c r="CR67"/>
  <c r="CS67"/>
  <c r="CT67"/>
  <c r="CU67"/>
  <c r="CV67"/>
  <c r="CW67"/>
  <c r="CX67"/>
  <c r="CY67"/>
  <c r="CZ67"/>
  <c r="DA67"/>
  <c r="DB67"/>
  <c r="DC67"/>
  <c r="DD67"/>
  <c r="DE67"/>
  <c r="DF67"/>
  <c r="DG67"/>
  <c r="DH67"/>
  <c r="DI67"/>
  <c r="DJ67"/>
  <c r="DK67"/>
  <c r="DL67"/>
  <c r="DM67"/>
  <c r="DN67"/>
  <c r="DO67"/>
  <c r="DP67"/>
  <c r="DQ67"/>
  <c r="DR67"/>
  <c r="CF10"/>
  <c r="CG10"/>
  <c r="CH10"/>
  <c r="CI10"/>
  <c r="CJ10"/>
  <c r="CK10"/>
  <c r="CL10"/>
  <c r="CM10"/>
  <c r="CN10"/>
  <c r="CO10"/>
  <c r="CP10"/>
  <c r="CQ10"/>
  <c r="CR10"/>
  <c r="CS10"/>
  <c r="CT10"/>
  <c r="CU10"/>
  <c r="CV10"/>
  <c r="CW10"/>
  <c r="CX10"/>
  <c r="CY10"/>
  <c r="CZ10"/>
  <c r="DA10"/>
  <c r="DB10"/>
  <c r="DC10"/>
  <c r="DD10"/>
  <c r="DE10"/>
  <c r="DF10"/>
  <c r="DG10"/>
  <c r="DH10"/>
  <c r="DI10"/>
  <c r="DJ10"/>
  <c r="DK10"/>
  <c r="DL10"/>
  <c r="DM10"/>
  <c r="DN10"/>
  <c r="DO10"/>
  <c r="DP10"/>
  <c r="DQ10"/>
  <c r="DR10"/>
  <c r="CE10"/>
</calcChain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4\TEMP\tvrem.txt" thousands=" " tab="0" delimiter="#">
      <textFields count="43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<sst xmlns="http://schemas.openxmlformats.org/spreadsheetml/2006/main" count="1680" uniqueCount="169">
  <si>
    <t>А</t>
  </si>
  <si>
    <t>тыс. руб.</t>
  </si>
  <si>
    <t>Продолжение</t>
  </si>
  <si>
    <t>Б</t>
  </si>
  <si>
    <t>6</t>
  </si>
  <si>
    <t>19</t>
  </si>
  <si>
    <t>от продажи продукции, товаров, работ и услуг</t>
  </si>
  <si>
    <t>от переподажи финансовых вложений</t>
  </si>
  <si>
    <t>прочие поступления</t>
  </si>
  <si>
    <t>Платежи - всего</t>
  </si>
  <si>
    <t xml:space="preserve">в том числе: </t>
  </si>
  <si>
    <t>в том числе:</t>
  </si>
  <si>
    <t>в связи с оплатой труда работников</t>
  </si>
  <si>
    <t>прочие платежи</t>
  </si>
  <si>
    <t>сальдо денежных потоков от текущих операций</t>
  </si>
  <si>
    <t>поставщикам (подрядчикам) за сырье, материалы, работы, услуги</t>
  </si>
  <si>
    <t>от продажи внеоборотных активов (кроме финансовых  вложений)</t>
  </si>
  <si>
    <t>от продажи акций других организаций (долей участия)</t>
  </si>
  <si>
    <t>дивидентов, процентов по долговым финансовым вложениям и аналогичных поступлений от долевого участия в других организациях</t>
  </si>
  <si>
    <t xml:space="preserve">в том числе:   </t>
  </si>
  <si>
    <t>от возврата предостав-ленных займов, от продажи долговых ценных бумаг (прав требования денежных средств к другим лицам)</t>
  </si>
  <si>
    <t>в связи с приобретением, созданием, модернизацией, реконструкцией и подготовкой к использованию внеоборотных активов</t>
  </si>
  <si>
    <t>в связи с приобретением акций других организаций (долей участия)</t>
  </si>
  <si>
    <t>сальдо денежных потоков от  инвестиционных операций</t>
  </si>
  <si>
    <t>получение кредитов и займов</t>
  </si>
  <si>
    <t>денежных вкладов собственников (участников)</t>
  </si>
  <si>
    <t>от выпуска акций, увеличение долей участия</t>
  </si>
  <si>
    <t>32</t>
  </si>
  <si>
    <t>собственнкикам (участникам) в связи с выкупом у них акций (долей участия) организации или их выходом из состава участников</t>
  </si>
  <si>
    <t>на уплату дивидендов и иных платежей по распределению прибыли в пользу собственников (участников)</t>
  </si>
  <si>
    <t>в связи с погашением (выкупом) векселей и других долговых ценных бумаг, возврат кредитов и займов</t>
  </si>
  <si>
    <t>Сальдо денежных потоков за отчетный период</t>
  </si>
  <si>
    <t>Сальдо денежных потоков от  финансовых операций</t>
  </si>
  <si>
    <t>38</t>
  </si>
  <si>
    <t>Величина влияния изменений курса иностранной валюты по отношению к рублю</t>
  </si>
  <si>
    <t>в связи с приобре-тением долговых ценных бумаг (прав требования денежных средств к другим лицам), предостав-      ление займов другим лицам</t>
  </si>
  <si>
    <t>Поступления  по текущей деятельности</t>
  </si>
  <si>
    <t>Платежи по текущей деятельности</t>
  </si>
  <si>
    <t xml:space="preserve">налога на прибыль </t>
  </si>
  <si>
    <t>Поступления  денежных средств по инвестиционной деятельности</t>
  </si>
  <si>
    <t>Платежи по инвестиционной деятельности</t>
  </si>
  <si>
    <t>Поступления по финансовой деятельности</t>
  </si>
  <si>
    <t>другие поступления</t>
  </si>
  <si>
    <t>Платежи по финансовой деятельности</t>
  </si>
  <si>
    <t>39</t>
  </si>
  <si>
    <t>40</t>
  </si>
  <si>
    <t>Поступило денежных средств - всего</t>
  </si>
  <si>
    <t>41</t>
  </si>
  <si>
    <t>процентов по долговым обязатель-ствам</t>
  </si>
  <si>
    <t>процентов по долговым обязательст-вам, включа-емым в стоимость инвестицион-ного актива</t>
  </si>
  <si>
    <t>арендные платежи, лицензионные платежи, роялти, комиссионные и иные аналогичные платежи</t>
  </si>
  <si>
    <t>Движение денежных средств за 2024 год</t>
  </si>
  <si>
    <t>Камчатский край</t>
  </si>
  <si>
    <t>Организации без субъектов малого предпринимательства (1-этап)</t>
  </si>
  <si>
    <t>Всего по обследуемым видам экономической деятельности</t>
  </si>
  <si>
    <t>-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</si>
  <si>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</si>
  <si>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</si>
  <si>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</si>
  <si>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03</t>
  </si>
  <si>
    <t>Рыболовство и рыбоводство</t>
  </si>
  <si>
    <t>ДОБЫЧА ПОЛЕЗНЫХ ИСКОПАЕМЫХ</t>
  </si>
  <si>
    <t>07</t>
  </si>
  <si>
    <t>Добыча металлических руд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</si>
  <si>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</si>
  <si>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</si>
  <si>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</si>
  <si>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</si>
  <si>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</si>
  <si>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</si>
  <si>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</si>
  <si>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</si>
  <si>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</si>
  <si>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</si>
  <si>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</si>
  <si>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</si>
  <si>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</si>
  <si>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</si>
  <si>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Сбор, обработка и утилизация отходов; обработка вторичного сырья</t>
  </si>
  <si>
    <t>СТРОИТЕЛЬСТВО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</si>
  <si>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</si>
  <si>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</si>
  <si>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</si>
  <si>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</si>
  <si>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</si>
  <si>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</si>
  <si>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</si>
  <si>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</si>
  <si>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</si>
  <si>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</si>
  <si>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</si>
  <si>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</si>
  <si>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</si>
  <si>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</si>
  <si>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</si>
  <si>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</si>
  <si>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</si>
  <si>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</si>
  <si>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</si>
  <si>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</si>
  <si>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</si>
  <si>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</si>
  <si>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</si>
  <si>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</si>
  <si>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</si>
  <si>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</si>
  <si>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</si>
  <si>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</si>
  <si>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</si>
  <si>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</si>
  <si>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</si>
  <si>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</si>
  <si>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</si>
  <si>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</si>
  <si>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</si>
  <si>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</si>
  <si>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</si>
  <si>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</si>
  <si>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</si>
  <si>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</si>
  <si>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</si>
  <si>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</si>
  <si>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</si>
  <si>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</si>
  <si>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</si>
  <si>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79</t>
  </si>
  <si>
    <t>Деятельность туристических агентств и прочих организаций, предоставляющих услуги в сфере туризма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</si>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</sst>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>
  <fonts count="50">
    <font>
      <sz val="10"/>
      <name val="Arial Cyr"/>
      <charset val="204"/>
    </font>
    <font>
      <sz val="10"/>
      <name val="Times New Roman CYR"/>
      <family val="1"/>
      <charset val="204"/>
    </font>
    <font>
      <sz val="12"/>
      <name val="Times New Roman"/>
      <family val="1"/>
    </font>
    <font>
      <sz val="10"/>
      <name val="Times New Roman"/>
      <family val="1"/>
    </font>
    <font>
      <sz val="9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sz val="12"/>
      <name val="Times New Roman"/>
      <family val="1"/>
      <charset val="204"/>
    </font>
    <font>
      <sz val="12"/>
      <color rgb="FF0070C0"/>
      <name val="Times New Roman"/>
      <family val="1"/>
    </font>
    <font>
      <sz val="10"/>
      <color rgb="FF0070C0"/>
      <name val="Arial Cyr"/>
      <charset val="204"/>
    </font>
    <font>
      <sz val="10"/>
      <color rgb="FF0070C0"/>
      <name val="Times New Roman"/>
      <family val="1"/>
    </font>
    <font>
      <sz val="10"/>
      <color rgb="FF0070C0"/>
      <name val="Times New Roman CYR"/>
      <family val="1"/>
      <charset val="204"/>
    </font>
    <font>
      <sz val="9"/>
      <color rgb="FF0070C0"/>
      <name val="Times New Roman"/>
      <family val="1"/>
      <charset val="204"/>
    </font>
    <font>
      <b/>
      <sz val="10"/>
      <color rgb="FF0070C0"/>
      <name val="Times New Roman"/>
      <family val="1"/>
    </font>
    <font>
      <sz val="12"/>
      <color rgb="FF7030A0"/>
      <name val="Times New Roman"/>
      <family val="1"/>
    </font>
    <font>
      <sz val="10"/>
      <color rgb="FF7030A0"/>
      <name val="Arial Cyr"/>
      <charset val="204"/>
    </font>
    <font>
      <sz val="10"/>
      <color rgb="FF7030A0"/>
      <name val="Times New Roman"/>
      <family val="1"/>
    </font>
    <font>
      <sz val="10"/>
      <color rgb="FF7030A0"/>
      <name val="Times New Roman CYR"/>
      <family val="1"/>
      <charset val="204"/>
    </font>
    <font>
      <sz val="9"/>
      <color rgb="FF7030A0"/>
      <name val="Times New Roman"/>
      <family val="1"/>
      <charset val="204"/>
    </font>
    <font>
      <b/>
      <sz val="10"/>
      <color rgb="FF7030A0"/>
      <name val="Times New Roman"/>
      <family val="1"/>
    </font>
    <font>
      <sz val="12"/>
      <color rgb="FFC00000"/>
      <name val="Times New Roman"/>
      <family val="1"/>
    </font>
    <font>
      <sz val="10"/>
      <color rgb="FFC00000"/>
      <name val="Arial Cyr"/>
      <charset val="204"/>
    </font>
    <font>
      <sz val="10"/>
      <color rgb="FFC00000"/>
      <name val="Times New Roman"/>
      <family val="1"/>
    </font>
    <font>
      <sz val="10"/>
      <color rgb="FFC00000"/>
      <name val="Times New Roman CYR"/>
      <family val="1"/>
      <charset val="204"/>
    </font>
    <font>
      <sz val="9"/>
      <color rgb="FFC00000"/>
      <name val="Times New Roman"/>
      <family val="1"/>
      <charset val="204"/>
    </font>
    <font>
      <b/>
      <sz val="10"/>
      <color rgb="FFC00000"/>
      <name val="Times New Roman"/>
      <family val="1"/>
    </font>
    <font>
      <sz val="12"/>
      <color rgb="FFFF0000"/>
      <name val="Times New Roman"/>
      <family val="1"/>
    </font>
    <font>
      <sz val="10"/>
      <color rgb="FFFF0000"/>
      <name val="Arial Cyr"/>
      <charset val="204"/>
    </font>
    <font>
      <sz val="10"/>
      <color rgb="FFFF0000"/>
      <name val="Times New Roman"/>
      <family val="1"/>
    </font>
    <font>
      <sz val="10"/>
      <color rgb="FFFF0000"/>
      <name val="Times New Roman CYR"/>
      <family val="1"/>
      <charset val="204"/>
    </font>
    <font>
      <sz val="9"/>
      <color rgb="FFFF0000"/>
      <name val="Times New Roman"/>
      <family val="1"/>
      <charset val="204"/>
    </font>
    <font>
      <b/>
      <sz val="10"/>
      <color rgb="FFFF0000"/>
      <name val="Times New Roman"/>
      <family val="1"/>
    </font>
    <font>
      <b/>
      <sz val="10"/>
      <color rgb="FFFF0000"/>
      <name val="Times New Roman CYR"/>
      <family val="1"/>
      <charset val="204"/>
    </font>
    <font>
      <sz val="12"/>
      <color theme="3"/>
      <name val="Times New Roman"/>
      <family val="1"/>
    </font>
    <font>
      <sz val="10"/>
      <color theme="3"/>
      <name val="Arial Cyr"/>
      <charset val="204"/>
    </font>
    <font>
      <sz val="10"/>
      <color theme="3"/>
      <name val="Times New Roman"/>
      <family val="1"/>
    </font>
    <font>
      <sz val="9"/>
      <color theme="3"/>
      <name val="Times New Roman"/>
      <family val="1"/>
      <charset val="204"/>
    </font>
    <font>
      <b/>
      <sz val="10"/>
      <color theme="3"/>
      <name val="Times New Roman CYR"/>
      <family val="1"/>
      <charset val="204"/>
    </font>
    <font>
      <sz val="10"/>
      <color theme="3"/>
      <name val="Times New Roman CYR"/>
      <family val="1"/>
      <charset val="204"/>
    </font>
    <font>
      <sz val="12"/>
      <color theme="9" tint="-0.499984740745262"/>
      <name val="Times New Roman"/>
      <family val="1"/>
    </font>
    <font>
      <sz val="10"/>
      <color theme="9" tint="-0.499984740745262"/>
      <name val="Arial Cyr"/>
      <charset val="204"/>
    </font>
    <font>
      <sz val="10"/>
      <color theme="9" tint="-0.499984740745262"/>
      <name val="Times New Roman"/>
      <family val="1"/>
    </font>
    <font>
      <sz val="10"/>
      <color theme="9" tint="-0.499984740745262"/>
      <name val="Times New Roman CYR"/>
      <family val="1"/>
      <charset val="204"/>
    </font>
    <font>
      <sz val="9"/>
      <color theme="9" tint="-0.499984740745262"/>
      <name val="Times New Roman"/>
      <family val="1"/>
      <charset val="204"/>
    </font>
    <font>
      <b/>
      <sz val="10"/>
      <color theme="9" tint="-0.499984740745262"/>
      <name val="Times New Roman CYR"/>
      <family val="1"/>
      <charset val="204"/>
    </font>
    <font>
      <sz val="12"/>
      <color rgb="FFFF0000"/>
      <name val="Times New Roman"/>
      <family val="1"/>
      <charset val="204"/>
    </font>
    <font>
      <sz val="12"/>
      <color rgb="FF7030A0"/>
      <name val="Times New Roman"/>
      <family val="1"/>
      <charset val="204"/>
    </font>
    <font>
      <b/>
      <sz val="12"/>
      <color rgb="FF7030A0"/>
      <name val="Times New Roman"/>
      <family val="1"/>
      <charset val="204"/>
    </font>
    <font>
      <sz val="12"/>
      <color rgb="FFC00000"/>
      <name val="Times New Roman"/>
      <family val="1"/>
      <charset val="204"/>
    </font>
    <font>
      <sz val="12"/>
      <color rgb="FF0070C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0" xfId="0" applyFont="1"/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left" wrapText="1"/>
    </xf>
    <xf numFmtId="49" fontId="3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right" wrapText="1"/>
    </xf>
    <xf numFmtId="1" fontId="1" fillId="0" borderId="0" xfId="0" applyNumberFormat="1" applyFont="1" applyAlignment="1">
      <alignment horizontal="right"/>
    </xf>
    <xf numFmtId="49" fontId="4" fillId="0" borderId="1" xfId="0" applyNumberFormat="1" applyFont="1" applyBorder="1" applyAlignment="1">
      <alignment horizontal="center" vertical="top" wrapText="1"/>
    </xf>
    <xf numFmtId="1" fontId="4" fillId="0" borderId="0" xfId="0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left" wrapText="1"/>
    </xf>
    <xf numFmtId="1" fontId="6" fillId="0" borderId="0" xfId="0" applyNumberFormat="1" applyFont="1" applyAlignment="1">
      <alignment horizontal="right"/>
    </xf>
    <xf numFmtId="0" fontId="6" fillId="0" borderId="0" xfId="0" applyFont="1"/>
    <xf numFmtId="0" fontId="7" fillId="0" borderId="5" xfId="0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10" xfId="0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1" fontId="6" fillId="0" borderId="0" xfId="0" applyNumberFormat="1" applyFont="1"/>
    <xf numFmtId="49" fontId="10" fillId="0" borderId="0" xfId="0" applyNumberFormat="1" applyFont="1" applyAlignment="1">
      <alignment horizontal="center" vertical="center" wrapText="1"/>
    </xf>
    <xf numFmtId="1" fontId="10" fillId="0" borderId="0" xfId="0" applyNumberFormat="1" applyFont="1" applyAlignment="1">
      <alignment horizontal="right" wrapText="1"/>
    </xf>
    <xf numFmtId="49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49" fontId="16" fillId="0" borderId="0" xfId="0" applyNumberFormat="1" applyFont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 wrapText="1"/>
    </xf>
    <xf numFmtId="1" fontId="16" fillId="0" borderId="0" xfId="0" applyNumberFormat="1" applyFont="1" applyAlignment="1">
      <alignment horizontal="right" wrapText="1"/>
    </xf>
    <xf numFmtId="1" fontId="18" fillId="0" borderId="1" xfId="0" applyNumberFormat="1" applyFont="1" applyBorder="1" applyAlignment="1">
      <alignment horizontal="center" vertical="top" wrapText="1"/>
    </xf>
    <xf numFmtId="49" fontId="18" fillId="0" borderId="1" xfId="0" applyNumberFormat="1" applyFont="1" applyBorder="1" applyAlignment="1">
      <alignment horizontal="center" vertical="top" wrapText="1"/>
    </xf>
    <xf numFmtId="1" fontId="19" fillId="0" borderId="0" xfId="0" applyNumberFormat="1" applyFont="1" applyAlignment="1">
      <alignment horizontal="right"/>
    </xf>
    <xf numFmtId="1" fontId="16" fillId="0" borderId="0" xfId="0" applyNumberFormat="1" applyFont="1" applyAlignment="1">
      <alignment horizontal="right"/>
    </xf>
    <xf numFmtId="1" fontId="22" fillId="0" borderId="0" xfId="0" applyNumberFormat="1" applyFont="1" applyAlignment="1">
      <alignment horizontal="right" wrapText="1"/>
    </xf>
    <xf numFmtId="49" fontId="23" fillId="0" borderId="0" xfId="0" applyNumberFormat="1" applyFont="1" applyAlignment="1">
      <alignment horizontal="center" vertical="center" wrapText="1"/>
    </xf>
    <xf numFmtId="1" fontId="22" fillId="0" borderId="0" xfId="0" applyNumberFormat="1" applyFont="1" applyBorder="1" applyAlignment="1">
      <alignment horizontal="right" wrapText="1"/>
    </xf>
    <xf numFmtId="1" fontId="24" fillId="0" borderId="1" xfId="0" applyNumberFormat="1" applyFont="1" applyBorder="1" applyAlignment="1">
      <alignment horizontal="center" vertical="top" wrapText="1"/>
    </xf>
    <xf numFmtId="1" fontId="24" fillId="0" borderId="2" xfId="0" applyNumberFormat="1" applyFont="1" applyBorder="1" applyAlignment="1">
      <alignment horizontal="center" vertical="top" wrapText="1"/>
    </xf>
    <xf numFmtId="1" fontId="25" fillId="0" borderId="0" xfId="0" applyNumberFormat="1" applyFont="1" applyAlignment="1">
      <alignment horizontal="right"/>
    </xf>
    <xf numFmtId="1" fontId="22" fillId="0" borderId="0" xfId="0" applyNumberFormat="1" applyFont="1" applyAlignment="1">
      <alignment horizontal="right"/>
    </xf>
    <xf numFmtId="49" fontId="28" fillId="0" borderId="0" xfId="0" applyNumberFormat="1" applyFont="1" applyAlignment="1">
      <alignment horizontal="center" vertical="center" wrapText="1"/>
    </xf>
    <xf numFmtId="49" fontId="29" fillId="0" borderId="0" xfId="0" applyNumberFormat="1" applyFont="1" applyAlignment="1">
      <alignment horizontal="center" vertical="center" wrapText="1"/>
    </xf>
    <xf numFmtId="1" fontId="28" fillId="0" borderId="0" xfId="0" applyNumberFormat="1" applyFont="1" applyAlignment="1">
      <alignment horizontal="right" wrapText="1"/>
    </xf>
    <xf numFmtId="1" fontId="30" fillId="0" borderId="1" xfId="0" applyNumberFormat="1" applyFont="1" applyBorder="1" applyAlignment="1">
      <alignment horizontal="center" vertical="top" wrapText="1"/>
    </xf>
    <xf numFmtId="49" fontId="30" fillId="0" borderId="1" xfId="0" applyNumberFormat="1" applyFont="1" applyBorder="1" applyAlignment="1">
      <alignment horizontal="center" vertical="top" wrapText="1"/>
    </xf>
    <xf numFmtId="1" fontId="31" fillId="0" borderId="0" xfId="0" applyNumberFormat="1" applyFont="1" applyAlignment="1">
      <alignment horizontal="right"/>
    </xf>
    <xf numFmtId="1" fontId="32" fillId="0" borderId="0" xfId="0" applyNumberFormat="1" applyFont="1" applyAlignment="1">
      <alignment horizontal="right"/>
    </xf>
    <xf numFmtId="1" fontId="28" fillId="0" borderId="0" xfId="0" applyNumberFormat="1" applyFont="1" applyAlignment="1">
      <alignment horizontal="right"/>
    </xf>
    <xf numFmtId="1" fontId="29" fillId="0" borderId="0" xfId="0" applyNumberFormat="1" applyFont="1" applyAlignment="1">
      <alignment horizontal="right"/>
    </xf>
    <xf numFmtId="1" fontId="35" fillId="0" borderId="0" xfId="0" applyNumberFormat="1" applyFont="1" applyAlignment="1">
      <alignment horizontal="right" wrapText="1"/>
    </xf>
    <xf numFmtId="1" fontId="35" fillId="0" borderId="0" xfId="0" applyNumberFormat="1" applyFont="1" applyBorder="1" applyAlignment="1">
      <alignment horizontal="right" wrapText="1"/>
    </xf>
    <xf numFmtId="1" fontId="36" fillId="0" borderId="1" xfId="0" applyNumberFormat="1" applyFont="1" applyBorder="1" applyAlignment="1">
      <alignment horizontal="center" vertical="top" wrapText="1"/>
    </xf>
    <xf numFmtId="1" fontId="36" fillId="0" borderId="2" xfId="0" applyNumberFormat="1" applyFont="1" applyBorder="1" applyAlignment="1">
      <alignment horizontal="center" vertical="top" wrapText="1"/>
    </xf>
    <xf numFmtId="1" fontId="37" fillId="0" borderId="0" xfId="0" applyNumberFormat="1" applyFont="1" applyAlignment="1">
      <alignment horizontal="right"/>
    </xf>
    <xf numFmtId="1" fontId="38" fillId="0" borderId="0" xfId="0" applyNumberFormat="1" applyFont="1" applyAlignment="1">
      <alignment horizontal="right"/>
    </xf>
    <xf numFmtId="49" fontId="41" fillId="0" borderId="0" xfId="0" applyNumberFormat="1" applyFont="1" applyAlignment="1">
      <alignment horizontal="center" vertical="center" wrapText="1"/>
    </xf>
    <xf numFmtId="49" fontId="42" fillId="0" borderId="0" xfId="0" applyNumberFormat="1" applyFont="1" applyAlignment="1">
      <alignment horizontal="center" vertical="center" wrapText="1"/>
    </xf>
    <xf numFmtId="1" fontId="41" fillId="0" borderId="0" xfId="0" applyNumberFormat="1" applyFont="1" applyAlignment="1">
      <alignment horizontal="right" wrapText="1"/>
    </xf>
    <xf numFmtId="1" fontId="43" fillId="0" borderId="1" xfId="0" applyNumberFormat="1" applyFont="1" applyBorder="1" applyAlignment="1">
      <alignment horizontal="center" vertical="top" wrapText="1"/>
    </xf>
    <xf numFmtId="49" fontId="43" fillId="0" borderId="1" xfId="0" applyNumberFormat="1" applyFont="1" applyBorder="1" applyAlignment="1">
      <alignment horizontal="center" vertical="top" wrapText="1"/>
    </xf>
    <xf numFmtId="1" fontId="44" fillId="0" borderId="0" xfId="0" applyNumberFormat="1" applyFont="1" applyAlignment="1">
      <alignment horizontal="right"/>
    </xf>
    <xf numFmtId="1" fontId="42" fillId="0" borderId="0" xfId="0" applyNumberFormat="1" applyFont="1" applyAlignment="1">
      <alignment horizontal="right"/>
    </xf>
    <xf numFmtId="49" fontId="30" fillId="0" borderId="0" xfId="0" applyNumberFormat="1" applyFont="1" applyAlignment="1">
      <alignment horizontal="center" vertical="top" wrapText="1"/>
    </xf>
    <xf numFmtId="0" fontId="32" fillId="0" borderId="0" xfId="0" applyFont="1"/>
    <xf numFmtId="0" fontId="45" fillId="0" borderId="5" xfId="0" applyFont="1" applyBorder="1" applyAlignment="1">
      <alignment horizontal="right"/>
    </xf>
    <xf numFmtId="0" fontId="45" fillId="0" borderId="6" xfId="0" applyFont="1" applyBorder="1" applyAlignment="1">
      <alignment horizontal="right"/>
    </xf>
    <xf numFmtId="0" fontId="45" fillId="0" borderId="7" xfId="0" applyFont="1" applyBorder="1" applyAlignment="1">
      <alignment horizontal="right"/>
    </xf>
    <xf numFmtId="0" fontId="45" fillId="0" borderId="8" xfId="0" applyFont="1" applyBorder="1" applyAlignment="1">
      <alignment horizontal="right"/>
    </xf>
    <xf numFmtId="0" fontId="29" fillId="0" borderId="0" xfId="0" applyFont="1"/>
    <xf numFmtId="49" fontId="8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wrapText="1"/>
    </xf>
    <xf numFmtId="1" fontId="33" fillId="0" borderId="0" xfId="0" applyNumberFormat="1" applyFont="1" applyAlignment="1">
      <alignment horizontal="center" vertical="center" wrapText="1"/>
    </xf>
    <xf numFmtId="1" fontId="34" fillId="0" borderId="0" xfId="0" applyNumberFormat="1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1" fontId="35" fillId="0" borderId="0" xfId="0" applyNumberFormat="1" applyFont="1" applyAlignment="1">
      <alignment horizontal="center" vertical="center" wrapText="1"/>
    </xf>
    <xf numFmtId="49" fontId="26" fillId="0" borderId="0" xfId="0" applyNumberFormat="1" applyFont="1" applyAlignment="1">
      <alignment horizontal="center" vertical="center" wrapText="1"/>
    </xf>
    <xf numFmtId="1" fontId="22" fillId="0" borderId="0" xfId="0" applyNumberFormat="1" applyFont="1" applyAlignment="1">
      <alignment horizontal="center" vertical="center" wrapText="1"/>
    </xf>
    <xf numFmtId="1" fontId="21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" fontId="20" fillId="0" borderId="0" xfId="0" applyNumberFormat="1" applyFont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wrapText="1"/>
    </xf>
    <xf numFmtId="49" fontId="16" fillId="0" borderId="0" xfId="0" applyNumberFormat="1" applyFont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49" fontId="39" fillId="0" borderId="0" xfId="0" applyNumberFormat="1" applyFont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0" fillId="0" borderId="0" xfId="0" applyFont="1" applyAlignment="1">
      <alignment wrapText="1"/>
    </xf>
    <xf numFmtId="49" fontId="41" fillId="0" borderId="0" xfId="0" applyNumberFormat="1" applyFont="1" applyAlignment="1">
      <alignment horizontal="center" vertical="center" wrapText="1"/>
    </xf>
    <xf numFmtId="1" fontId="41" fillId="0" borderId="0" xfId="0" applyNumberFormat="1" applyFont="1" applyBorder="1" applyAlignment="1">
      <alignment horizontal="right" wrapText="1"/>
    </xf>
    <xf numFmtId="1" fontId="40" fillId="0" borderId="0" xfId="0" applyNumberFormat="1" applyFont="1" applyBorder="1" applyAlignment="1">
      <alignment horizontal="right" wrapText="1"/>
    </xf>
    <xf numFmtId="49" fontId="43" fillId="0" borderId="1" xfId="0" applyNumberFormat="1" applyFont="1" applyBorder="1" applyAlignment="1">
      <alignment horizontal="center" vertical="top" wrapText="1"/>
    </xf>
    <xf numFmtId="0" fontId="43" fillId="0" borderId="1" xfId="0" applyFont="1" applyBorder="1" applyAlignment="1">
      <alignment horizontal="center" vertical="top" wrapText="1"/>
    </xf>
    <xf numFmtId="1" fontId="43" fillId="0" borderId="1" xfId="0" applyNumberFormat="1" applyFont="1" applyBorder="1" applyAlignment="1">
      <alignment horizontal="center" vertical="top" wrapText="1"/>
    </xf>
    <xf numFmtId="0" fontId="40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1" fontId="16" fillId="0" borderId="0" xfId="0" applyNumberFormat="1" applyFont="1" applyBorder="1" applyAlignment="1">
      <alignment horizontal="right" wrapText="1"/>
    </xf>
    <xf numFmtId="1" fontId="15" fillId="0" borderId="0" xfId="0" applyNumberFormat="1" applyFont="1" applyBorder="1" applyAlignment="1">
      <alignment horizontal="right" wrapText="1"/>
    </xf>
    <xf numFmtId="1" fontId="24" fillId="0" borderId="3" xfId="0" applyNumberFormat="1" applyFont="1" applyBorder="1" applyAlignment="1">
      <alignment horizontal="center" vertical="top" wrapText="1"/>
    </xf>
    <xf numFmtId="1" fontId="24" fillId="0" borderId="4" xfId="0" applyNumberFormat="1" applyFont="1" applyBorder="1" applyAlignment="1">
      <alignment horizontal="center" vertical="top" wrapText="1"/>
    </xf>
    <xf numFmtId="1" fontId="24" fillId="0" borderId="2" xfId="0" applyNumberFormat="1" applyFont="1" applyBorder="1" applyAlignment="1">
      <alignment horizontal="center" vertical="top" wrapText="1"/>
    </xf>
    <xf numFmtId="49" fontId="24" fillId="0" borderId="1" xfId="0" applyNumberFormat="1" applyFont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1" fontId="28" fillId="0" borderId="0" xfId="0" applyNumberFormat="1" applyFont="1" applyBorder="1" applyAlignment="1">
      <alignment horizontal="right" wrapText="1"/>
    </xf>
    <xf numFmtId="1" fontId="27" fillId="0" borderId="0" xfId="0" applyNumberFormat="1" applyFont="1" applyBorder="1" applyAlignment="1">
      <alignment horizontal="right" wrapText="1"/>
    </xf>
    <xf numFmtId="1" fontId="30" fillId="0" borderId="1" xfId="0" applyNumberFormat="1" applyFont="1" applyBorder="1" applyAlignment="1">
      <alignment horizontal="center" vertical="top" wrapText="1"/>
    </xf>
    <xf numFmtId="0" fontId="27" fillId="0" borderId="1" xfId="0" applyFont="1" applyBorder="1" applyAlignment="1">
      <alignment horizontal="center" vertical="top" wrapText="1"/>
    </xf>
    <xf numFmtId="49" fontId="36" fillId="0" borderId="1" xfId="0" applyNumberFormat="1" applyFont="1" applyBorder="1" applyAlignment="1">
      <alignment horizontal="center" vertical="top" wrapText="1"/>
    </xf>
    <xf numFmtId="0" fontId="36" fillId="0" borderId="1" xfId="0" applyFont="1" applyBorder="1" applyAlignment="1">
      <alignment horizontal="center" vertical="top" wrapText="1"/>
    </xf>
    <xf numFmtId="1" fontId="36" fillId="0" borderId="3" xfId="0" applyNumberFormat="1" applyFont="1" applyBorder="1" applyAlignment="1">
      <alignment horizontal="center" vertical="top" wrapText="1"/>
    </xf>
    <xf numFmtId="1" fontId="36" fillId="0" borderId="4" xfId="0" applyNumberFormat="1" applyFont="1" applyBorder="1" applyAlignment="1">
      <alignment horizontal="center" vertical="top" wrapText="1"/>
    </xf>
    <xf numFmtId="1" fontId="36" fillId="0" borderId="2" xfId="0" applyNumberFormat="1" applyFont="1" applyBorder="1" applyAlignment="1">
      <alignment horizontal="center" vertical="top" wrapText="1"/>
    </xf>
    <xf numFmtId="49" fontId="18" fillId="0" borderId="1" xfId="0" applyNumberFormat="1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top" wrapText="1"/>
    </xf>
    <xf numFmtId="49" fontId="30" fillId="0" borderId="1" xfId="0" applyNumberFormat="1" applyFont="1" applyBorder="1" applyAlignment="1">
      <alignment horizontal="center" vertical="top" wrapText="1"/>
    </xf>
    <xf numFmtId="0" fontId="30" fillId="0" borderId="1" xfId="0" applyFont="1" applyBorder="1" applyAlignment="1">
      <alignment horizontal="center" vertical="top" wrapText="1"/>
    </xf>
    <xf numFmtId="0" fontId="46" fillId="0" borderId="5" xfId="0" applyFont="1" applyBorder="1" applyAlignment="1">
      <alignment horizontal="right"/>
    </xf>
    <xf numFmtId="0" fontId="46" fillId="0" borderId="6" xfId="0" applyFont="1" applyBorder="1" applyAlignment="1">
      <alignment horizontal="right"/>
    </xf>
    <xf numFmtId="0" fontId="46" fillId="0" borderId="7" xfId="0" applyFont="1" applyBorder="1" applyAlignment="1">
      <alignment horizontal="right"/>
    </xf>
    <xf numFmtId="0" fontId="46" fillId="0" borderId="8" xfId="0" applyFont="1" applyBorder="1" applyAlignment="1">
      <alignment horizontal="right"/>
    </xf>
    <xf numFmtId="0" fontId="47" fillId="0" borderId="7" xfId="0" applyFont="1" applyBorder="1" applyAlignment="1">
      <alignment horizontal="right"/>
    </xf>
    <xf numFmtId="0" fontId="47" fillId="0" borderId="8" xfId="0" applyFont="1" applyBorder="1" applyAlignment="1">
      <alignment horizontal="right"/>
    </xf>
    <xf numFmtId="0" fontId="48" fillId="0" borderId="5" xfId="0" applyFont="1" applyBorder="1" applyAlignment="1">
      <alignment horizontal="right"/>
    </xf>
    <xf numFmtId="0" fontId="48" fillId="0" borderId="6" xfId="0" applyFont="1" applyBorder="1" applyAlignment="1">
      <alignment horizontal="right"/>
    </xf>
    <xf numFmtId="0" fontId="48" fillId="0" borderId="7" xfId="0" applyFont="1" applyBorder="1" applyAlignment="1">
      <alignment horizontal="right"/>
    </xf>
    <xf numFmtId="0" fontId="48" fillId="0" borderId="8" xfId="0" applyFont="1" applyBorder="1" applyAlignment="1">
      <alignment horizontal="right"/>
    </xf>
    <xf numFmtId="0" fontId="49" fillId="0" borderId="5" xfId="0" applyFont="1" applyBorder="1" applyAlignment="1">
      <alignment horizontal="right"/>
    </xf>
    <xf numFmtId="0" fontId="49" fillId="0" borderId="6" xfId="0" applyFont="1" applyBorder="1" applyAlignment="1">
      <alignment horizontal="right"/>
    </xf>
    <xf numFmtId="0" fontId="49" fillId="0" borderId="7" xfId="0" applyFont="1" applyBorder="1" applyAlignment="1">
      <alignment horizontal="right"/>
    </xf>
    <xf numFmtId="0" fontId="49" fillId="0" borderId="8" xfId="0" applyFont="1" applyBorder="1" applyAlignment="1">
      <alignment horizontal="right"/>
    </xf>
    <xf numFmtId="0" fontId="38" fillId="0" borderId="0" xfId="0" applyNumberFormat="1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S67"/>
  <sheetViews>
    <sheetView tabSelected="1" zoomScaleNormal="100" workbookViewId="0">
      <pane xSplit="2" ySplit="7" topLeftCell="DI65" activePane="bottomRight" state="frozen"/>
      <selection pane="topRight" activeCell="C1" sqref="C1"/>
      <selection pane="bottomLeft" activeCell="A9" sqref="A9"/>
      <selection pane="bottomRight" activeCell="AM68" sqref="AM68"/>
    </sheetView>
  </sheetViews>
  <sheetFormatPr defaultColWidth="8.85546875" defaultRowHeight="12.75"/>
  <cols>
    <col min="1" max="1" width="13.7109375" style="2" customWidth="1"/>
    <col min="2" max="2" width="34.7109375" style="3" customWidth="1"/>
    <col min="3" max="3" width="14.5703125" style="27" customWidth="1"/>
    <col min="4" max="4" width="13.28515625" style="27" customWidth="1"/>
    <col min="5" max="5" width="17" style="27" customWidth="1"/>
    <col min="6" max="7" width="13.28515625" style="27" customWidth="1"/>
    <col min="8" max="10" width="12.7109375" style="34" customWidth="1"/>
    <col min="11" max="11" width="12" style="34" customWidth="1"/>
    <col min="12" max="12" width="11.28515625" style="34" customWidth="1"/>
    <col min="13" max="13" width="12.7109375" style="34" customWidth="1"/>
    <col min="14" max="14" width="11.42578125" style="34" customWidth="1"/>
    <col min="15" max="15" width="13.42578125" style="41" customWidth="1"/>
    <col min="16" max="17" width="13.28515625" style="41" customWidth="1"/>
    <col min="18" max="18" width="17.140625" style="41" customWidth="1"/>
    <col min="19" max="19" width="15.85546875" style="41" customWidth="1"/>
    <col min="20" max="20" width="13.28515625" style="41" customWidth="1"/>
    <col min="21" max="21" width="12.85546875" style="49" customWidth="1"/>
    <col min="22" max="22" width="12.140625" style="50" customWidth="1"/>
    <col min="23" max="23" width="11.7109375" style="50" customWidth="1"/>
    <col min="24" max="24" width="13.28515625" style="50" customWidth="1"/>
    <col min="25" max="26" width="11.7109375" style="50" customWidth="1"/>
    <col min="27" max="27" width="12.85546875" style="50" customWidth="1"/>
    <col min="28" max="28" width="13.42578125" style="56" customWidth="1"/>
    <col min="29" max="32" width="13.28515625" style="56" customWidth="1"/>
    <col min="33" max="33" width="13.28515625" style="63" customWidth="1"/>
    <col min="34" max="34" width="15.28515625" style="63" customWidth="1"/>
    <col min="35" max="35" width="14.5703125" style="63" customWidth="1"/>
    <col min="36" max="36" width="15.28515625" style="63" customWidth="1"/>
    <col min="37" max="38" width="13.28515625" style="63" customWidth="1"/>
    <col min="39" max="40" width="14" style="7" customWidth="1"/>
    <col min="41" max="42" width="14.5703125" style="7" customWidth="1"/>
    <col min="43" max="43" width="13.85546875" style="7" customWidth="1"/>
    <col min="44" max="54" width="8.85546875" style="1"/>
    <col min="55" max="60" width="8.85546875" style="70"/>
    <col min="61" max="62" width="10.140625" style="1" bestFit="1" customWidth="1"/>
    <col min="63" max="63" width="9" style="1" bestFit="1" customWidth="1"/>
    <col min="64" max="64" width="10.140625" style="1" bestFit="1" customWidth="1"/>
    <col min="65" max="66" width="9" style="1" bestFit="1" customWidth="1"/>
    <col min="67" max="67" width="11" style="1" bestFit="1" customWidth="1"/>
    <col min="68" max="16384" width="8.85546875" style="1"/>
  </cols>
  <sheetData>
    <row r="1" spans="1:175" s="5" customFormat="1" ht="22.15" customHeight="1">
      <c r="A1" s="4"/>
      <c r="B1" s="4"/>
      <c r="C1" s="71" t="s">
        <v>51</v>
      </c>
      <c r="D1" s="71"/>
      <c r="E1" s="71"/>
      <c r="F1" s="72"/>
      <c r="G1" s="23"/>
      <c r="H1" s="90" t="s">
        <v>51</v>
      </c>
      <c r="I1" s="90"/>
      <c r="J1" s="90"/>
      <c r="K1" s="91"/>
      <c r="L1" s="92"/>
      <c r="M1" s="92"/>
      <c r="N1" s="92"/>
      <c r="O1" s="89" t="s">
        <v>51</v>
      </c>
      <c r="P1" s="89"/>
      <c r="Q1" s="89"/>
      <c r="R1" s="87"/>
      <c r="S1" s="88"/>
      <c r="T1" s="88"/>
      <c r="U1" s="85" t="s">
        <v>51</v>
      </c>
      <c r="V1" s="85"/>
      <c r="W1" s="85"/>
      <c r="X1" s="79"/>
      <c r="Y1" s="80"/>
      <c r="Z1" s="80"/>
      <c r="AA1" s="80"/>
      <c r="AB1" s="81" t="s">
        <v>51</v>
      </c>
      <c r="AC1" s="81"/>
      <c r="AD1" s="81"/>
      <c r="AE1" s="82"/>
      <c r="AF1" s="83"/>
      <c r="AG1" s="96" t="s">
        <v>51</v>
      </c>
      <c r="AH1" s="96"/>
      <c r="AI1" s="96"/>
      <c r="AJ1" s="97"/>
      <c r="AK1" s="98"/>
      <c r="AL1" s="98"/>
      <c r="AM1" s="75" t="s">
        <v>51</v>
      </c>
      <c r="AN1" s="75"/>
      <c r="AO1" s="75"/>
      <c r="AP1" s="76"/>
      <c r="AQ1" s="6"/>
      <c r="BC1" s="43"/>
      <c r="BD1" s="43"/>
      <c r="BE1" s="43"/>
      <c r="BF1" s="43"/>
      <c r="BG1" s="43"/>
      <c r="BH1" s="43"/>
    </row>
    <row r="2" spans="1:175" s="5" customFormat="1" ht="18" customHeight="1">
      <c r="A2" s="4"/>
      <c r="B2" s="4"/>
      <c r="C2" s="73" t="s">
        <v>53</v>
      </c>
      <c r="D2" s="74"/>
      <c r="E2" s="73"/>
      <c r="F2" s="72"/>
      <c r="G2" s="23"/>
      <c r="H2" s="93" t="s">
        <v>53</v>
      </c>
      <c r="I2" s="91"/>
      <c r="J2" s="91"/>
      <c r="K2" s="91"/>
      <c r="L2" s="92"/>
      <c r="M2" s="92"/>
      <c r="N2" s="92"/>
      <c r="O2" s="86" t="s">
        <v>53</v>
      </c>
      <c r="P2" s="87"/>
      <c r="Q2" s="87"/>
      <c r="R2" s="87"/>
      <c r="S2" s="88"/>
      <c r="T2" s="88"/>
      <c r="U2" s="78" t="s">
        <v>53</v>
      </c>
      <c r="V2" s="79"/>
      <c r="W2" s="79"/>
      <c r="X2" s="79"/>
      <c r="Y2" s="80"/>
      <c r="Z2" s="80"/>
      <c r="AA2" s="80"/>
      <c r="AB2" s="84" t="s">
        <v>53</v>
      </c>
      <c r="AC2" s="82"/>
      <c r="AD2" s="82"/>
      <c r="AE2" s="82"/>
      <c r="AF2" s="83"/>
      <c r="AG2" s="99" t="s">
        <v>53</v>
      </c>
      <c r="AH2" s="97"/>
      <c r="AI2" s="97"/>
      <c r="AJ2" s="97"/>
      <c r="AK2" s="98"/>
      <c r="AL2" s="98"/>
      <c r="AM2" s="77" t="s">
        <v>53</v>
      </c>
      <c r="AN2" s="76"/>
      <c r="AO2" s="76"/>
      <c r="AP2" s="76"/>
      <c r="AQ2" s="6"/>
      <c r="BC2" s="43"/>
      <c r="BD2" s="43"/>
      <c r="BE2" s="43"/>
      <c r="BF2" s="43"/>
      <c r="BG2" s="43"/>
      <c r="BH2" s="43"/>
    </row>
    <row r="3" spans="1:175" s="5" customFormat="1" ht="18.600000000000001" customHeight="1">
      <c r="A3" s="4"/>
      <c r="B3" s="4"/>
      <c r="C3" s="73" t="s">
        <v>52</v>
      </c>
      <c r="D3" s="74"/>
      <c r="E3" s="73"/>
      <c r="F3" s="72"/>
      <c r="G3" s="23"/>
      <c r="H3" s="93" t="s">
        <v>52</v>
      </c>
      <c r="I3" s="91"/>
      <c r="J3" s="91"/>
      <c r="K3" s="91"/>
      <c r="L3" s="92"/>
      <c r="M3" s="92"/>
      <c r="N3" s="92"/>
      <c r="O3" s="86" t="s">
        <v>52</v>
      </c>
      <c r="P3" s="87"/>
      <c r="Q3" s="87"/>
      <c r="R3" s="87"/>
      <c r="S3" s="88"/>
      <c r="T3" s="88"/>
      <c r="U3" s="78" t="s">
        <v>52</v>
      </c>
      <c r="V3" s="79"/>
      <c r="W3" s="79"/>
      <c r="X3" s="79"/>
      <c r="Y3" s="80"/>
      <c r="Z3" s="80"/>
      <c r="AA3" s="80"/>
      <c r="AB3" s="84" t="s">
        <v>52</v>
      </c>
      <c r="AC3" s="82"/>
      <c r="AD3" s="82"/>
      <c r="AE3" s="82"/>
      <c r="AF3" s="83"/>
      <c r="AG3" s="99" t="s">
        <v>52</v>
      </c>
      <c r="AH3" s="97"/>
      <c r="AI3" s="97"/>
      <c r="AJ3" s="97"/>
      <c r="AK3" s="98"/>
      <c r="AL3" s="98"/>
      <c r="AM3" s="77" t="s">
        <v>52</v>
      </c>
      <c r="AN3" s="76"/>
      <c r="AO3" s="76"/>
      <c r="AP3" s="76"/>
      <c r="AQ3" s="6"/>
      <c r="BC3" s="43"/>
      <c r="BD3" s="43"/>
      <c r="BE3" s="43"/>
      <c r="BF3" s="43"/>
      <c r="BG3" s="43"/>
      <c r="BH3" s="43"/>
    </row>
    <row r="4" spans="1:175" s="5" customFormat="1">
      <c r="A4" s="4"/>
      <c r="B4" s="4"/>
      <c r="C4" s="23"/>
      <c r="D4" s="23"/>
      <c r="E4" s="23"/>
      <c r="F4" s="23"/>
      <c r="G4" s="24" t="s">
        <v>1</v>
      </c>
      <c r="H4" s="28"/>
      <c r="I4" s="29"/>
      <c r="J4" s="30"/>
      <c r="K4" s="30"/>
      <c r="L4" s="109" t="s">
        <v>2</v>
      </c>
      <c r="M4" s="109"/>
      <c r="N4" s="110"/>
      <c r="O4" s="35"/>
      <c r="P4" s="35"/>
      <c r="Q4" s="35"/>
      <c r="R4" s="35"/>
      <c r="S4" s="36"/>
      <c r="T4" s="37" t="s">
        <v>2</v>
      </c>
      <c r="U4" s="42"/>
      <c r="V4" s="43"/>
      <c r="W4" s="44"/>
      <c r="X4" s="44"/>
      <c r="Y4" s="118" t="s">
        <v>2</v>
      </c>
      <c r="Z4" s="118"/>
      <c r="AA4" s="119"/>
      <c r="AB4" s="51"/>
      <c r="AC4" s="51"/>
      <c r="AD4" s="51"/>
      <c r="AE4" s="51"/>
      <c r="AF4" s="52" t="s">
        <v>2</v>
      </c>
      <c r="AG4" s="57"/>
      <c r="AH4" s="58"/>
      <c r="AI4" s="59"/>
      <c r="AJ4" s="59"/>
      <c r="AK4" s="100" t="s">
        <v>2</v>
      </c>
      <c r="AL4" s="101"/>
      <c r="AM4" s="4"/>
      <c r="AN4" s="4"/>
      <c r="AO4" s="4"/>
      <c r="AP4" s="4" t="s">
        <v>2</v>
      </c>
      <c r="AQ4" s="6"/>
      <c r="BC4" s="43"/>
      <c r="BD4" s="43"/>
      <c r="BE4" s="43"/>
      <c r="BF4" s="43"/>
      <c r="BG4" s="43"/>
      <c r="BH4" s="43"/>
    </row>
    <row r="5" spans="1:175" s="10" customFormat="1" ht="13.15" customHeight="1">
      <c r="A5" s="106"/>
      <c r="B5" s="106"/>
      <c r="C5" s="107" t="s">
        <v>36</v>
      </c>
      <c r="D5" s="107" t="s">
        <v>10</v>
      </c>
      <c r="E5" s="108"/>
      <c r="F5" s="108"/>
      <c r="G5" s="108"/>
      <c r="H5" s="127" t="s">
        <v>37</v>
      </c>
      <c r="I5" s="116" t="s">
        <v>11</v>
      </c>
      <c r="J5" s="117"/>
      <c r="K5" s="117"/>
      <c r="L5" s="117"/>
      <c r="M5" s="117"/>
      <c r="N5" s="116" t="s">
        <v>14</v>
      </c>
      <c r="O5" s="114" t="s">
        <v>39</v>
      </c>
      <c r="P5" s="111" t="s">
        <v>19</v>
      </c>
      <c r="Q5" s="112"/>
      <c r="R5" s="112"/>
      <c r="S5" s="112"/>
      <c r="T5" s="113"/>
      <c r="U5" s="129" t="s">
        <v>40</v>
      </c>
      <c r="V5" s="120" t="s">
        <v>11</v>
      </c>
      <c r="W5" s="121"/>
      <c r="X5" s="121"/>
      <c r="Y5" s="121"/>
      <c r="Z5" s="121"/>
      <c r="AA5" s="120" t="s">
        <v>23</v>
      </c>
      <c r="AB5" s="122" t="s">
        <v>41</v>
      </c>
      <c r="AC5" s="124" t="s">
        <v>19</v>
      </c>
      <c r="AD5" s="125"/>
      <c r="AE5" s="125"/>
      <c r="AF5" s="126"/>
      <c r="AG5" s="102" t="s">
        <v>43</v>
      </c>
      <c r="AH5" s="104" t="s">
        <v>11</v>
      </c>
      <c r="AI5" s="105"/>
      <c r="AJ5" s="105"/>
      <c r="AK5" s="105"/>
      <c r="AL5" s="104" t="s">
        <v>32</v>
      </c>
      <c r="AM5" s="94" t="s">
        <v>31</v>
      </c>
      <c r="AN5" s="94" t="s">
        <v>34</v>
      </c>
      <c r="AO5" s="94" t="s">
        <v>46</v>
      </c>
      <c r="AP5" s="94" t="s">
        <v>9</v>
      </c>
      <c r="AQ5" s="9"/>
      <c r="BC5" s="64"/>
      <c r="BD5" s="64"/>
      <c r="BE5" s="64"/>
      <c r="BF5" s="64"/>
      <c r="BG5" s="64"/>
      <c r="BH5" s="64"/>
    </row>
    <row r="6" spans="1:175" s="10" customFormat="1" ht="109.9" customHeight="1">
      <c r="A6" s="106"/>
      <c r="B6" s="106"/>
      <c r="C6" s="108"/>
      <c r="D6" s="25" t="s">
        <v>6</v>
      </c>
      <c r="E6" s="25" t="s">
        <v>50</v>
      </c>
      <c r="F6" s="25" t="s">
        <v>7</v>
      </c>
      <c r="G6" s="25" t="s">
        <v>8</v>
      </c>
      <c r="H6" s="128"/>
      <c r="I6" s="31" t="s">
        <v>15</v>
      </c>
      <c r="J6" s="31" t="s">
        <v>12</v>
      </c>
      <c r="K6" s="31" t="s">
        <v>48</v>
      </c>
      <c r="L6" s="31" t="s">
        <v>38</v>
      </c>
      <c r="M6" s="31" t="s">
        <v>13</v>
      </c>
      <c r="N6" s="117"/>
      <c r="O6" s="115"/>
      <c r="P6" s="38" t="s">
        <v>16</v>
      </c>
      <c r="Q6" s="38" t="s">
        <v>17</v>
      </c>
      <c r="R6" s="38" t="s">
        <v>20</v>
      </c>
      <c r="S6" s="38" t="s">
        <v>18</v>
      </c>
      <c r="T6" s="38" t="s">
        <v>8</v>
      </c>
      <c r="U6" s="130"/>
      <c r="V6" s="45" t="s">
        <v>21</v>
      </c>
      <c r="W6" s="45" t="s">
        <v>22</v>
      </c>
      <c r="X6" s="45" t="s">
        <v>35</v>
      </c>
      <c r="Y6" s="45" t="s">
        <v>49</v>
      </c>
      <c r="Z6" s="45" t="s">
        <v>13</v>
      </c>
      <c r="AA6" s="121"/>
      <c r="AB6" s="123"/>
      <c r="AC6" s="53" t="s">
        <v>24</v>
      </c>
      <c r="AD6" s="53" t="s">
        <v>25</v>
      </c>
      <c r="AE6" s="53" t="s">
        <v>26</v>
      </c>
      <c r="AF6" s="53" t="s">
        <v>42</v>
      </c>
      <c r="AG6" s="103"/>
      <c r="AH6" s="60" t="s">
        <v>28</v>
      </c>
      <c r="AI6" s="60" t="s">
        <v>29</v>
      </c>
      <c r="AJ6" s="60" t="s">
        <v>30</v>
      </c>
      <c r="AK6" s="60" t="s">
        <v>13</v>
      </c>
      <c r="AL6" s="105"/>
      <c r="AM6" s="95"/>
      <c r="AN6" s="95"/>
      <c r="AO6" s="95"/>
      <c r="AP6" s="95"/>
      <c r="AQ6" s="9"/>
      <c r="BC6" s="64"/>
      <c r="BD6" s="64"/>
      <c r="BE6" s="64"/>
      <c r="BF6" s="64"/>
      <c r="BG6" s="64"/>
      <c r="BH6" s="64"/>
    </row>
    <row r="7" spans="1:175" s="10" customFormat="1" ht="12">
      <c r="A7" s="8" t="s">
        <v>0</v>
      </c>
      <c r="B7" s="8" t="s">
        <v>3</v>
      </c>
      <c r="C7" s="25">
        <v>1</v>
      </c>
      <c r="D7" s="25">
        <v>2</v>
      </c>
      <c r="E7" s="25">
        <v>3</v>
      </c>
      <c r="F7" s="25">
        <v>4</v>
      </c>
      <c r="G7" s="25">
        <v>5</v>
      </c>
      <c r="H7" s="32" t="s">
        <v>4</v>
      </c>
      <c r="I7" s="31">
        <v>7</v>
      </c>
      <c r="J7" s="31">
        <v>8</v>
      </c>
      <c r="K7" s="31">
        <v>9</v>
      </c>
      <c r="L7" s="31">
        <v>10</v>
      </c>
      <c r="M7" s="31">
        <v>11</v>
      </c>
      <c r="N7" s="31">
        <v>12</v>
      </c>
      <c r="O7" s="39">
        <v>13</v>
      </c>
      <c r="P7" s="38">
        <v>14</v>
      </c>
      <c r="Q7" s="38">
        <v>15</v>
      </c>
      <c r="R7" s="38">
        <v>16</v>
      </c>
      <c r="S7" s="38">
        <v>17</v>
      </c>
      <c r="T7" s="38">
        <v>18</v>
      </c>
      <c r="U7" s="46" t="s">
        <v>5</v>
      </c>
      <c r="V7" s="45">
        <v>20</v>
      </c>
      <c r="W7" s="45">
        <v>21</v>
      </c>
      <c r="X7" s="45">
        <v>22</v>
      </c>
      <c r="Y7" s="45">
        <v>23</v>
      </c>
      <c r="Z7" s="45">
        <v>24</v>
      </c>
      <c r="AA7" s="45">
        <v>25</v>
      </c>
      <c r="AB7" s="54">
        <v>26</v>
      </c>
      <c r="AC7" s="53">
        <v>27</v>
      </c>
      <c r="AD7" s="53">
        <v>28</v>
      </c>
      <c r="AE7" s="53">
        <v>29</v>
      </c>
      <c r="AF7" s="53">
        <v>31</v>
      </c>
      <c r="AG7" s="61" t="s">
        <v>27</v>
      </c>
      <c r="AH7" s="60">
        <v>33</v>
      </c>
      <c r="AI7" s="60">
        <v>34</v>
      </c>
      <c r="AJ7" s="60">
        <v>35</v>
      </c>
      <c r="AK7" s="60">
        <v>36</v>
      </c>
      <c r="AL7" s="60">
        <v>37</v>
      </c>
      <c r="AM7" s="8" t="s">
        <v>33</v>
      </c>
      <c r="AN7" s="8" t="s">
        <v>44</v>
      </c>
      <c r="AO7" s="8" t="s">
        <v>45</v>
      </c>
      <c r="AP7" s="8" t="s">
        <v>47</v>
      </c>
      <c r="AQ7" s="9"/>
      <c r="BC7" s="64"/>
      <c r="BD7" s="64"/>
      <c r="BE7" s="64"/>
      <c r="BF7" s="64"/>
      <c r="BG7" s="64"/>
      <c r="BH7" s="64"/>
    </row>
    <row r="9" spans="1:175" s="14" customFormat="1" ht="13.5" thickBot="1">
      <c r="A9" s="11" t="s">
        <v>148</v>
      </c>
      <c r="B9" s="12"/>
      <c r="C9" s="26"/>
      <c r="D9" s="26"/>
      <c r="E9" s="26"/>
      <c r="F9" s="26"/>
      <c r="G9" s="26"/>
      <c r="H9" s="33"/>
      <c r="I9" s="33"/>
      <c r="J9" s="33"/>
      <c r="K9" s="33"/>
      <c r="L9" s="33"/>
      <c r="M9" s="33"/>
      <c r="N9" s="33"/>
      <c r="O9" s="40"/>
      <c r="P9" s="40"/>
      <c r="Q9" s="40"/>
      <c r="R9" s="40"/>
      <c r="S9" s="40"/>
      <c r="T9" s="40"/>
      <c r="U9" s="47"/>
      <c r="V9" s="48"/>
      <c r="W9" s="48"/>
      <c r="X9" s="48"/>
      <c r="Y9" s="48"/>
      <c r="Z9" s="48"/>
      <c r="AA9" s="48"/>
      <c r="AB9" s="55"/>
      <c r="AC9" s="55"/>
      <c r="AD9" s="55"/>
      <c r="AE9" s="55"/>
      <c r="AF9" s="55"/>
      <c r="AG9" s="62"/>
      <c r="AH9" s="62"/>
      <c r="AI9" s="62"/>
      <c r="AJ9" s="62"/>
      <c r="AK9" s="62"/>
      <c r="AL9" s="62"/>
      <c r="AM9" s="13"/>
      <c r="AN9" s="13"/>
      <c r="AO9" s="13"/>
      <c r="AP9" s="13"/>
      <c r="AQ9" s="13"/>
      <c r="BC9" s="65"/>
      <c r="BD9" s="65"/>
      <c r="BE9" s="65"/>
      <c r="BF9" s="65"/>
      <c r="BG9" s="65"/>
      <c r="BH9" s="65"/>
    </row>
    <row r="10" spans="1:175" s="14" customFormat="1" ht="26.25">
      <c r="A10" s="11" t="s">
        <v>149</v>
      </c>
      <c r="B10" s="12" t="s">
        <v>54</v>
      </c>
      <c r="C10" s="26">
        <v>541087473</v>
      </c>
      <c r="D10" s="26">
        <v>449116864</v>
      </c>
      <c r="E10" s="26">
        <v>5189943</v>
      </c>
      <c r="F10" s="26" t="s">
        <v>55</v>
      </c>
      <c r="G10" s="26">
        <v>86780666</v>
      </c>
      <c r="H10" s="33">
        <v>490000243</v>
      </c>
      <c r="I10" s="33">
        <v>289879436</v>
      </c>
      <c r="J10" s="33">
        <v>90498717</v>
      </c>
      <c r="K10" s="33">
        <v>22450153</v>
      </c>
      <c r="L10" s="33">
        <v>5133984</v>
      </c>
      <c r="M10" s="33">
        <v>82037953</v>
      </c>
      <c r="N10" s="33">
        <v>51087230</v>
      </c>
      <c r="O10" s="40">
        <v>154632005</v>
      </c>
      <c r="P10" s="40">
        <v>1525085</v>
      </c>
      <c r="Q10" s="40">
        <v>367718</v>
      </c>
      <c r="R10" s="40">
        <v>124123994</v>
      </c>
      <c r="S10" s="40">
        <v>8483782</v>
      </c>
      <c r="T10" s="40">
        <v>20131426</v>
      </c>
      <c r="U10" s="47">
        <v>240945199</v>
      </c>
      <c r="V10" s="48">
        <v>44382632</v>
      </c>
      <c r="W10" s="48">
        <v>4240192</v>
      </c>
      <c r="X10" s="48">
        <v>171666012</v>
      </c>
      <c r="Y10" s="48">
        <v>3797655</v>
      </c>
      <c r="Z10" s="48">
        <v>16858708</v>
      </c>
      <c r="AA10" s="48">
        <v>-86313194</v>
      </c>
      <c r="AB10" s="55">
        <v>377962851</v>
      </c>
      <c r="AC10" s="55">
        <v>320213133</v>
      </c>
      <c r="AD10" s="55">
        <v>2668472</v>
      </c>
      <c r="AE10" s="55">
        <v>2234072</v>
      </c>
      <c r="AF10" s="55">
        <v>52194460</v>
      </c>
      <c r="AG10" s="62">
        <v>248361532</v>
      </c>
      <c r="AH10" s="62">
        <v>1902083</v>
      </c>
      <c r="AI10" s="62">
        <v>31182898</v>
      </c>
      <c r="AJ10" s="62">
        <v>163412827</v>
      </c>
      <c r="AK10" s="62">
        <v>51863724</v>
      </c>
      <c r="AL10" s="62">
        <v>129601319</v>
      </c>
      <c r="AM10" s="13">
        <v>94375355</v>
      </c>
      <c r="AN10" s="13">
        <v>3079820</v>
      </c>
      <c r="AO10" s="13">
        <v>1073682329</v>
      </c>
      <c r="AP10" s="13">
        <v>979306974</v>
      </c>
      <c r="AQ10" s="15">
        <v>541087473</v>
      </c>
      <c r="AR10" s="16">
        <v>449116864</v>
      </c>
      <c r="AS10" s="16">
        <v>5189943</v>
      </c>
      <c r="AT10" s="16" t="s">
        <v>55</v>
      </c>
      <c r="AU10" s="16">
        <v>86780666</v>
      </c>
      <c r="AV10" s="15">
        <v>490000243</v>
      </c>
      <c r="AW10" s="16">
        <v>289879436</v>
      </c>
      <c r="AX10" s="16">
        <v>90498717</v>
      </c>
      <c r="AY10" s="16">
        <v>22450153</v>
      </c>
      <c r="AZ10" s="16">
        <v>5133984</v>
      </c>
      <c r="BA10" s="16">
        <v>82037953</v>
      </c>
      <c r="BB10" s="16">
        <v>51087230</v>
      </c>
      <c r="BC10" s="66">
        <v>154632005</v>
      </c>
      <c r="BD10" s="67">
        <v>1525085</v>
      </c>
      <c r="BE10" s="67">
        <v>367718</v>
      </c>
      <c r="BF10" s="67">
        <v>124123994</v>
      </c>
      <c r="BG10" s="67">
        <v>8483782</v>
      </c>
      <c r="BH10" s="67">
        <v>20131426</v>
      </c>
      <c r="BI10" s="131">
        <v>240945199</v>
      </c>
      <c r="BJ10" s="132">
        <v>44382632</v>
      </c>
      <c r="BK10" s="132">
        <v>4240192</v>
      </c>
      <c r="BL10" s="132">
        <v>171666012</v>
      </c>
      <c r="BM10" s="132">
        <v>3797655</v>
      </c>
      <c r="BN10" s="132">
        <v>16858708</v>
      </c>
      <c r="BO10" s="132">
        <v>-86313194</v>
      </c>
      <c r="BP10" s="137">
        <v>377962851</v>
      </c>
      <c r="BQ10" s="138">
        <v>320213133</v>
      </c>
      <c r="BR10" s="138">
        <v>2668472</v>
      </c>
      <c r="BS10" s="138">
        <v>2234072</v>
      </c>
      <c r="BT10" s="138">
        <v>52194460</v>
      </c>
      <c r="BU10" s="141">
        <v>248361532</v>
      </c>
      <c r="BV10" s="142">
        <v>1902083</v>
      </c>
      <c r="BW10" s="142">
        <v>31182898</v>
      </c>
      <c r="BX10" s="142">
        <v>163412827</v>
      </c>
      <c r="BY10" s="142">
        <v>51863724</v>
      </c>
      <c r="BZ10" s="142">
        <v>129601319</v>
      </c>
      <c r="CA10" s="15">
        <v>94375355</v>
      </c>
      <c r="CB10" s="21">
        <v>3079820</v>
      </c>
      <c r="CC10" s="21">
        <v>1073682329</v>
      </c>
      <c r="CD10" s="21">
        <v>979306974</v>
      </c>
      <c r="CE10" s="22">
        <f>C10-AQ10</f>
        <v>0</v>
      </c>
      <c r="CF10" s="22">
        <f t="shared" ref="CF10:DR10" si="0">D10-AR10</f>
        <v>0</v>
      </c>
      <c r="CG10" s="22">
        <f t="shared" si="0"/>
        <v>0</v>
      </c>
      <c r="CH10" s="22" t="e">
        <f t="shared" si="0"/>
        <v>#VALUE!</v>
      </c>
      <c r="CI10" s="22">
        <f t="shared" si="0"/>
        <v>0</v>
      </c>
      <c r="CJ10" s="22">
        <f t="shared" si="0"/>
        <v>0</v>
      </c>
      <c r="CK10" s="22">
        <f t="shared" si="0"/>
        <v>0</v>
      </c>
      <c r="CL10" s="22">
        <f t="shared" si="0"/>
        <v>0</v>
      </c>
      <c r="CM10" s="22">
        <f t="shared" si="0"/>
        <v>0</v>
      </c>
      <c r="CN10" s="22">
        <f t="shared" si="0"/>
        <v>0</v>
      </c>
      <c r="CO10" s="22">
        <f t="shared" si="0"/>
        <v>0</v>
      </c>
      <c r="CP10" s="22">
        <f t="shared" si="0"/>
        <v>0</v>
      </c>
      <c r="CQ10" s="22">
        <f t="shared" si="0"/>
        <v>0</v>
      </c>
      <c r="CR10" s="22">
        <f t="shared" si="0"/>
        <v>0</v>
      </c>
      <c r="CS10" s="22">
        <f t="shared" si="0"/>
        <v>0</v>
      </c>
      <c r="CT10" s="22">
        <f t="shared" si="0"/>
        <v>0</v>
      </c>
      <c r="CU10" s="22">
        <f t="shared" si="0"/>
        <v>0</v>
      </c>
      <c r="CV10" s="22">
        <f t="shared" si="0"/>
        <v>0</v>
      </c>
      <c r="CW10" s="22">
        <f t="shared" si="0"/>
        <v>0</v>
      </c>
      <c r="CX10" s="22">
        <f t="shared" si="0"/>
        <v>0</v>
      </c>
      <c r="CY10" s="22">
        <f t="shared" si="0"/>
        <v>0</v>
      </c>
      <c r="CZ10" s="22">
        <f t="shared" si="0"/>
        <v>0</v>
      </c>
      <c r="DA10" s="22">
        <f t="shared" si="0"/>
        <v>0</v>
      </c>
      <c r="DB10" s="22">
        <f t="shared" si="0"/>
        <v>0</v>
      </c>
      <c r="DC10" s="22">
        <f t="shared" si="0"/>
        <v>0</v>
      </c>
      <c r="DD10" s="22">
        <f t="shared" si="0"/>
        <v>0</v>
      </c>
      <c r="DE10" s="22">
        <f t="shared" si="0"/>
        <v>0</v>
      </c>
      <c r="DF10" s="22">
        <f t="shared" si="0"/>
        <v>0</v>
      </c>
      <c r="DG10" s="22">
        <f t="shared" si="0"/>
        <v>0</v>
      </c>
      <c r="DH10" s="22">
        <f t="shared" si="0"/>
        <v>0</v>
      </c>
      <c r="DI10" s="22">
        <f t="shared" si="0"/>
        <v>0</v>
      </c>
      <c r="DJ10" s="22">
        <f t="shared" si="0"/>
        <v>0</v>
      </c>
      <c r="DK10" s="22">
        <f t="shared" si="0"/>
        <v>0</v>
      </c>
      <c r="DL10" s="22">
        <f t="shared" si="0"/>
        <v>0</v>
      </c>
      <c r="DM10" s="22">
        <f t="shared" si="0"/>
        <v>0</v>
      </c>
      <c r="DN10" s="22">
        <f t="shared" si="0"/>
        <v>0</v>
      </c>
      <c r="DO10" s="22">
        <f t="shared" si="0"/>
        <v>0</v>
      </c>
      <c r="DP10" s="22">
        <f t="shared" si="0"/>
        <v>0</v>
      </c>
      <c r="DQ10" s="22">
        <f t="shared" si="0"/>
        <v>0</v>
      </c>
      <c r="DR10" s="22">
        <f t="shared" si="0"/>
        <v>0</v>
      </c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</row>
    <row r="11" spans="1:175" s="14" customFormat="1" ht="39">
      <c r="A11" s="11" t="s">
        <v>150</v>
      </c>
      <c r="B11" s="12" t="s">
        <v>56</v>
      </c>
      <c r="C11" s="26">
        <v>210052416</v>
      </c>
      <c r="D11" s="26">
        <v>171740242</v>
      </c>
      <c r="E11" s="26">
        <v>3223073</v>
      </c>
      <c r="F11" s="26" t="s">
        <v>55</v>
      </c>
      <c r="G11" s="26">
        <v>35089101</v>
      </c>
      <c r="H11" s="33">
        <v>185748664</v>
      </c>
      <c r="I11" s="33">
        <v>86049019</v>
      </c>
      <c r="J11" s="33">
        <v>42097031</v>
      </c>
      <c r="K11" s="33">
        <v>13778732</v>
      </c>
      <c r="L11" s="33">
        <v>2361194</v>
      </c>
      <c r="M11" s="33">
        <v>41462688</v>
      </c>
      <c r="N11" s="33">
        <v>24303752</v>
      </c>
      <c r="O11" s="40">
        <v>28732258</v>
      </c>
      <c r="P11" s="40">
        <v>1401335</v>
      </c>
      <c r="Q11" s="40">
        <v>367718</v>
      </c>
      <c r="R11" s="40">
        <v>22206705</v>
      </c>
      <c r="S11" s="40">
        <v>3231799</v>
      </c>
      <c r="T11" s="40">
        <v>1524701</v>
      </c>
      <c r="U11" s="47">
        <v>29245361</v>
      </c>
      <c r="V11" s="48">
        <v>9500953</v>
      </c>
      <c r="W11" s="48">
        <v>3425820</v>
      </c>
      <c r="X11" s="48">
        <v>14477067</v>
      </c>
      <c r="Y11" s="48">
        <v>1827303</v>
      </c>
      <c r="Z11" s="48">
        <v>14218</v>
      </c>
      <c r="AA11" s="48">
        <v>-513103</v>
      </c>
      <c r="AB11" s="55">
        <v>92795778</v>
      </c>
      <c r="AC11" s="55">
        <v>48788253</v>
      </c>
      <c r="AD11" s="55">
        <v>11681</v>
      </c>
      <c r="AE11" s="55">
        <v>1137575</v>
      </c>
      <c r="AF11" s="55">
        <v>42708269</v>
      </c>
      <c r="AG11" s="62">
        <v>114573893</v>
      </c>
      <c r="AH11" s="62">
        <v>1501216</v>
      </c>
      <c r="AI11" s="62">
        <v>11718462</v>
      </c>
      <c r="AJ11" s="62">
        <v>58252853</v>
      </c>
      <c r="AK11" s="62">
        <v>43101362</v>
      </c>
      <c r="AL11" s="62">
        <v>-21778115</v>
      </c>
      <c r="AM11" s="13">
        <v>2012534</v>
      </c>
      <c r="AN11" s="13">
        <v>1704575</v>
      </c>
      <c r="AO11" s="13">
        <v>331580452</v>
      </c>
      <c r="AP11" s="13">
        <v>329567918</v>
      </c>
      <c r="AQ11" s="17">
        <v>210052416</v>
      </c>
      <c r="AR11" s="18">
        <v>171740242</v>
      </c>
      <c r="AS11" s="18">
        <v>3223073</v>
      </c>
      <c r="AT11" s="18" t="s">
        <v>55</v>
      </c>
      <c r="AU11" s="18">
        <v>35089101</v>
      </c>
      <c r="AV11" s="17">
        <v>185748664</v>
      </c>
      <c r="AW11" s="18">
        <v>86049019</v>
      </c>
      <c r="AX11" s="18">
        <v>42097031</v>
      </c>
      <c r="AY11" s="18">
        <v>13778732</v>
      </c>
      <c r="AZ11" s="18">
        <v>2361194</v>
      </c>
      <c r="BA11" s="18">
        <v>41462688</v>
      </c>
      <c r="BB11" s="18">
        <v>24303752</v>
      </c>
      <c r="BC11" s="68">
        <v>28732258</v>
      </c>
      <c r="BD11" s="69">
        <v>1401335</v>
      </c>
      <c r="BE11" s="69">
        <v>367718</v>
      </c>
      <c r="BF11" s="69">
        <v>22206705</v>
      </c>
      <c r="BG11" s="69">
        <v>3231799</v>
      </c>
      <c r="BH11" s="69">
        <v>1524701</v>
      </c>
      <c r="BI11" s="133">
        <v>29245361</v>
      </c>
      <c r="BJ11" s="134">
        <v>9500953</v>
      </c>
      <c r="BK11" s="134">
        <v>3425820</v>
      </c>
      <c r="BL11" s="134">
        <v>14477067</v>
      </c>
      <c r="BM11" s="134">
        <v>1827303</v>
      </c>
      <c r="BN11" s="134">
        <v>14218</v>
      </c>
      <c r="BO11" s="134">
        <v>-513103</v>
      </c>
      <c r="BP11" s="139">
        <v>92795778</v>
      </c>
      <c r="BQ11" s="140">
        <v>48788253</v>
      </c>
      <c r="BR11" s="140">
        <v>11681</v>
      </c>
      <c r="BS11" s="140">
        <v>1137575</v>
      </c>
      <c r="BT11" s="140">
        <v>42708269</v>
      </c>
      <c r="BU11" s="143">
        <v>114573893</v>
      </c>
      <c r="BV11" s="144">
        <v>1501216</v>
      </c>
      <c r="BW11" s="144">
        <v>11718462</v>
      </c>
      <c r="BX11" s="144">
        <v>58252853</v>
      </c>
      <c r="BY11" s="144">
        <v>43101362</v>
      </c>
      <c r="BZ11" s="144">
        <v>-21778115</v>
      </c>
      <c r="CA11" s="17">
        <v>2012534</v>
      </c>
      <c r="CB11" s="18">
        <v>1704575</v>
      </c>
      <c r="CC11" s="18">
        <v>331580452</v>
      </c>
      <c r="CD11" s="18">
        <v>329567918</v>
      </c>
      <c r="CE11" s="22">
        <f t="shared" ref="CE11:CE67" si="1">C11-AQ11</f>
        <v>0</v>
      </c>
      <c r="CF11" s="22">
        <f t="shared" ref="CF11:CF67" si="2">D11-AR11</f>
        <v>0</v>
      </c>
      <c r="CG11" s="22">
        <f t="shared" ref="CG11:CG67" si="3">E11-AS11</f>
        <v>0</v>
      </c>
      <c r="CH11" s="22" t="e">
        <f t="shared" ref="CH11:CH67" si="4">F11-AT11</f>
        <v>#VALUE!</v>
      </c>
      <c r="CI11" s="22">
        <f t="shared" ref="CI11:CI67" si="5">G11-AU11</f>
        <v>0</v>
      </c>
      <c r="CJ11" s="22">
        <f t="shared" ref="CJ11:CJ67" si="6">H11-AV11</f>
        <v>0</v>
      </c>
      <c r="CK11" s="22">
        <f t="shared" ref="CK11:CK67" si="7">I11-AW11</f>
        <v>0</v>
      </c>
      <c r="CL11" s="22">
        <f t="shared" ref="CL11:CL67" si="8">J11-AX11</f>
        <v>0</v>
      </c>
      <c r="CM11" s="22">
        <f t="shared" ref="CM11:CM67" si="9">K11-AY11</f>
        <v>0</v>
      </c>
      <c r="CN11" s="22">
        <f t="shared" ref="CN11:CN67" si="10">L11-AZ11</f>
        <v>0</v>
      </c>
      <c r="CO11" s="22">
        <f t="shared" ref="CO11:CO67" si="11">M11-BA11</f>
        <v>0</v>
      </c>
      <c r="CP11" s="22">
        <f t="shared" ref="CP11:CP67" si="12">N11-BB11</f>
        <v>0</v>
      </c>
      <c r="CQ11" s="22">
        <f t="shared" ref="CQ11:CQ67" si="13">O11-BC11</f>
        <v>0</v>
      </c>
      <c r="CR11" s="22">
        <f t="shared" ref="CR11:CR67" si="14">P11-BD11</f>
        <v>0</v>
      </c>
      <c r="CS11" s="22">
        <f t="shared" ref="CS11:CS67" si="15">Q11-BE11</f>
        <v>0</v>
      </c>
      <c r="CT11" s="22">
        <f t="shared" ref="CT11:CT67" si="16">R11-BF11</f>
        <v>0</v>
      </c>
      <c r="CU11" s="22">
        <f t="shared" ref="CU11:CU67" si="17">S11-BG11</f>
        <v>0</v>
      </c>
      <c r="CV11" s="22">
        <f t="shared" ref="CV11:CV67" si="18">T11-BH11</f>
        <v>0</v>
      </c>
      <c r="CW11" s="22">
        <f t="shared" ref="CW11:CW67" si="19">U11-BI11</f>
        <v>0</v>
      </c>
      <c r="CX11" s="22">
        <f t="shared" ref="CX11:CX67" si="20">V11-BJ11</f>
        <v>0</v>
      </c>
      <c r="CY11" s="22">
        <f t="shared" ref="CY11:CY67" si="21">W11-BK11</f>
        <v>0</v>
      </c>
      <c r="CZ11" s="22">
        <f t="shared" ref="CZ11:CZ67" si="22">X11-BL11</f>
        <v>0</v>
      </c>
      <c r="DA11" s="22">
        <f t="shared" ref="DA11:DA67" si="23">Y11-BM11</f>
        <v>0</v>
      </c>
      <c r="DB11" s="22">
        <f t="shared" ref="DB11:DB67" si="24">Z11-BN11</f>
        <v>0</v>
      </c>
      <c r="DC11" s="22">
        <f t="shared" ref="DC11:DC67" si="25">AA11-BO11</f>
        <v>0</v>
      </c>
      <c r="DD11" s="22">
        <f t="shared" ref="DD11:DD67" si="26">AB11-BP11</f>
        <v>0</v>
      </c>
      <c r="DE11" s="22">
        <f t="shared" ref="DE11:DE67" si="27">AC11-BQ11</f>
        <v>0</v>
      </c>
      <c r="DF11" s="22">
        <f t="shared" ref="DF11:DF67" si="28">AD11-BR11</f>
        <v>0</v>
      </c>
      <c r="DG11" s="22">
        <f t="shared" ref="DG11:DG67" si="29">AE11-BS11</f>
        <v>0</v>
      </c>
      <c r="DH11" s="22">
        <f t="shared" ref="DH11:DH67" si="30">AF11-BT11</f>
        <v>0</v>
      </c>
      <c r="DI11" s="22">
        <f t="shared" ref="DI11:DI67" si="31">AG11-BU11</f>
        <v>0</v>
      </c>
      <c r="DJ11" s="22">
        <f t="shared" ref="DJ11:DJ67" si="32">AH11-BV11</f>
        <v>0</v>
      </c>
      <c r="DK11" s="22">
        <f t="shared" ref="DK11:DK67" si="33">AI11-BW11</f>
        <v>0</v>
      </c>
      <c r="DL11" s="22">
        <f t="shared" ref="DL11:DL67" si="34">AJ11-BX11</f>
        <v>0</v>
      </c>
      <c r="DM11" s="22">
        <f t="shared" ref="DM11:DM67" si="35">AK11-BY11</f>
        <v>0</v>
      </c>
      <c r="DN11" s="22">
        <f t="shared" ref="DN11:DN67" si="36">AL11-BZ11</f>
        <v>0</v>
      </c>
      <c r="DO11" s="22">
        <f t="shared" ref="DO11:DO67" si="37">AM11-CA11</f>
        <v>0</v>
      </c>
      <c r="DP11" s="22">
        <f t="shared" ref="DP11:DP67" si="38">AN11-CB11</f>
        <v>0</v>
      </c>
      <c r="DQ11" s="22">
        <f t="shared" ref="DQ11:DQ67" si="39">AO11-CC11</f>
        <v>0</v>
      </c>
      <c r="DR11" s="22">
        <f t="shared" ref="DR11:DR67" si="40">AP11-CD11</f>
        <v>0</v>
      </c>
    </row>
    <row r="12" spans="1:175" ht="15.75">
      <c r="A12" s="2" t="s">
        <v>59</v>
      </c>
      <c r="B12" s="3" t="s">
        <v>60</v>
      </c>
      <c r="C12" s="27">
        <v>206327386</v>
      </c>
      <c r="D12" s="27">
        <v>169153200</v>
      </c>
      <c r="E12" s="27">
        <v>3223073</v>
      </c>
      <c r="F12" s="27" t="s">
        <v>55</v>
      </c>
      <c r="G12" s="27">
        <v>33951113</v>
      </c>
      <c r="H12" s="34">
        <v>181997112</v>
      </c>
      <c r="I12" s="34">
        <v>83843754</v>
      </c>
      <c r="J12" s="34">
        <v>41301448</v>
      </c>
      <c r="K12" s="34">
        <v>13626102</v>
      </c>
      <c r="L12" s="34">
        <v>2357497</v>
      </c>
      <c r="M12" s="34">
        <v>40868311</v>
      </c>
      <c r="N12" s="34">
        <v>24330274</v>
      </c>
      <c r="O12" s="41">
        <v>28732188</v>
      </c>
      <c r="P12" s="41">
        <v>1401335</v>
      </c>
      <c r="Q12" s="41">
        <v>367718</v>
      </c>
      <c r="R12" s="41">
        <v>22206635</v>
      </c>
      <c r="S12" s="41">
        <v>3231799</v>
      </c>
      <c r="T12" s="41">
        <v>1524701</v>
      </c>
      <c r="U12" s="49">
        <v>28274397</v>
      </c>
      <c r="V12" s="50">
        <v>8636244</v>
      </c>
      <c r="W12" s="50">
        <v>3425820</v>
      </c>
      <c r="X12" s="50">
        <v>14477067</v>
      </c>
      <c r="Y12" s="50">
        <v>1721048</v>
      </c>
      <c r="Z12" s="50">
        <v>14218</v>
      </c>
      <c r="AA12" s="50">
        <v>457791</v>
      </c>
      <c r="AB12" s="56">
        <v>91275817</v>
      </c>
      <c r="AC12" s="56">
        <v>47429923</v>
      </c>
      <c r="AD12" s="56">
        <v>50</v>
      </c>
      <c r="AE12" s="56">
        <v>1137575</v>
      </c>
      <c r="AF12" s="56">
        <v>42708269</v>
      </c>
      <c r="AG12" s="63">
        <v>113662266</v>
      </c>
      <c r="AH12" s="63">
        <v>1501216</v>
      </c>
      <c r="AI12" s="63">
        <v>11718462</v>
      </c>
      <c r="AJ12" s="63">
        <v>57575033</v>
      </c>
      <c r="AK12" s="63">
        <v>42867555</v>
      </c>
      <c r="AL12" s="63">
        <v>-22386449</v>
      </c>
      <c r="AM12" s="7">
        <v>2401616</v>
      </c>
      <c r="AN12" s="7">
        <v>1704575</v>
      </c>
      <c r="AO12" s="7">
        <v>326335391</v>
      </c>
      <c r="AP12" s="7">
        <v>323933775</v>
      </c>
      <c r="AQ12" s="17">
        <v>206327386</v>
      </c>
      <c r="AR12" s="18">
        <v>169153200</v>
      </c>
      <c r="AS12" s="18">
        <v>3223073</v>
      </c>
      <c r="AT12" s="18" t="s">
        <v>55</v>
      </c>
      <c r="AU12" s="18">
        <v>33951113</v>
      </c>
      <c r="AV12" s="17">
        <v>181997112</v>
      </c>
      <c r="AW12" s="18">
        <v>83843754</v>
      </c>
      <c r="AX12" s="18">
        <v>41301448</v>
      </c>
      <c r="AY12" s="18">
        <v>13626102</v>
      </c>
      <c r="AZ12" s="18">
        <v>2357497</v>
      </c>
      <c r="BA12" s="18">
        <v>40868311</v>
      </c>
      <c r="BB12" s="18">
        <v>24330274</v>
      </c>
      <c r="BC12" s="68">
        <v>28732188</v>
      </c>
      <c r="BD12" s="69">
        <v>1401335</v>
      </c>
      <c r="BE12" s="69">
        <v>367718</v>
      </c>
      <c r="BF12" s="69">
        <v>22206635</v>
      </c>
      <c r="BG12" s="69">
        <v>3231799</v>
      </c>
      <c r="BH12" s="69">
        <v>1524701</v>
      </c>
      <c r="BI12" s="133">
        <v>28274397</v>
      </c>
      <c r="BJ12" s="134">
        <v>8636244</v>
      </c>
      <c r="BK12" s="134">
        <v>3425820</v>
      </c>
      <c r="BL12" s="134">
        <v>14477067</v>
      </c>
      <c r="BM12" s="134">
        <v>1721048</v>
      </c>
      <c r="BN12" s="134">
        <v>14218</v>
      </c>
      <c r="BO12" s="134">
        <v>457791</v>
      </c>
      <c r="BP12" s="139">
        <v>91275817</v>
      </c>
      <c r="BQ12" s="140">
        <v>47429923</v>
      </c>
      <c r="BR12" s="140">
        <v>50</v>
      </c>
      <c r="BS12" s="140">
        <v>1137575</v>
      </c>
      <c r="BT12" s="140">
        <v>42708269</v>
      </c>
      <c r="BU12" s="143">
        <v>113662266</v>
      </c>
      <c r="BV12" s="144">
        <v>1501216</v>
      </c>
      <c r="BW12" s="144">
        <v>11718462</v>
      </c>
      <c r="BX12" s="144">
        <v>57575033</v>
      </c>
      <c r="BY12" s="144">
        <v>42867555</v>
      </c>
      <c r="BZ12" s="144">
        <v>-22386449</v>
      </c>
      <c r="CA12" s="17">
        <v>2401616</v>
      </c>
      <c r="CB12" s="18">
        <v>1704575</v>
      </c>
      <c r="CC12" s="18">
        <v>326335391</v>
      </c>
      <c r="CD12" s="18">
        <v>323933775</v>
      </c>
      <c r="CE12" s="22">
        <f t="shared" si="1"/>
        <v>0</v>
      </c>
      <c r="CF12" s="22">
        <f t="shared" si="2"/>
        <v>0</v>
      </c>
      <c r="CG12" s="22">
        <f t="shared" si="3"/>
        <v>0</v>
      </c>
      <c r="CH12" s="22" t="e">
        <f t="shared" si="4"/>
        <v>#VALUE!</v>
      </c>
      <c r="CI12" s="22">
        <f t="shared" si="5"/>
        <v>0</v>
      </c>
      <c r="CJ12" s="22">
        <f t="shared" si="6"/>
        <v>0</v>
      </c>
      <c r="CK12" s="22">
        <f t="shared" si="7"/>
        <v>0</v>
      </c>
      <c r="CL12" s="22">
        <f t="shared" si="8"/>
        <v>0</v>
      </c>
      <c r="CM12" s="22">
        <f t="shared" si="9"/>
        <v>0</v>
      </c>
      <c r="CN12" s="22">
        <f t="shared" si="10"/>
        <v>0</v>
      </c>
      <c r="CO12" s="22">
        <f t="shared" si="11"/>
        <v>0</v>
      </c>
      <c r="CP12" s="22">
        <f t="shared" si="12"/>
        <v>0</v>
      </c>
      <c r="CQ12" s="22">
        <f t="shared" si="13"/>
        <v>0</v>
      </c>
      <c r="CR12" s="22">
        <f t="shared" si="14"/>
        <v>0</v>
      </c>
      <c r="CS12" s="22">
        <f t="shared" si="15"/>
        <v>0</v>
      </c>
      <c r="CT12" s="22">
        <f t="shared" si="16"/>
        <v>0</v>
      </c>
      <c r="CU12" s="22">
        <f t="shared" si="17"/>
        <v>0</v>
      </c>
      <c r="CV12" s="22">
        <f t="shared" si="18"/>
        <v>0</v>
      </c>
      <c r="CW12" s="22">
        <f t="shared" si="19"/>
        <v>0</v>
      </c>
      <c r="CX12" s="22">
        <f t="shared" si="20"/>
        <v>0</v>
      </c>
      <c r="CY12" s="22">
        <f t="shared" si="21"/>
        <v>0</v>
      </c>
      <c r="CZ12" s="22">
        <f t="shared" si="22"/>
        <v>0</v>
      </c>
      <c r="DA12" s="22">
        <f t="shared" si="23"/>
        <v>0</v>
      </c>
      <c r="DB12" s="22">
        <f t="shared" si="24"/>
        <v>0</v>
      </c>
      <c r="DC12" s="22">
        <f t="shared" si="25"/>
        <v>0</v>
      </c>
      <c r="DD12" s="22">
        <f t="shared" si="26"/>
        <v>0</v>
      </c>
      <c r="DE12" s="22">
        <f t="shared" si="27"/>
        <v>0</v>
      </c>
      <c r="DF12" s="22">
        <f t="shared" si="28"/>
        <v>0</v>
      </c>
      <c r="DG12" s="22">
        <f t="shared" si="29"/>
        <v>0</v>
      </c>
      <c r="DH12" s="22">
        <f t="shared" si="30"/>
        <v>0</v>
      </c>
      <c r="DI12" s="22">
        <f t="shared" si="31"/>
        <v>0</v>
      </c>
      <c r="DJ12" s="22">
        <f t="shared" si="32"/>
        <v>0</v>
      </c>
      <c r="DK12" s="22">
        <f t="shared" si="33"/>
        <v>0</v>
      </c>
      <c r="DL12" s="22">
        <f t="shared" si="34"/>
        <v>0</v>
      </c>
      <c r="DM12" s="22">
        <f t="shared" si="35"/>
        <v>0</v>
      </c>
      <c r="DN12" s="22">
        <f t="shared" si="36"/>
        <v>0</v>
      </c>
      <c r="DO12" s="22">
        <f t="shared" si="37"/>
        <v>0</v>
      </c>
      <c r="DP12" s="22">
        <f t="shared" si="38"/>
        <v>0</v>
      </c>
      <c r="DQ12" s="22">
        <f t="shared" si="39"/>
        <v>0</v>
      </c>
      <c r="DR12" s="22">
        <f t="shared" si="40"/>
        <v>0</v>
      </c>
    </row>
    <row r="13" spans="1:175" ht="26.25">
      <c r="A13" s="11" t="s">
        <v>151</v>
      </c>
      <c r="B13" s="12" t="s">
        <v>61</v>
      </c>
      <c r="C13" s="26">
        <v>73666638</v>
      </c>
      <c r="D13" s="26">
        <v>62157697</v>
      </c>
      <c r="E13" s="26">
        <v>362209</v>
      </c>
      <c r="F13" s="26" t="s">
        <v>55</v>
      </c>
      <c r="G13" s="26">
        <v>11146732</v>
      </c>
      <c r="H13" s="33">
        <v>42768716</v>
      </c>
      <c r="I13" s="33">
        <v>24395490</v>
      </c>
      <c r="J13" s="33">
        <v>8059773</v>
      </c>
      <c r="K13" s="33">
        <v>1230754</v>
      </c>
      <c r="L13" s="33">
        <v>902282</v>
      </c>
      <c r="M13" s="33">
        <v>8180417</v>
      </c>
      <c r="N13" s="33">
        <v>30897922</v>
      </c>
      <c r="O13" s="40">
        <v>28219094</v>
      </c>
      <c r="P13" s="40">
        <v>3700</v>
      </c>
      <c r="Q13" s="40" t="s">
        <v>55</v>
      </c>
      <c r="R13" s="40">
        <v>28013419</v>
      </c>
      <c r="S13" s="40">
        <v>201975</v>
      </c>
      <c r="T13" s="40" t="s">
        <v>55</v>
      </c>
      <c r="U13" s="47">
        <v>39484569</v>
      </c>
      <c r="V13" s="48">
        <v>3388841</v>
      </c>
      <c r="W13" s="48" t="s">
        <v>55</v>
      </c>
      <c r="X13" s="48">
        <v>36095728</v>
      </c>
      <c r="Y13" s="48" t="s">
        <v>55</v>
      </c>
      <c r="Z13" s="48" t="s">
        <v>55</v>
      </c>
      <c r="AA13" s="48">
        <v>-11265475</v>
      </c>
      <c r="AB13" s="55">
        <v>24845238</v>
      </c>
      <c r="AC13" s="55">
        <v>22016071</v>
      </c>
      <c r="AD13" s="55" t="s">
        <v>55</v>
      </c>
      <c r="AE13" s="55" t="s">
        <v>55</v>
      </c>
      <c r="AF13" s="55">
        <v>2329167</v>
      </c>
      <c r="AG13" s="62">
        <v>44361569</v>
      </c>
      <c r="AH13" s="62" t="s">
        <v>55</v>
      </c>
      <c r="AI13" s="62">
        <v>15001483</v>
      </c>
      <c r="AJ13" s="62">
        <v>28860953</v>
      </c>
      <c r="AK13" s="62">
        <v>499133</v>
      </c>
      <c r="AL13" s="62">
        <v>-19516331</v>
      </c>
      <c r="AM13" s="13">
        <v>116116</v>
      </c>
      <c r="AN13" s="13">
        <v>-3827</v>
      </c>
      <c r="AO13" s="13">
        <v>126730970</v>
      </c>
      <c r="AP13" s="13">
        <v>126614854</v>
      </c>
      <c r="AQ13" s="17">
        <v>73666638</v>
      </c>
      <c r="AR13" s="18">
        <v>62157697</v>
      </c>
      <c r="AS13" s="18">
        <v>362209</v>
      </c>
      <c r="AT13" s="18" t="s">
        <v>55</v>
      </c>
      <c r="AU13" s="18">
        <v>11146732</v>
      </c>
      <c r="AV13" s="17">
        <v>42768716</v>
      </c>
      <c r="AW13" s="18">
        <v>24395490</v>
      </c>
      <c r="AX13" s="18">
        <v>8059773</v>
      </c>
      <c r="AY13" s="18">
        <v>1230754</v>
      </c>
      <c r="AZ13" s="18">
        <v>902282</v>
      </c>
      <c r="BA13" s="18">
        <v>8180417</v>
      </c>
      <c r="BB13" s="18">
        <v>30897922</v>
      </c>
      <c r="BC13" s="68">
        <v>28219094</v>
      </c>
      <c r="BD13" s="69">
        <v>3700</v>
      </c>
      <c r="BE13" s="69" t="s">
        <v>55</v>
      </c>
      <c r="BF13" s="69">
        <v>28013419</v>
      </c>
      <c r="BG13" s="69">
        <v>201975</v>
      </c>
      <c r="BH13" s="69" t="s">
        <v>55</v>
      </c>
      <c r="BI13" s="133">
        <v>39484569</v>
      </c>
      <c r="BJ13" s="134">
        <v>3388841</v>
      </c>
      <c r="BK13" s="134" t="s">
        <v>55</v>
      </c>
      <c r="BL13" s="134">
        <v>36095728</v>
      </c>
      <c r="BM13" s="134" t="s">
        <v>55</v>
      </c>
      <c r="BN13" s="134" t="s">
        <v>55</v>
      </c>
      <c r="BO13" s="134">
        <v>-11265475</v>
      </c>
      <c r="BP13" s="139">
        <v>24845238</v>
      </c>
      <c r="BQ13" s="140">
        <v>22016071</v>
      </c>
      <c r="BR13" s="140" t="s">
        <v>55</v>
      </c>
      <c r="BS13" s="140" t="s">
        <v>55</v>
      </c>
      <c r="BT13" s="140">
        <v>2329167</v>
      </c>
      <c r="BU13" s="143">
        <v>44361569</v>
      </c>
      <c r="BV13" s="144" t="s">
        <v>55</v>
      </c>
      <c r="BW13" s="144">
        <v>15001483</v>
      </c>
      <c r="BX13" s="144">
        <v>28860953</v>
      </c>
      <c r="BY13" s="144">
        <v>499133</v>
      </c>
      <c r="BZ13" s="144">
        <v>-19516331</v>
      </c>
      <c r="CA13" s="17">
        <v>116116</v>
      </c>
      <c r="CB13" s="18">
        <v>-3827</v>
      </c>
      <c r="CC13" s="18">
        <v>126730970</v>
      </c>
      <c r="CD13" s="18">
        <v>126614854</v>
      </c>
      <c r="CE13" s="22">
        <f t="shared" si="1"/>
        <v>0</v>
      </c>
      <c r="CF13" s="22">
        <f t="shared" si="2"/>
        <v>0</v>
      </c>
      <c r="CG13" s="22">
        <f t="shared" si="3"/>
        <v>0</v>
      </c>
      <c r="CH13" s="22" t="e">
        <f t="shared" si="4"/>
        <v>#VALUE!</v>
      </c>
      <c r="CI13" s="22">
        <f t="shared" si="5"/>
        <v>0</v>
      </c>
      <c r="CJ13" s="22">
        <f t="shared" si="6"/>
        <v>0</v>
      </c>
      <c r="CK13" s="22">
        <f t="shared" si="7"/>
        <v>0</v>
      </c>
      <c r="CL13" s="22">
        <f t="shared" si="8"/>
        <v>0</v>
      </c>
      <c r="CM13" s="22">
        <f t="shared" si="9"/>
        <v>0</v>
      </c>
      <c r="CN13" s="22">
        <f t="shared" si="10"/>
        <v>0</v>
      </c>
      <c r="CO13" s="22">
        <f t="shared" si="11"/>
        <v>0</v>
      </c>
      <c r="CP13" s="22">
        <f t="shared" si="12"/>
        <v>0</v>
      </c>
      <c r="CQ13" s="22">
        <f t="shared" si="13"/>
        <v>0</v>
      </c>
      <c r="CR13" s="22">
        <f t="shared" si="14"/>
        <v>0</v>
      </c>
      <c r="CS13" s="22" t="e">
        <f t="shared" si="15"/>
        <v>#VALUE!</v>
      </c>
      <c r="CT13" s="22">
        <f t="shared" si="16"/>
        <v>0</v>
      </c>
      <c r="CU13" s="22">
        <f t="shared" si="17"/>
        <v>0</v>
      </c>
      <c r="CV13" s="22" t="e">
        <f t="shared" si="18"/>
        <v>#VALUE!</v>
      </c>
      <c r="CW13" s="22">
        <f t="shared" si="19"/>
        <v>0</v>
      </c>
      <c r="CX13" s="22">
        <f t="shared" si="20"/>
        <v>0</v>
      </c>
      <c r="CY13" s="22" t="e">
        <f t="shared" si="21"/>
        <v>#VALUE!</v>
      </c>
      <c r="CZ13" s="22">
        <f t="shared" si="22"/>
        <v>0</v>
      </c>
      <c r="DA13" s="22" t="e">
        <f t="shared" si="23"/>
        <v>#VALUE!</v>
      </c>
      <c r="DB13" s="22" t="e">
        <f t="shared" si="24"/>
        <v>#VALUE!</v>
      </c>
      <c r="DC13" s="22">
        <f t="shared" si="25"/>
        <v>0</v>
      </c>
      <c r="DD13" s="22">
        <f t="shared" si="26"/>
        <v>0</v>
      </c>
      <c r="DE13" s="22">
        <f t="shared" si="27"/>
        <v>0</v>
      </c>
      <c r="DF13" s="22" t="e">
        <f t="shared" si="28"/>
        <v>#VALUE!</v>
      </c>
      <c r="DG13" s="22" t="e">
        <f t="shared" si="29"/>
        <v>#VALUE!</v>
      </c>
      <c r="DH13" s="22">
        <f t="shared" si="30"/>
        <v>0</v>
      </c>
      <c r="DI13" s="22">
        <f t="shared" si="31"/>
        <v>0</v>
      </c>
      <c r="DJ13" s="22" t="e">
        <f t="shared" si="32"/>
        <v>#VALUE!</v>
      </c>
      <c r="DK13" s="22">
        <f t="shared" si="33"/>
        <v>0</v>
      </c>
      <c r="DL13" s="22">
        <f t="shared" si="34"/>
        <v>0</v>
      </c>
      <c r="DM13" s="22">
        <f t="shared" si="35"/>
        <v>0</v>
      </c>
      <c r="DN13" s="22">
        <f t="shared" si="36"/>
        <v>0</v>
      </c>
      <c r="DO13" s="22">
        <f t="shared" si="37"/>
        <v>0</v>
      </c>
      <c r="DP13" s="22">
        <f t="shared" si="38"/>
        <v>0</v>
      </c>
      <c r="DQ13" s="22">
        <f t="shared" si="39"/>
        <v>0</v>
      </c>
      <c r="DR13" s="22">
        <f t="shared" si="40"/>
        <v>0</v>
      </c>
    </row>
    <row r="14" spans="1:175" s="14" customFormat="1" ht="16.5" thickBot="1">
      <c r="A14" s="2" t="s">
        <v>62</v>
      </c>
      <c r="B14" s="3" t="s">
        <v>63</v>
      </c>
      <c r="C14" s="27">
        <v>73666638</v>
      </c>
      <c r="D14" s="27">
        <v>62157697</v>
      </c>
      <c r="E14" s="27">
        <v>362209</v>
      </c>
      <c r="F14" s="27" t="s">
        <v>55</v>
      </c>
      <c r="G14" s="27">
        <v>11146732</v>
      </c>
      <c r="H14" s="34">
        <v>42768716</v>
      </c>
      <c r="I14" s="34">
        <v>24395490</v>
      </c>
      <c r="J14" s="34">
        <v>8059773</v>
      </c>
      <c r="K14" s="34">
        <v>1230754</v>
      </c>
      <c r="L14" s="34">
        <v>902282</v>
      </c>
      <c r="M14" s="34">
        <v>8180417</v>
      </c>
      <c r="N14" s="34">
        <v>30897922</v>
      </c>
      <c r="O14" s="41">
        <v>28219094</v>
      </c>
      <c r="P14" s="41">
        <v>3700</v>
      </c>
      <c r="Q14" s="41" t="s">
        <v>55</v>
      </c>
      <c r="R14" s="41">
        <v>28013419</v>
      </c>
      <c r="S14" s="41">
        <v>201975</v>
      </c>
      <c r="T14" s="41" t="s">
        <v>55</v>
      </c>
      <c r="U14" s="49">
        <v>39484569</v>
      </c>
      <c r="V14" s="50">
        <v>3388841</v>
      </c>
      <c r="W14" s="50" t="s">
        <v>55</v>
      </c>
      <c r="X14" s="50">
        <v>36095728</v>
      </c>
      <c r="Y14" s="50" t="s">
        <v>55</v>
      </c>
      <c r="Z14" s="50" t="s">
        <v>55</v>
      </c>
      <c r="AA14" s="50">
        <v>-11265475</v>
      </c>
      <c r="AB14" s="56">
        <v>24845238</v>
      </c>
      <c r="AC14" s="56">
        <v>22016071</v>
      </c>
      <c r="AD14" s="56" t="s">
        <v>55</v>
      </c>
      <c r="AE14" s="56" t="s">
        <v>55</v>
      </c>
      <c r="AF14" s="56">
        <v>2329167</v>
      </c>
      <c r="AG14" s="63">
        <v>44361569</v>
      </c>
      <c r="AH14" s="63" t="s">
        <v>55</v>
      </c>
      <c r="AI14" s="63">
        <v>15001483</v>
      </c>
      <c r="AJ14" s="63">
        <v>28860953</v>
      </c>
      <c r="AK14" s="63">
        <v>499133</v>
      </c>
      <c r="AL14" s="63">
        <v>-19516331</v>
      </c>
      <c r="AM14" s="7">
        <v>116116</v>
      </c>
      <c r="AN14" s="7">
        <v>-3827</v>
      </c>
      <c r="AO14" s="7">
        <v>126730970</v>
      </c>
      <c r="AP14" s="7">
        <v>126614854</v>
      </c>
      <c r="AQ14" s="17">
        <v>73666638</v>
      </c>
      <c r="AR14" s="18">
        <v>62157697</v>
      </c>
      <c r="AS14" s="18">
        <v>362209</v>
      </c>
      <c r="AT14" s="18" t="s">
        <v>55</v>
      </c>
      <c r="AU14" s="18">
        <v>11146732</v>
      </c>
      <c r="AV14" s="17">
        <v>42768716</v>
      </c>
      <c r="AW14" s="18">
        <v>24395490</v>
      </c>
      <c r="AX14" s="18">
        <v>8059773</v>
      </c>
      <c r="AY14" s="18">
        <v>1230754</v>
      </c>
      <c r="AZ14" s="18">
        <v>902282</v>
      </c>
      <c r="BA14" s="18">
        <v>8180417</v>
      </c>
      <c r="BB14" s="18">
        <v>30897922</v>
      </c>
      <c r="BC14" s="68">
        <v>28219094</v>
      </c>
      <c r="BD14" s="69">
        <v>3700</v>
      </c>
      <c r="BE14" s="69" t="s">
        <v>55</v>
      </c>
      <c r="BF14" s="69">
        <v>28013419</v>
      </c>
      <c r="BG14" s="69">
        <v>201975</v>
      </c>
      <c r="BH14" s="69" t="s">
        <v>55</v>
      </c>
      <c r="BI14" s="133">
        <v>39484569</v>
      </c>
      <c r="BJ14" s="134">
        <v>3388841</v>
      </c>
      <c r="BK14" s="134" t="s">
        <v>55</v>
      </c>
      <c r="BL14" s="134">
        <v>36095728</v>
      </c>
      <c r="BM14" s="134" t="s">
        <v>55</v>
      </c>
      <c r="BN14" s="134" t="s">
        <v>55</v>
      </c>
      <c r="BO14" s="134">
        <v>-11265475</v>
      </c>
      <c r="BP14" s="139">
        <v>24845238</v>
      </c>
      <c r="BQ14" s="140">
        <v>22016071</v>
      </c>
      <c r="BR14" s="140" t="s">
        <v>55</v>
      </c>
      <c r="BS14" s="140" t="s">
        <v>55</v>
      </c>
      <c r="BT14" s="140">
        <v>2329167</v>
      </c>
      <c r="BU14" s="143">
        <v>44361569</v>
      </c>
      <c r="BV14" s="144" t="s">
        <v>55</v>
      </c>
      <c r="BW14" s="144">
        <v>15001483</v>
      </c>
      <c r="BX14" s="144">
        <v>28860953</v>
      </c>
      <c r="BY14" s="144">
        <v>499133</v>
      </c>
      <c r="BZ14" s="144">
        <v>-19516331</v>
      </c>
      <c r="CA14" s="17">
        <v>116116</v>
      </c>
      <c r="CB14" s="18">
        <v>-3827</v>
      </c>
      <c r="CC14" s="18">
        <v>126730970</v>
      </c>
      <c r="CD14" s="18">
        <v>126614854</v>
      </c>
      <c r="CE14" s="22">
        <f t="shared" si="1"/>
        <v>0</v>
      </c>
      <c r="CF14" s="22">
        <f t="shared" si="2"/>
        <v>0</v>
      </c>
      <c r="CG14" s="22">
        <f t="shared" si="3"/>
        <v>0</v>
      </c>
      <c r="CH14" s="22" t="e">
        <f t="shared" si="4"/>
        <v>#VALUE!</v>
      </c>
      <c r="CI14" s="22">
        <f t="shared" si="5"/>
        <v>0</v>
      </c>
      <c r="CJ14" s="22">
        <f t="shared" si="6"/>
        <v>0</v>
      </c>
      <c r="CK14" s="22">
        <f t="shared" si="7"/>
        <v>0</v>
      </c>
      <c r="CL14" s="22">
        <f t="shared" si="8"/>
        <v>0</v>
      </c>
      <c r="CM14" s="22">
        <f t="shared" si="9"/>
        <v>0</v>
      </c>
      <c r="CN14" s="22">
        <f t="shared" si="10"/>
        <v>0</v>
      </c>
      <c r="CO14" s="22">
        <f t="shared" si="11"/>
        <v>0</v>
      </c>
      <c r="CP14" s="22">
        <f t="shared" si="12"/>
        <v>0</v>
      </c>
      <c r="CQ14" s="22">
        <f t="shared" si="13"/>
        <v>0</v>
      </c>
      <c r="CR14" s="22">
        <f t="shared" si="14"/>
        <v>0</v>
      </c>
      <c r="CS14" s="22" t="e">
        <f t="shared" si="15"/>
        <v>#VALUE!</v>
      </c>
      <c r="CT14" s="22">
        <f t="shared" si="16"/>
        <v>0</v>
      </c>
      <c r="CU14" s="22">
        <f t="shared" si="17"/>
        <v>0</v>
      </c>
      <c r="CV14" s="22" t="e">
        <f t="shared" si="18"/>
        <v>#VALUE!</v>
      </c>
      <c r="CW14" s="22">
        <f t="shared" si="19"/>
        <v>0</v>
      </c>
      <c r="CX14" s="22">
        <f t="shared" si="20"/>
        <v>0</v>
      </c>
      <c r="CY14" s="22" t="e">
        <f t="shared" si="21"/>
        <v>#VALUE!</v>
      </c>
      <c r="CZ14" s="22">
        <f t="shared" si="22"/>
        <v>0</v>
      </c>
      <c r="DA14" s="22" t="e">
        <f t="shared" si="23"/>
        <v>#VALUE!</v>
      </c>
      <c r="DB14" s="22" t="e">
        <f t="shared" si="24"/>
        <v>#VALUE!</v>
      </c>
      <c r="DC14" s="22">
        <f t="shared" si="25"/>
        <v>0</v>
      </c>
      <c r="DD14" s="22">
        <f t="shared" si="26"/>
        <v>0</v>
      </c>
      <c r="DE14" s="22">
        <f t="shared" si="27"/>
        <v>0</v>
      </c>
      <c r="DF14" s="22" t="e">
        <f t="shared" si="28"/>
        <v>#VALUE!</v>
      </c>
      <c r="DG14" s="22" t="e">
        <f t="shared" si="29"/>
        <v>#VALUE!</v>
      </c>
      <c r="DH14" s="22">
        <f t="shared" si="30"/>
        <v>0</v>
      </c>
      <c r="DI14" s="22">
        <f t="shared" si="31"/>
        <v>0</v>
      </c>
      <c r="DJ14" s="22" t="e">
        <f t="shared" si="32"/>
        <v>#VALUE!</v>
      </c>
      <c r="DK14" s="22">
        <f t="shared" si="33"/>
        <v>0</v>
      </c>
      <c r="DL14" s="22">
        <f t="shared" si="34"/>
        <v>0</v>
      </c>
      <c r="DM14" s="22">
        <f t="shared" si="35"/>
        <v>0</v>
      </c>
      <c r="DN14" s="22">
        <f t="shared" si="36"/>
        <v>0</v>
      </c>
      <c r="DO14" s="22">
        <f t="shared" si="37"/>
        <v>0</v>
      </c>
      <c r="DP14" s="22">
        <f t="shared" si="38"/>
        <v>0</v>
      </c>
      <c r="DQ14" s="22">
        <f t="shared" si="39"/>
        <v>0</v>
      </c>
      <c r="DR14" s="22">
        <f t="shared" si="40"/>
        <v>0</v>
      </c>
    </row>
    <row r="15" spans="1:175" ht="26.25">
      <c r="A15" s="11" t="s">
        <v>152</v>
      </c>
      <c r="B15" s="12" t="s">
        <v>64</v>
      </c>
      <c r="C15" s="26">
        <v>37633129</v>
      </c>
      <c r="D15" s="26">
        <v>26474100</v>
      </c>
      <c r="E15" s="26">
        <v>198969</v>
      </c>
      <c r="F15" s="26" t="s">
        <v>55</v>
      </c>
      <c r="G15" s="26">
        <v>10960060</v>
      </c>
      <c r="H15" s="33">
        <v>35181698</v>
      </c>
      <c r="I15" s="33">
        <v>12898569</v>
      </c>
      <c r="J15" s="33">
        <v>8310018</v>
      </c>
      <c r="K15" s="33">
        <v>1011188</v>
      </c>
      <c r="L15" s="33">
        <v>295116</v>
      </c>
      <c r="M15" s="33">
        <v>12666807</v>
      </c>
      <c r="N15" s="33">
        <v>2451431</v>
      </c>
      <c r="O15" s="40">
        <v>3637196</v>
      </c>
      <c r="P15" s="40">
        <v>76221</v>
      </c>
      <c r="Q15" s="40" t="s">
        <v>55</v>
      </c>
      <c r="R15" s="40">
        <v>3189672</v>
      </c>
      <c r="S15" s="40">
        <v>119952</v>
      </c>
      <c r="T15" s="40">
        <v>251351</v>
      </c>
      <c r="U15" s="47">
        <v>4442270</v>
      </c>
      <c r="V15" s="48">
        <v>727872</v>
      </c>
      <c r="W15" s="48" t="s">
        <v>55</v>
      </c>
      <c r="X15" s="48">
        <v>3449231</v>
      </c>
      <c r="Y15" s="48" t="s">
        <v>55</v>
      </c>
      <c r="Z15" s="48">
        <v>265167</v>
      </c>
      <c r="AA15" s="48">
        <v>-805074</v>
      </c>
      <c r="AB15" s="55">
        <v>16778280</v>
      </c>
      <c r="AC15" s="55">
        <v>9917168</v>
      </c>
      <c r="AD15" s="55">
        <v>611545</v>
      </c>
      <c r="AE15" s="55" t="s">
        <v>55</v>
      </c>
      <c r="AF15" s="55">
        <v>6249567</v>
      </c>
      <c r="AG15" s="62">
        <v>17959457</v>
      </c>
      <c r="AH15" s="62">
        <v>400867</v>
      </c>
      <c r="AI15" s="62">
        <v>2492484</v>
      </c>
      <c r="AJ15" s="62">
        <v>8784759</v>
      </c>
      <c r="AK15" s="62">
        <v>6281347</v>
      </c>
      <c r="AL15" s="62">
        <v>-1181177</v>
      </c>
      <c r="AM15" s="13">
        <v>465180</v>
      </c>
      <c r="AN15" s="13">
        <v>-45468</v>
      </c>
      <c r="AO15" s="13">
        <v>58048605</v>
      </c>
      <c r="AP15" s="13">
        <v>57583425</v>
      </c>
      <c r="AQ15" s="17">
        <v>37633129</v>
      </c>
      <c r="AR15" s="18">
        <v>26474100</v>
      </c>
      <c r="AS15" s="18">
        <v>198969</v>
      </c>
      <c r="AT15" s="18" t="s">
        <v>55</v>
      </c>
      <c r="AU15" s="18">
        <v>10960060</v>
      </c>
      <c r="AV15" s="17">
        <v>35181698</v>
      </c>
      <c r="AW15" s="18">
        <v>12898569</v>
      </c>
      <c r="AX15" s="18">
        <v>8310018</v>
      </c>
      <c r="AY15" s="18">
        <v>1011188</v>
      </c>
      <c r="AZ15" s="18">
        <v>295116</v>
      </c>
      <c r="BA15" s="18">
        <v>12666807</v>
      </c>
      <c r="BB15" s="18">
        <v>2451431</v>
      </c>
      <c r="BC15" s="68">
        <v>3637196</v>
      </c>
      <c r="BD15" s="69">
        <v>76221</v>
      </c>
      <c r="BE15" s="69" t="s">
        <v>55</v>
      </c>
      <c r="BF15" s="69">
        <v>3189672</v>
      </c>
      <c r="BG15" s="69">
        <v>119952</v>
      </c>
      <c r="BH15" s="69">
        <v>251351</v>
      </c>
      <c r="BI15" s="131">
        <v>4442270</v>
      </c>
      <c r="BJ15" s="132">
        <v>727872</v>
      </c>
      <c r="BK15" s="132" t="s">
        <v>55</v>
      </c>
      <c r="BL15" s="132">
        <v>3449231</v>
      </c>
      <c r="BM15" s="132" t="s">
        <v>55</v>
      </c>
      <c r="BN15" s="132">
        <v>265167</v>
      </c>
      <c r="BO15" s="132">
        <v>-805074</v>
      </c>
      <c r="BP15" s="139">
        <v>16778280</v>
      </c>
      <c r="BQ15" s="140">
        <v>9917168</v>
      </c>
      <c r="BR15" s="140">
        <v>611545</v>
      </c>
      <c r="BS15" s="140" t="s">
        <v>55</v>
      </c>
      <c r="BT15" s="140">
        <v>6249567</v>
      </c>
      <c r="BU15" s="143">
        <v>17959457</v>
      </c>
      <c r="BV15" s="144">
        <v>400867</v>
      </c>
      <c r="BW15" s="144">
        <v>2492484</v>
      </c>
      <c r="BX15" s="144">
        <v>8784759</v>
      </c>
      <c r="BY15" s="144">
        <v>6281347</v>
      </c>
      <c r="BZ15" s="144">
        <v>-1181177</v>
      </c>
      <c r="CA15" s="17">
        <v>465180</v>
      </c>
      <c r="CB15" s="18">
        <v>-45468</v>
      </c>
      <c r="CC15" s="18">
        <v>58048605</v>
      </c>
      <c r="CD15" s="18">
        <v>57583425</v>
      </c>
      <c r="CE15" s="22">
        <f t="shared" si="1"/>
        <v>0</v>
      </c>
      <c r="CF15" s="22">
        <f t="shared" si="2"/>
        <v>0</v>
      </c>
      <c r="CG15" s="22">
        <f t="shared" si="3"/>
        <v>0</v>
      </c>
      <c r="CH15" s="22" t="e">
        <f t="shared" si="4"/>
        <v>#VALUE!</v>
      </c>
      <c r="CI15" s="22">
        <f t="shared" si="5"/>
        <v>0</v>
      </c>
      <c r="CJ15" s="22">
        <f t="shared" si="6"/>
        <v>0</v>
      </c>
      <c r="CK15" s="22">
        <f t="shared" si="7"/>
        <v>0</v>
      </c>
      <c r="CL15" s="22">
        <f t="shared" si="8"/>
        <v>0</v>
      </c>
      <c r="CM15" s="22">
        <f t="shared" si="9"/>
        <v>0</v>
      </c>
      <c r="CN15" s="22">
        <f t="shared" si="10"/>
        <v>0</v>
      </c>
      <c r="CO15" s="22">
        <f t="shared" si="11"/>
        <v>0</v>
      </c>
      <c r="CP15" s="22">
        <f t="shared" si="12"/>
        <v>0</v>
      </c>
      <c r="CQ15" s="22">
        <f t="shared" si="13"/>
        <v>0</v>
      </c>
      <c r="CR15" s="22">
        <f t="shared" si="14"/>
        <v>0</v>
      </c>
      <c r="CS15" s="22" t="e">
        <f t="shared" si="15"/>
        <v>#VALUE!</v>
      </c>
      <c r="CT15" s="22">
        <f t="shared" si="16"/>
        <v>0</v>
      </c>
      <c r="CU15" s="22">
        <f t="shared" si="17"/>
        <v>0</v>
      </c>
      <c r="CV15" s="22">
        <f t="shared" si="18"/>
        <v>0</v>
      </c>
      <c r="CW15" s="22">
        <f t="shared" si="19"/>
        <v>0</v>
      </c>
      <c r="CX15" s="22">
        <f t="shared" si="20"/>
        <v>0</v>
      </c>
      <c r="CY15" s="22" t="e">
        <f t="shared" si="21"/>
        <v>#VALUE!</v>
      </c>
      <c r="CZ15" s="22">
        <f t="shared" si="22"/>
        <v>0</v>
      </c>
      <c r="DA15" s="22" t="e">
        <f t="shared" si="23"/>
        <v>#VALUE!</v>
      </c>
      <c r="DB15" s="22">
        <f t="shared" si="24"/>
        <v>0</v>
      </c>
      <c r="DC15" s="22">
        <f t="shared" si="25"/>
        <v>0</v>
      </c>
      <c r="DD15" s="22">
        <f t="shared" si="26"/>
        <v>0</v>
      </c>
      <c r="DE15" s="22">
        <f t="shared" si="27"/>
        <v>0</v>
      </c>
      <c r="DF15" s="22">
        <f t="shared" si="28"/>
        <v>0</v>
      </c>
      <c r="DG15" s="22" t="e">
        <f t="shared" si="29"/>
        <v>#VALUE!</v>
      </c>
      <c r="DH15" s="22">
        <f t="shared" si="30"/>
        <v>0</v>
      </c>
      <c r="DI15" s="22">
        <f t="shared" si="31"/>
        <v>0</v>
      </c>
      <c r="DJ15" s="22">
        <f t="shared" si="32"/>
        <v>0</v>
      </c>
      <c r="DK15" s="22">
        <f t="shared" si="33"/>
        <v>0</v>
      </c>
      <c r="DL15" s="22">
        <f t="shared" si="34"/>
        <v>0</v>
      </c>
      <c r="DM15" s="22">
        <f t="shared" si="35"/>
        <v>0</v>
      </c>
      <c r="DN15" s="22">
        <f t="shared" si="36"/>
        <v>0</v>
      </c>
      <c r="DO15" s="22">
        <f t="shared" si="37"/>
        <v>0</v>
      </c>
      <c r="DP15" s="22">
        <f t="shared" si="38"/>
        <v>0</v>
      </c>
      <c r="DQ15" s="22">
        <f t="shared" si="39"/>
        <v>0</v>
      </c>
      <c r="DR15" s="22">
        <f t="shared" si="40"/>
        <v>0</v>
      </c>
    </row>
    <row r="16" spans="1:175" s="14" customFormat="1" ht="15.75">
      <c r="A16" s="2" t="s">
        <v>65</v>
      </c>
      <c r="B16" s="3" t="s">
        <v>66</v>
      </c>
      <c r="C16" s="27">
        <v>34515447</v>
      </c>
      <c r="D16" s="27">
        <v>23513991</v>
      </c>
      <c r="E16" s="27">
        <v>161928</v>
      </c>
      <c r="F16" s="27" t="s">
        <v>55</v>
      </c>
      <c r="G16" s="27">
        <v>10839528</v>
      </c>
      <c r="H16" s="34">
        <v>31323591</v>
      </c>
      <c r="I16" s="34">
        <v>11222689</v>
      </c>
      <c r="J16" s="34">
        <v>6566141</v>
      </c>
      <c r="K16" s="34">
        <v>818372</v>
      </c>
      <c r="L16" s="34">
        <v>269671</v>
      </c>
      <c r="M16" s="34">
        <v>12446718</v>
      </c>
      <c r="N16" s="34">
        <v>3191856</v>
      </c>
      <c r="O16" s="41">
        <v>3565876</v>
      </c>
      <c r="P16" s="41">
        <v>76221</v>
      </c>
      <c r="Q16" s="41" t="s">
        <v>55</v>
      </c>
      <c r="R16" s="41">
        <v>3160122</v>
      </c>
      <c r="S16" s="41">
        <v>78182</v>
      </c>
      <c r="T16" s="41">
        <v>251351</v>
      </c>
      <c r="U16" s="49">
        <v>4289966</v>
      </c>
      <c r="V16" s="50">
        <v>694568</v>
      </c>
      <c r="W16" s="50" t="s">
        <v>55</v>
      </c>
      <c r="X16" s="50">
        <v>3330231</v>
      </c>
      <c r="Y16" s="50" t="s">
        <v>55</v>
      </c>
      <c r="Z16" s="50">
        <v>265167</v>
      </c>
      <c r="AA16" s="50">
        <v>-724090</v>
      </c>
      <c r="AB16" s="56">
        <v>15621014</v>
      </c>
      <c r="AC16" s="56">
        <v>8759969</v>
      </c>
      <c r="AD16" s="56">
        <v>611545</v>
      </c>
      <c r="AE16" s="56" t="s">
        <v>55</v>
      </c>
      <c r="AF16" s="56">
        <v>6249500</v>
      </c>
      <c r="AG16" s="63">
        <v>17959457</v>
      </c>
      <c r="AH16" s="63">
        <v>400867</v>
      </c>
      <c r="AI16" s="63">
        <v>2492484</v>
      </c>
      <c r="AJ16" s="63">
        <v>8784759</v>
      </c>
      <c r="AK16" s="63">
        <v>6281347</v>
      </c>
      <c r="AL16" s="63">
        <v>-2338443</v>
      </c>
      <c r="AM16" s="7">
        <v>129323</v>
      </c>
      <c r="AN16" s="7">
        <v>-45468</v>
      </c>
      <c r="AO16" s="7">
        <v>53702337</v>
      </c>
      <c r="AP16" s="7">
        <v>53573014</v>
      </c>
      <c r="AQ16" s="17">
        <v>34515447</v>
      </c>
      <c r="AR16" s="18">
        <v>23513991</v>
      </c>
      <c r="AS16" s="18">
        <v>161928</v>
      </c>
      <c r="AT16" s="18" t="s">
        <v>55</v>
      </c>
      <c r="AU16" s="18">
        <v>10839528</v>
      </c>
      <c r="AV16" s="17">
        <v>31323591</v>
      </c>
      <c r="AW16" s="18">
        <v>11222689</v>
      </c>
      <c r="AX16" s="18">
        <v>6566141</v>
      </c>
      <c r="AY16" s="18">
        <v>818372</v>
      </c>
      <c r="AZ16" s="18">
        <v>269671</v>
      </c>
      <c r="BA16" s="18">
        <v>12446718</v>
      </c>
      <c r="BB16" s="18">
        <v>3191856</v>
      </c>
      <c r="BC16" s="68">
        <v>3565876</v>
      </c>
      <c r="BD16" s="69">
        <v>76221</v>
      </c>
      <c r="BE16" s="69" t="s">
        <v>55</v>
      </c>
      <c r="BF16" s="69">
        <v>3160122</v>
      </c>
      <c r="BG16" s="69">
        <v>78182</v>
      </c>
      <c r="BH16" s="69">
        <v>251351</v>
      </c>
      <c r="BI16" s="133">
        <v>4289966</v>
      </c>
      <c r="BJ16" s="134">
        <v>694568</v>
      </c>
      <c r="BK16" s="134" t="s">
        <v>55</v>
      </c>
      <c r="BL16" s="134">
        <v>3330231</v>
      </c>
      <c r="BM16" s="134" t="s">
        <v>55</v>
      </c>
      <c r="BN16" s="134">
        <v>265167</v>
      </c>
      <c r="BO16" s="134">
        <v>-724090</v>
      </c>
      <c r="BP16" s="139">
        <v>15621014</v>
      </c>
      <c r="BQ16" s="140">
        <v>8759969</v>
      </c>
      <c r="BR16" s="140">
        <v>611545</v>
      </c>
      <c r="BS16" s="140" t="s">
        <v>55</v>
      </c>
      <c r="BT16" s="140">
        <v>6249500</v>
      </c>
      <c r="BU16" s="143">
        <v>17959457</v>
      </c>
      <c r="BV16" s="144">
        <v>400867</v>
      </c>
      <c r="BW16" s="144">
        <v>2492484</v>
      </c>
      <c r="BX16" s="144">
        <v>8784759</v>
      </c>
      <c r="BY16" s="144">
        <v>6281347</v>
      </c>
      <c r="BZ16" s="144">
        <v>-2338443</v>
      </c>
      <c r="CA16" s="17">
        <v>129323</v>
      </c>
      <c r="CB16" s="18">
        <v>-45468</v>
      </c>
      <c r="CC16" s="18">
        <v>53702337</v>
      </c>
      <c r="CD16" s="18">
        <v>53573014</v>
      </c>
      <c r="CE16" s="22">
        <f t="shared" si="1"/>
        <v>0</v>
      </c>
      <c r="CF16" s="22">
        <f t="shared" si="2"/>
        <v>0</v>
      </c>
      <c r="CG16" s="22">
        <f t="shared" si="3"/>
        <v>0</v>
      </c>
      <c r="CH16" s="22" t="e">
        <f t="shared" si="4"/>
        <v>#VALUE!</v>
      </c>
      <c r="CI16" s="22">
        <f t="shared" si="5"/>
        <v>0</v>
      </c>
      <c r="CJ16" s="22">
        <f t="shared" si="6"/>
        <v>0</v>
      </c>
      <c r="CK16" s="22">
        <f t="shared" si="7"/>
        <v>0</v>
      </c>
      <c r="CL16" s="22">
        <f t="shared" si="8"/>
        <v>0</v>
      </c>
      <c r="CM16" s="22">
        <f t="shared" si="9"/>
        <v>0</v>
      </c>
      <c r="CN16" s="22">
        <f t="shared" si="10"/>
        <v>0</v>
      </c>
      <c r="CO16" s="22">
        <f t="shared" si="11"/>
        <v>0</v>
      </c>
      <c r="CP16" s="22">
        <f t="shared" si="12"/>
        <v>0</v>
      </c>
      <c r="CQ16" s="22">
        <f t="shared" si="13"/>
        <v>0</v>
      </c>
      <c r="CR16" s="22">
        <f t="shared" si="14"/>
        <v>0</v>
      </c>
      <c r="CS16" s="22" t="e">
        <f t="shared" si="15"/>
        <v>#VALUE!</v>
      </c>
      <c r="CT16" s="22">
        <f t="shared" si="16"/>
        <v>0</v>
      </c>
      <c r="CU16" s="22">
        <f t="shared" si="17"/>
        <v>0</v>
      </c>
      <c r="CV16" s="22">
        <f t="shared" si="18"/>
        <v>0</v>
      </c>
      <c r="CW16" s="22">
        <f t="shared" si="19"/>
        <v>0</v>
      </c>
      <c r="CX16" s="22">
        <f t="shared" si="20"/>
        <v>0</v>
      </c>
      <c r="CY16" s="22" t="e">
        <f t="shared" si="21"/>
        <v>#VALUE!</v>
      </c>
      <c r="CZ16" s="22">
        <f t="shared" si="22"/>
        <v>0</v>
      </c>
      <c r="DA16" s="22" t="e">
        <f t="shared" si="23"/>
        <v>#VALUE!</v>
      </c>
      <c r="DB16" s="22">
        <f t="shared" si="24"/>
        <v>0</v>
      </c>
      <c r="DC16" s="22">
        <f t="shared" si="25"/>
        <v>0</v>
      </c>
      <c r="DD16" s="22">
        <f t="shared" si="26"/>
        <v>0</v>
      </c>
      <c r="DE16" s="22">
        <f t="shared" si="27"/>
        <v>0</v>
      </c>
      <c r="DF16" s="22">
        <f t="shared" si="28"/>
        <v>0</v>
      </c>
      <c r="DG16" s="22" t="e">
        <f t="shared" si="29"/>
        <v>#VALUE!</v>
      </c>
      <c r="DH16" s="22">
        <f t="shared" si="30"/>
        <v>0</v>
      </c>
      <c r="DI16" s="22">
        <f t="shared" si="31"/>
        <v>0</v>
      </c>
      <c r="DJ16" s="22">
        <f t="shared" si="32"/>
        <v>0</v>
      </c>
      <c r="DK16" s="22">
        <f t="shared" si="33"/>
        <v>0</v>
      </c>
      <c r="DL16" s="22">
        <f t="shared" si="34"/>
        <v>0</v>
      </c>
      <c r="DM16" s="22">
        <f t="shared" si="35"/>
        <v>0</v>
      </c>
      <c r="DN16" s="22">
        <f t="shared" si="36"/>
        <v>0</v>
      </c>
      <c r="DO16" s="22">
        <f t="shared" si="37"/>
        <v>0</v>
      </c>
      <c r="DP16" s="22">
        <f t="shared" si="38"/>
        <v>0</v>
      </c>
      <c r="DQ16" s="22">
        <f t="shared" si="39"/>
        <v>0</v>
      </c>
      <c r="DR16" s="22">
        <f t="shared" si="40"/>
        <v>0</v>
      </c>
    </row>
    <row r="17" spans="1:122" ht="39">
      <c r="A17" s="11" t="s">
        <v>153</v>
      </c>
      <c r="B17" s="12" t="s">
        <v>72</v>
      </c>
      <c r="C17" s="26">
        <v>65911701</v>
      </c>
      <c r="D17" s="26">
        <v>55658294</v>
      </c>
      <c r="E17" s="26">
        <v>97634</v>
      </c>
      <c r="F17" s="26" t="s">
        <v>55</v>
      </c>
      <c r="G17" s="26">
        <v>10155773</v>
      </c>
      <c r="H17" s="33">
        <v>74583410</v>
      </c>
      <c r="I17" s="33">
        <v>54386847</v>
      </c>
      <c r="J17" s="33">
        <v>13068409</v>
      </c>
      <c r="K17" s="33">
        <v>2434879</v>
      </c>
      <c r="L17" s="33">
        <v>433018</v>
      </c>
      <c r="M17" s="33">
        <v>4260257</v>
      </c>
      <c r="N17" s="33">
        <v>-8671709</v>
      </c>
      <c r="O17" s="40">
        <v>3568593</v>
      </c>
      <c r="P17" s="40">
        <v>759</v>
      </c>
      <c r="Q17" s="40" t="s">
        <v>55</v>
      </c>
      <c r="R17" s="40">
        <v>3443102</v>
      </c>
      <c r="S17" s="40">
        <v>124732</v>
      </c>
      <c r="T17" s="40" t="s">
        <v>55</v>
      </c>
      <c r="U17" s="47">
        <v>47215151</v>
      </c>
      <c r="V17" s="48">
        <v>5982874</v>
      </c>
      <c r="W17" s="48">
        <v>16291</v>
      </c>
      <c r="X17" s="48">
        <v>41152786</v>
      </c>
      <c r="Y17" s="48">
        <v>63200</v>
      </c>
      <c r="Z17" s="48" t="s">
        <v>55</v>
      </c>
      <c r="AA17" s="48">
        <v>-43646558</v>
      </c>
      <c r="AB17" s="55">
        <v>70787676</v>
      </c>
      <c r="AC17" s="55">
        <v>69969924</v>
      </c>
      <c r="AD17" s="55">
        <v>814941</v>
      </c>
      <c r="AE17" s="55" t="s">
        <v>55</v>
      </c>
      <c r="AF17" s="55">
        <v>97</v>
      </c>
      <c r="AG17" s="62">
        <v>17489668</v>
      </c>
      <c r="AH17" s="62" t="s">
        <v>55</v>
      </c>
      <c r="AI17" s="62">
        <v>7279</v>
      </c>
      <c r="AJ17" s="62">
        <v>16997452</v>
      </c>
      <c r="AK17" s="62">
        <v>484937</v>
      </c>
      <c r="AL17" s="62">
        <v>53298008</v>
      </c>
      <c r="AM17" s="13">
        <v>979741</v>
      </c>
      <c r="AN17" s="13">
        <v>2723</v>
      </c>
      <c r="AO17" s="13">
        <v>140267970</v>
      </c>
      <c r="AP17" s="13">
        <v>139288229</v>
      </c>
      <c r="AQ17" s="17">
        <v>65911701</v>
      </c>
      <c r="AR17" s="18">
        <v>55658294</v>
      </c>
      <c r="AS17" s="18">
        <v>97634</v>
      </c>
      <c r="AT17" s="18" t="s">
        <v>55</v>
      </c>
      <c r="AU17" s="18">
        <v>10155773</v>
      </c>
      <c r="AV17" s="17">
        <v>74583410</v>
      </c>
      <c r="AW17" s="18">
        <v>54386847</v>
      </c>
      <c r="AX17" s="18">
        <v>13068409</v>
      </c>
      <c r="AY17" s="18">
        <v>2434879</v>
      </c>
      <c r="AZ17" s="18">
        <v>433018</v>
      </c>
      <c r="BA17" s="18">
        <v>4260257</v>
      </c>
      <c r="BB17" s="18">
        <v>-8671709</v>
      </c>
      <c r="BC17" s="68">
        <v>3568593</v>
      </c>
      <c r="BD17" s="69">
        <v>759</v>
      </c>
      <c r="BE17" s="69" t="s">
        <v>55</v>
      </c>
      <c r="BF17" s="69">
        <v>3443102</v>
      </c>
      <c r="BG17" s="69">
        <v>124732</v>
      </c>
      <c r="BH17" s="69" t="s">
        <v>55</v>
      </c>
      <c r="BI17" s="133">
        <v>47215151</v>
      </c>
      <c r="BJ17" s="134">
        <v>5982874</v>
      </c>
      <c r="BK17" s="134">
        <v>16291</v>
      </c>
      <c r="BL17" s="134">
        <v>41152786</v>
      </c>
      <c r="BM17" s="134">
        <v>63200</v>
      </c>
      <c r="BN17" s="134" t="s">
        <v>55</v>
      </c>
      <c r="BO17" s="134">
        <v>-43646558</v>
      </c>
      <c r="BP17" s="139">
        <v>70787676</v>
      </c>
      <c r="BQ17" s="140">
        <v>69969924</v>
      </c>
      <c r="BR17" s="140">
        <v>814941</v>
      </c>
      <c r="BS17" s="140" t="s">
        <v>55</v>
      </c>
      <c r="BT17" s="140">
        <v>97</v>
      </c>
      <c r="BU17" s="143">
        <v>17489668</v>
      </c>
      <c r="BV17" s="144" t="s">
        <v>55</v>
      </c>
      <c r="BW17" s="144">
        <v>7279</v>
      </c>
      <c r="BX17" s="144">
        <v>16997452</v>
      </c>
      <c r="BY17" s="144">
        <v>484937</v>
      </c>
      <c r="BZ17" s="144">
        <v>53298008</v>
      </c>
      <c r="CA17" s="17">
        <v>979741</v>
      </c>
      <c r="CB17" s="18">
        <v>2723</v>
      </c>
      <c r="CC17" s="18">
        <v>140267970</v>
      </c>
      <c r="CD17" s="18">
        <v>139288229</v>
      </c>
      <c r="CE17" s="22">
        <f t="shared" si="1"/>
        <v>0</v>
      </c>
      <c r="CF17" s="22">
        <f t="shared" si="2"/>
        <v>0</v>
      </c>
      <c r="CG17" s="22">
        <f t="shared" si="3"/>
        <v>0</v>
      </c>
      <c r="CH17" s="22" t="e">
        <f t="shared" si="4"/>
        <v>#VALUE!</v>
      </c>
      <c r="CI17" s="22">
        <f t="shared" si="5"/>
        <v>0</v>
      </c>
      <c r="CJ17" s="22">
        <f t="shared" si="6"/>
        <v>0</v>
      </c>
      <c r="CK17" s="22">
        <f t="shared" si="7"/>
        <v>0</v>
      </c>
      <c r="CL17" s="22">
        <f t="shared" si="8"/>
        <v>0</v>
      </c>
      <c r="CM17" s="22">
        <f t="shared" si="9"/>
        <v>0</v>
      </c>
      <c r="CN17" s="22">
        <f t="shared" si="10"/>
        <v>0</v>
      </c>
      <c r="CO17" s="22">
        <f t="shared" si="11"/>
        <v>0</v>
      </c>
      <c r="CP17" s="22">
        <f t="shared" si="12"/>
        <v>0</v>
      </c>
      <c r="CQ17" s="22">
        <f t="shared" si="13"/>
        <v>0</v>
      </c>
      <c r="CR17" s="22">
        <f t="shared" si="14"/>
        <v>0</v>
      </c>
      <c r="CS17" s="22" t="e">
        <f t="shared" si="15"/>
        <v>#VALUE!</v>
      </c>
      <c r="CT17" s="22">
        <f t="shared" si="16"/>
        <v>0</v>
      </c>
      <c r="CU17" s="22">
        <f t="shared" si="17"/>
        <v>0</v>
      </c>
      <c r="CV17" s="22" t="e">
        <f t="shared" si="18"/>
        <v>#VALUE!</v>
      </c>
      <c r="CW17" s="22">
        <f t="shared" si="19"/>
        <v>0</v>
      </c>
      <c r="CX17" s="22">
        <f t="shared" si="20"/>
        <v>0</v>
      </c>
      <c r="CY17" s="22">
        <f t="shared" si="21"/>
        <v>0</v>
      </c>
      <c r="CZ17" s="22">
        <f t="shared" si="22"/>
        <v>0</v>
      </c>
      <c r="DA17" s="22">
        <f t="shared" si="23"/>
        <v>0</v>
      </c>
      <c r="DB17" s="22" t="e">
        <f t="shared" si="24"/>
        <v>#VALUE!</v>
      </c>
      <c r="DC17" s="22">
        <f t="shared" si="25"/>
        <v>0</v>
      </c>
      <c r="DD17" s="22">
        <f t="shared" si="26"/>
        <v>0</v>
      </c>
      <c r="DE17" s="22">
        <f t="shared" si="27"/>
        <v>0</v>
      </c>
      <c r="DF17" s="22">
        <f t="shared" si="28"/>
        <v>0</v>
      </c>
      <c r="DG17" s="22" t="e">
        <f t="shared" si="29"/>
        <v>#VALUE!</v>
      </c>
      <c r="DH17" s="22">
        <f t="shared" si="30"/>
        <v>0</v>
      </c>
      <c r="DI17" s="22">
        <f t="shared" si="31"/>
        <v>0</v>
      </c>
      <c r="DJ17" s="22" t="e">
        <f t="shared" si="32"/>
        <v>#VALUE!</v>
      </c>
      <c r="DK17" s="22">
        <f t="shared" si="33"/>
        <v>0</v>
      </c>
      <c r="DL17" s="22">
        <f t="shared" si="34"/>
        <v>0</v>
      </c>
      <c r="DM17" s="22">
        <f t="shared" si="35"/>
        <v>0</v>
      </c>
      <c r="DN17" s="22">
        <f t="shared" si="36"/>
        <v>0</v>
      </c>
      <c r="DO17" s="22">
        <f t="shared" si="37"/>
        <v>0</v>
      </c>
      <c r="DP17" s="22">
        <f t="shared" si="38"/>
        <v>0</v>
      </c>
      <c r="DQ17" s="22">
        <f t="shared" si="39"/>
        <v>0</v>
      </c>
      <c r="DR17" s="22">
        <f t="shared" si="40"/>
        <v>0</v>
      </c>
    </row>
    <row r="18" spans="1:122" ht="39.75" thickBot="1">
      <c r="A18" s="2" t="s">
        <v>73</v>
      </c>
      <c r="B18" s="3" t="s">
        <v>74</v>
      </c>
      <c r="C18" s="27">
        <v>65911701</v>
      </c>
      <c r="D18" s="27">
        <v>55658294</v>
      </c>
      <c r="E18" s="27">
        <v>97634</v>
      </c>
      <c r="F18" s="27" t="s">
        <v>55</v>
      </c>
      <c r="G18" s="27">
        <v>10155773</v>
      </c>
      <c r="H18" s="34">
        <v>74583410</v>
      </c>
      <c r="I18" s="34">
        <v>54386847</v>
      </c>
      <c r="J18" s="34">
        <v>13068409</v>
      </c>
      <c r="K18" s="34">
        <v>2434879</v>
      </c>
      <c r="L18" s="34">
        <v>433018</v>
      </c>
      <c r="M18" s="34">
        <v>4260257</v>
      </c>
      <c r="N18" s="34">
        <v>-8671709</v>
      </c>
      <c r="O18" s="41">
        <v>3568593</v>
      </c>
      <c r="P18" s="41">
        <v>759</v>
      </c>
      <c r="Q18" s="41" t="s">
        <v>55</v>
      </c>
      <c r="R18" s="41">
        <v>3443102</v>
      </c>
      <c r="S18" s="41">
        <v>124732</v>
      </c>
      <c r="T18" s="41" t="s">
        <v>55</v>
      </c>
      <c r="U18" s="49">
        <v>47215151</v>
      </c>
      <c r="V18" s="50">
        <v>5982874</v>
      </c>
      <c r="W18" s="50">
        <v>16291</v>
      </c>
      <c r="X18" s="50">
        <v>41152786</v>
      </c>
      <c r="Y18" s="50">
        <v>63200</v>
      </c>
      <c r="Z18" s="50" t="s">
        <v>55</v>
      </c>
      <c r="AA18" s="50">
        <v>-43646558</v>
      </c>
      <c r="AB18" s="56">
        <v>70787676</v>
      </c>
      <c r="AC18" s="56">
        <v>69969924</v>
      </c>
      <c r="AD18" s="56">
        <v>814941</v>
      </c>
      <c r="AE18" s="56" t="s">
        <v>55</v>
      </c>
      <c r="AF18" s="56">
        <v>97</v>
      </c>
      <c r="AG18" s="63">
        <v>17489668</v>
      </c>
      <c r="AH18" s="63" t="s">
        <v>55</v>
      </c>
      <c r="AI18" s="63">
        <v>7279</v>
      </c>
      <c r="AJ18" s="63">
        <v>16997452</v>
      </c>
      <c r="AK18" s="63">
        <v>484937</v>
      </c>
      <c r="AL18" s="63">
        <v>53298008</v>
      </c>
      <c r="AM18" s="7">
        <v>979741</v>
      </c>
      <c r="AN18" s="7">
        <v>2723</v>
      </c>
      <c r="AO18" s="7">
        <v>140267970</v>
      </c>
      <c r="AP18" s="7">
        <v>139288229</v>
      </c>
      <c r="AQ18" s="17">
        <v>65911701</v>
      </c>
      <c r="AR18" s="18">
        <v>55658294</v>
      </c>
      <c r="AS18" s="18">
        <v>97634</v>
      </c>
      <c r="AT18" s="18" t="s">
        <v>55</v>
      </c>
      <c r="AU18" s="18">
        <v>10155773</v>
      </c>
      <c r="AV18" s="17">
        <v>74583410</v>
      </c>
      <c r="AW18" s="18">
        <v>54386847</v>
      </c>
      <c r="AX18" s="18">
        <v>13068409</v>
      </c>
      <c r="AY18" s="18">
        <v>2434879</v>
      </c>
      <c r="AZ18" s="18">
        <v>433018</v>
      </c>
      <c r="BA18" s="18">
        <v>4260257</v>
      </c>
      <c r="BB18" s="18">
        <v>-8671709</v>
      </c>
      <c r="BC18" s="68">
        <v>3568593</v>
      </c>
      <c r="BD18" s="69">
        <v>759</v>
      </c>
      <c r="BE18" s="69" t="s">
        <v>55</v>
      </c>
      <c r="BF18" s="69">
        <v>3443102</v>
      </c>
      <c r="BG18" s="69">
        <v>124732</v>
      </c>
      <c r="BH18" s="69" t="s">
        <v>55</v>
      </c>
      <c r="BI18" s="133">
        <v>47215151</v>
      </c>
      <c r="BJ18" s="134">
        <v>5982874</v>
      </c>
      <c r="BK18" s="134">
        <v>16291</v>
      </c>
      <c r="BL18" s="134">
        <v>41152786</v>
      </c>
      <c r="BM18" s="134">
        <v>63200</v>
      </c>
      <c r="BN18" s="134" t="s">
        <v>55</v>
      </c>
      <c r="BO18" s="134">
        <v>-43646558</v>
      </c>
      <c r="BP18" s="139">
        <v>70787676</v>
      </c>
      <c r="BQ18" s="140">
        <v>69969924</v>
      </c>
      <c r="BR18" s="140">
        <v>814941</v>
      </c>
      <c r="BS18" s="140" t="s">
        <v>55</v>
      </c>
      <c r="BT18" s="140">
        <v>97</v>
      </c>
      <c r="BU18" s="143">
        <v>17489668</v>
      </c>
      <c r="BV18" s="144" t="s">
        <v>55</v>
      </c>
      <c r="BW18" s="144">
        <v>7279</v>
      </c>
      <c r="BX18" s="144">
        <v>16997452</v>
      </c>
      <c r="BY18" s="144">
        <v>484937</v>
      </c>
      <c r="BZ18" s="144">
        <v>53298008</v>
      </c>
      <c r="CA18" s="17">
        <v>979741</v>
      </c>
      <c r="CB18" s="18">
        <v>2723</v>
      </c>
      <c r="CC18" s="18">
        <v>140267970</v>
      </c>
      <c r="CD18" s="18">
        <v>139288229</v>
      </c>
      <c r="CE18" s="22">
        <f t="shared" si="1"/>
        <v>0</v>
      </c>
      <c r="CF18" s="22">
        <f t="shared" si="2"/>
        <v>0</v>
      </c>
      <c r="CG18" s="22">
        <f t="shared" si="3"/>
        <v>0</v>
      </c>
      <c r="CH18" s="22" t="e">
        <f t="shared" si="4"/>
        <v>#VALUE!</v>
      </c>
      <c r="CI18" s="22">
        <f t="shared" si="5"/>
        <v>0</v>
      </c>
      <c r="CJ18" s="22">
        <f t="shared" si="6"/>
        <v>0</v>
      </c>
      <c r="CK18" s="22">
        <f t="shared" si="7"/>
        <v>0</v>
      </c>
      <c r="CL18" s="22">
        <f t="shared" si="8"/>
        <v>0</v>
      </c>
      <c r="CM18" s="22">
        <f t="shared" si="9"/>
        <v>0</v>
      </c>
      <c r="CN18" s="22">
        <f t="shared" si="10"/>
        <v>0</v>
      </c>
      <c r="CO18" s="22">
        <f t="shared" si="11"/>
        <v>0</v>
      </c>
      <c r="CP18" s="22">
        <f t="shared" si="12"/>
        <v>0</v>
      </c>
      <c r="CQ18" s="22">
        <f t="shared" si="13"/>
        <v>0</v>
      </c>
      <c r="CR18" s="22">
        <f t="shared" si="14"/>
        <v>0</v>
      </c>
      <c r="CS18" s="22" t="e">
        <f t="shared" si="15"/>
        <v>#VALUE!</v>
      </c>
      <c r="CT18" s="22">
        <f t="shared" si="16"/>
        <v>0</v>
      </c>
      <c r="CU18" s="22">
        <f t="shared" si="17"/>
        <v>0</v>
      </c>
      <c r="CV18" s="22" t="e">
        <f t="shared" si="18"/>
        <v>#VALUE!</v>
      </c>
      <c r="CW18" s="22">
        <f t="shared" si="19"/>
        <v>0</v>
      </c>
      <c r="CX18" s="22">
        <f t="shared" si="20"/>
        <v>0</v>
      </c>
      <c r="CY18" s="22">
        <f t="shared" si="21"/>
        <v>0</v>
      </c>
      <c r="CZ18" s="22">
        <f t="shared" si="22"/>
        <v>0</v>
      </c>
      <c r="DA18" s="22">
        <f t="shared" si="23"/>
        <v>0</v>
      </c>
      <c r="DB18" s="22" t="e">
        <f t="shared" si="24"/>
        <v>#VALUE!</v>
      </c>
      <c r="DC18" s="22">
        <f t="shared" si="25"/>
        <v>0</v>
      </c>
      <c r="DD18" s="22">
        <f t="shared" si="26"/>
        <v>0</v>
      </c>
      <c r="DE18" s="22">
        <f t="shared" si="27"/>
        <v>0</v>
      </c>
      <c r="DF18" s="22">
        <f t="shared" si="28"/>
        <v>0</v>
      </c>
      <c r="DG18" s="22" t="e">
        <f t="shared" si="29"/>
        <v>#VALUE!</v>
      </c>
      <c r="DH18" s="22">
        <f t="shared" si="30"/>
        <v>0</v>
      </c>
      <c r="DI18" s="22">
        <f t="shared" si="31"/>
        <v>0</v>
      </c>
      <c r="DJ18" s="22" t="e">
        <f t="shared" si="32"/>
        <v>#VALUE!</v>
      </c>
      <c r="DK18" s="22">
        <f t="shared" si="33"/>
        <v>0</v>
      </c>
      <c r="DL18" s="22">
        <f t="shared" si="34"/>
        <v>0</v>
      </c>
      <c r="DM18" s="22">
        <f t="shared" si="35"/>
        <v>0</v>
      </c>
      <c r="DN18" s="22">
        <f t="shared" si="36"/>
        <v>0</v>
      </c>
      <c r="DO18" s="22">
        <f t="shared" si="37"/>
        <v>0</v>
      </c>
      <c r="DP18" s="22">
        <f t="shared" si="38"/>
        <v>0</v>
      </c>
      <c r="DQ18" s="22">
        <f t="shared" si="39"/>
        <v>0</v>
      </c>
      <c r="DR18" s="22">
        <f t="shared" si="40"/>
        <v>0</v>
      </c>
    </row>
    <row r="19" spans="1:122" ht="65.25" thickBot="1">
      <c r="A19" s="11" t="s">
        <v>154</v>
      </c>
      <c r="B19" s="12" t="s">
        <v>75</v>
      </c>
      <c r="C19" s="26">
        <v>5305509</v>
      </c>
      <c r="D19" s="26">
        <v>2908106</v>
      </c>
      <c r="E19" s="26" t="s">
        <v>55</v>
      </c>
      <c r="F19" s="26" t="s">
        <v>55</v>
      </c>
      <c r="G19" s="26">
        <v>2397403</v>
      </c>
      <c r="H19" s="33">
        <v>4802670</v>
      </c>
      <c r="I19" s="33">
        <v>1249969</v>
      </c>
      <c r="J19" s="33">
        <v>2278123</v>
      </c>
      <c r="K19" s="33">
        <v>6570</v>
      </c>
      <c r="L19" s="33">
        <v>359102</v>
      </c>
      <c r="M19" s="33">
        <v>908906</v>
      </c>
      <c r="N19" s="33">
        <v>502839</v>
      </c>
      <c r="O19" s="40">
        <v>860445</v>
      </c>
      <c r="P19" s="40">
        <v>308</v>
      </c>
      <c r="Q19" s="40" t="s">
        <v>55</v>
      </c>
      <c r="R19" s="40" t="s">
        <v>55</v>
      </c>
      <c r="S19" s="40" t="s">
        <v>55</v>
      </c>
      <c r="T19" s="40">
        <v>860137</v>
      </c>
      <c r="U19" s="47">
        <v>1199773</v>
      </c>
      <c r="V19" s="48">
        <v>1199773</v>
      </c>
      <c r="W19" s="48" t="s">
        <v>55</v>
      </c>
      <c r="X19" s="48" t="s">
        <v>55</v>
      </c>
      <c r="Y19" s="48" t="s">
        <v>55</v>
      </c>
      <c r="Z19" s="48" t="s">
        <v>55</v>
      </c>
      <c r="AA19" s="48">
        <v>-339328</v>
      </c>
      <c r="AB19" s="55">
        <v>307388</v>
      </c>
      <c r="AC19" s="55">
        <v>277378</v>
      </c>
      <c r="AD19" s="55">
        <v>30010</v>
      </c>
      <c r="AE19" s="55" t="s">
        <v>55</v>
      </c>
      <c r="AF19" s="55" t="s">
        <v>55</v>
      </c>
      <c r="AG19" s="62">
        <v>287661</v>
      </c>
      <c r="AH19" s="62" t="s">
        <v>55</v>
      </c>
      <c r="AI19" s="62" t="s">
        <v>55</v>
      </c>
      <c r="AJ19" s="62">
        <v>286378</v>
      </c>
      <c r="AK19" s="62">
        <v>1283</v>
      </c>
      <c r="AL19" s="62">
        <v>19727</v>
      </c>
      <c r="AM19" s="13">
        <v>183238</v>
      </c>
      <c r="AN19" s="13" t="s">
        <v>55</v>
      </c>
      <c r="AO19" s="13">
        <v>6473342</v>
      </c>
      <c r="AP19" s="13">
        <v>6290104</v>
      </c>
      <c r="AQ19" s="17">
        <v>5305509</v>
      </c>
      <c r="AR19" s="18">
        <v>2908106</v>
      </c>
      <c r="AS19" s="18" t="s">
        <v>55</v>
      </c>
      <c r="AT19" s="18" t="s">
        <v>55</v>
      </c>
      <c r="AU19" s="18">
        <v>2397403</v>
      </c>
      <c r="AV19" s="17">
        <v>4802670</v>
      </c>
      <c r="AW19" s="18">
        <v>1249969</v>
      </c>
      <c r="AX19" s="18">
        <v>2278123</v>
      </c>
      <c r="AY19" s="18">
        <v>6570</v>
      </c>
      <c r="AZ19" s="18">
        <v>359102</v>
      </c>
      <c r="BA19" s="18">
        <v>908906</v>
      </c>
      <c r="BB19" s="18">
        <v>502839</v>
      </c>
      <c r="BC19" s="68">
        <v>860445</v>
      </c>
      <c r="BD19" s="69">
        <v>308</v>
      </c>
      <c r="BE19" s="69" t="s">
        <v>55</v>
      </c>
      <c r="BF19" s="69" t="s">
        <v>55</v>
      </c>
      <c r="BG19" s="69" t="s">
        <v>55</v>
      </c>
      <c r="BH19" s="69">
        <v>860137</v>
      </c>
      <c r="BI19" s="133">
        <v>1199773</v>
      </c>
      <c r="BJ19" s="134">
        <v>1199773</v>
      </c>
      <c r="BK19" s="134" t="s">
        <v>55</v>
      </c>
      <c r="BL19" s="134" t="s">
        <v>55</v>
      </c>
      <c r="BM19" s="134" t="s">
        <v>55</v>
      </c>
      <c r="BN19" s="134" t="s">
        <v>55</v>
      </c>
      <c r="BO19" s="134">
        <v>-339328</v>
      </c>
      <c r="BP19" s="139">
        <v>307388</v>
      </c>
      <c r="BQ19" s="140">
        <v>277378</v>
      </c>
      <c r="BR19" s="140">
        <v>30010</v>
      </c>
      <c r="BS19" s="140" t="s">
        <v>55</v>
      </c>
      <c r="BT19" s="140" t="s">
        <v>55</v>
      </c>
      <c r="BU19" s="141">
        <v>287661</v>
      </c>
      <c r="BV19" s="142" t="s">
        <v>55</v>
      </c>
      <c r="BW19" s="142" t="s">
        <v>55</v>
      </c>
      <c r="BX19" s="142">
        <v>286378</v>
      </c>
      <c r="BY19" s="142">
        <v>1283</v>
      </c>
      <c r="BZ19" s="142">
        <v>19727</v>
      </c>
      <c r="CA19" s="17">
        <v>183238</v>
      </c>
      <c r="CB19" s="18" t="s">
        <v>55</v>
      </c>
      <c r="CC19" s="18">
        <v>6473342</v>
      </c>
      <c r="CD19" s="18">
        <v>6290104</v>
      </c>
      <c r="CE19" s="22">
        <f t="shared" si="1"/>
        <v>0</v>
      </c>
      <c r="CF19" s="22">
        <f t="shared" si="2"/>
        <v>0</v>
      </c>
      <c r="CG19" s="22" t="e">
        <f t="shared" si="3"/>
        <v>#VALUE!</v>
      </c>
      <c r="CH19" s="22" t="e">
        <f t="shared" si="4"/>
        <v>#VALUE!</v>
      </c>
      <c r="CI19" s="22">
        <f t="shared" si="5"/>
        <v>0</v>
      </c>
      <c r="CJ19" s="22">
        <f t="shared" si="6"/>
        <v>0</v>
      </c>
      <c r="CK19" s="22">
        <f t="shared" si="7"/>
        <v>0</v>
      </c>
      <c r="CL19" s="22">
        <f t="shared" si="8"/>
        <v>0</v>
      </c>
      <c r="CM19" s="22">
        <f t="shared" si="9"/>
        <v>0</v>
      </c>
      <c r="CN19" s="22">
        <f t="shared" si="10"/>
        <v>0</v>
      </c>
      <c r="CO19" s="22">
        <f t="shared" si="11"/>
        <v>0</v>
      </c>
      <c r="CP19" s="22">
        <f t="shared" si="12"/>
        <v>0</v>
      </c>
      <c r="CQ19" s="22">
        <f t="shared" si="13"/>
        <v>0</v>
      </c>
      <c r="CR19" s="22">
        <f t="shared" si="14"/>
        <v>0</v>
      </c>
      <c r="CS19" s="22" t="e">
        <f t="shared" si="15"/>
        <v>#VALUE!</v>
      </c>
      <c r="CT19" s="22" t="e">
        <f t="shared" si="16"/>
        <v>#VALUE!</v>
      </c>
      <c r="CU19" s="22" t="e">
        <f t="shared" si="17"/>
        <v>#VALUE!</v>
      </c>
      <c r="CV19" s="22">
        <f t="shared" si="18"/>
        <v>0</v>
      </c>
      <c r="CW19" s="22">
        <f t="shared" si="19"/>
        <v>0</v>
      </c>
      <c r="CX19" s="22">
        <f t="shared" si="20"/>
        <v>0</v>
      </c>
      <c r="CY19" s="22" t="e">
        <f t="shared" si="21"/>
        <v>#VALUE!</v>
      </c>
      <c r="CZ19" s="22" t="e">
        <f t="shared" si="22"/>
        <v>#VALUE!</v>
      </c>
      <c r="DA19" s="22" t="e">
        <f t="shared" si="23"/>
        <v>#VALUE!</v>
      </c>
      <c r="DB19" s="22" t="e">
        <f t="shared" si="24"/>
        <v>#VALUE!</v>
      </c>
      <c r="DC19" s="22">
        <f t="shared" si="25"/>
        <v>0</v>
      </c>
      <c r="DD19" s="22">
        <f t="shared" si="26"/>
        <v>0</v>
      </c>
      <c r="DE19" s="22">
        <f t="shared" si="27"/>
        <v>0</v>
      </c>
      <c r="DF19" s="22">
        <f t="shared" si="28"/>
        <v>0</v>
      </c>
      <c r="DG19" s="22" t="e">
        <f t="shared" si="29"/>
        <v>#VALUE!</v>
      </c>
      <c r="DH19" s="22" t="e">
        <f t="shared" si="30"/>
        <v>#VALUE!</v>
      </c>
      <c r="DI19" s="22">
        <f t="shared" si="31"/>
        <v>0</v>
      </c>
      <c r="DJ19" s="22" t="e">
        <f t="shared" si="32"/>
        <v>#VALUE!</v>
      </c>
      <c r="DK19" s="22" t="e">
        <f t="shared" si="33"/>
        <v>#VALUE!</v>
      </c>
      <c r="DL19" s="22">
        <f t="shared" si="34"/>
        <v>0</v>
      </c>
      <c r="DM19" s="22">
        <f t="shared" si="35"/>
        <v>0</v>
      </c>
      <c r="DN19" s="22">
        <f t="shared" si="36"/>
        <v>0</v>
      </c>
      <c r="DO19" s="22">
        <f t="shared" si="37"/>
        <v>0</v>
      </c>
      <c r="DP19" s="22" t="e">
        <f t="shared" si="38"/>
        <v>#VALUE!</v>
      </c>
      <c r="DQ19" s="22">
        <f t="shared" si="39"/>
        <v>0</v>
      </c>
      <c r="DR19" s="22">
        <f t="shared" si="40"/>
        <v>0</v>
      </c>
    </row>
    <row r="20" spans="1:122" ht="16.5" thickBot="1">
      <c r="A20" s="2" t="s">
        <v>76</v>
      </c>
      <c r="B20" s="3" t="s">
        <v>77</v>
      </c>
      <c r="C20" s="27">
        <v>4129933</v>
      </c>
      <c r="D20" s="27">
        <v>2210219</v>
      </c>
      <c r="E20" s="27" t="s">
        <v>55</v>
      </c>
      <c r="F20" s="27" t="s">
        <v>55</v>
      </c>
      <c r="G20" s="27">
        <v>1919714</v>
      </c>
      <c r="H20" s="34">
        <v>3701964</v>
      </c>
      <c r="I20" s="34">
        <v>644885</v>
      </c>
      <c r="J20" s="34">
        <v>1858334</v>
      </c>
      <c r="K20" s="34" t="s">
        <v>55</v>
      </c>
      <c r="L20" s="34">
        <v>359102</v>
      </c>
      <c r="M20" s="34">
        <v>839643</v>
      </c>
      <c r="N20" s="34">
        <v>427969</v>
      </c>
      <c r="O20" s="41">
        <v>760910</v>
      </c>
      <c r="P20" s="41">
        <v>308</v>
      </c>
      <c r="Q20" s="41" t="s">
        <v>55</v>
      </c>
      <c r="R20" s="41" t="s">
        <v>55</v>
      </c>
      <c r="S20" s="41" t="s">
        <v>55</v>
      </c>
      <c r="T20" s="41">
        <v>760602</v>
      </c>
      <c r="U20" s="49">
        <v>1111425</v>
      </c>
      <c r="V20" s="50">
        <v>1111425</v>
      </c>
      <c r="W20" s="50" t="s">
        <v>55</v>
      </c>
      <c r="X20" s="50" t="s">
        <v>55</v>
      </c>
      <c r="Y20" s="50" t="s">
        <v>55</v>
      </c>
      <c r="Z20" s="50" t="s">
        <v>55</v>
      </c>
      <c r="AA20" s="50">
        <v>-350515</v>
      </c>
      <c r="AB20" s="56" t="s">
        <v>55</v>
      </c>
      <c r="AC20" s="56" t="s">
        <v>55</v>
      </c>
      <c r="AD20" s="56" t="s">
        <v>55</v>
      </c>
      <c r="AE20" s="56" t="s">
        <v>55</v>
      </c>
      <c r="AF20" s="56" t="s">
        <v>55</v>
      </c>
      <c r="AG20" s="63" t="s">
        <v>55</v>
      </c>
      <c r="AH20" s="63" t="s">
        <v>55</v>
      </c>
      <c r="AI20" s="63" t="s">
        <v>55</v>
      </c>
      <c r="AJ20" s="63" t="s">
        <v>55</v>
      </c>
      <c r="AK20" s="63" t="s">
        <v>55</v>
      </c>
      <c r="AL20" s="63" t="s">
        <v>55</v>
      </c>
      <c r="AM20" s="7">
        <v>77454</v>
      </c>
      <c r="AN20" s="7" t="s">
        <v>55</v>
      </c>
      <c r="AO20" s="7">
        <v>4890843</v>
      </c>
      <c r="AP20" s="7">
        <v>4813389</v>
      </c>
      <c r="AQ20" s="17">
        <v>4129933</v>
      </c>
      <c r="AR20" s="18">
        <v>2210219</v>
      </c>
      <c r="AS20" s="18" t="s">
        <v>55</v>
      </c>
      <c r="AT20" s="18" t="s">
        <v>55</v>
      </c>
      <c r="AU20" s="18">
        <v>1919714</v>
      </c>
      <c r="AV20" s="17">
        <v>3701964</v>
      </c>
      <c r="AW20" s="18">
        <v>644885</v>
      </c>
      <c r="AX20" s="18">
        <v>1858334</v>
      </c>
      <c r="AY20" s="18" t="s">
        <v>55</v>
      </c>
      <c r="AZ20" s="18">
        <v>359102</v>
      </c>
      <c r="BA20" s="18">
        <v>839643</v>
      </c>
      <c r="BB20" s="18">
        <v>427969</v>
      </c>
      <c r="BC20" s="66">
        <v>760910</v>
      </c>
      <c r="BD20" s="67">
        <v>308</v>
      </c>
      <c r="BE20" s="67" t="s">
        <v>55</v>
      </c>
      <c r="BF20" s="67" t="s">
        <v>55</v>
      </c>
      <c r="BG20" s="67" t="s">
        <v>55</v>
      </c>
      <c r="BH20" s="67">
        <v>760602</v>
      </c>
      <c r="BI20" s="133">
        <v>1111425</v>
      </c>
      <c r="BJ20" s="134">
        <v>1111425</v>
      </c>
      <c r="BK20" s="134" t="s">
        <v>55</v>
      </c>
      <c r="BL20" s="134" t="s">
        <v>55</v>
      </c>
      <c r="BM20" s="134" t="s">
        <v>55</v>
      </c>
      <c r="BN20" s="134" t="s">
        <v>55</v>
      </c>
      <c r="BO20" s="134">
        <v>-350515</v>
      </c>
      <c r="BP20" s="139"/>
      <c r="BQ20" s="140"/>
      <c r="BR20" s="140"/>
      <c r="BS20" s="140"/>
      <c r="BT20" s="140"/>
      <c r="BU20" s="143"/>
      <c r="BV20" s="144"/>
      <c r="BW20" s="144"/>
      <c r="BX20" s="144"/>
      <c r="BY20" s="144"/>
      <c r="BZ20" s="144"/>
      <c r="CA20" s="17">
        <v>77454</v>
      </c>
      <c r="CB20" s="18" t="s">
        <v>55</v>
      </c>
      <c r="CC20" s="18">
        <v>4890843</v>
      </c>
      <c r="CD20" s="18">
        <v>4813389</v>
      </c>
      <c r="CE20" s="22">
        <f t="shared" si="1"/>
        <v>0</v>
      </c>
      <c r="CF20" s="22">
        <f t="shared" si="2"/>
        <v>0</v>
      </c>
      <c r="CG20" s="22" t="e">
        <f t="shared" si="3"/>
        <v>#VALUE!</v>
      </c>
      <c r="CH20" s="22" t="e">
        <f t="shared" si="4"/>
        <v>#VALUE!</v>
      </c>
      <c r="CI20" s="22">
        <f t="shared" si="5"/>
        <v>0</v>
      </c>
      <c r="CJ20" s="22">
        <f t="shared" si="6"/>
        <v>0</v>
      </c>
      <c r="CK20" s="22">
        <f t="shared" si="7"/>
        <v>0</v>
      </c>
      <c r="CL20" s="22">
        <f t="shared" si="8"/>
        <v>0</v>
      </c>
      <c r="CM20" s="22" t="e">
        <f t="shared" si="9"/>
        <v>#VALUE!</v>
      </c>
      <c r="CN20" s="22">
        <f t="shared" si="10"/>
        <v>0</v>
      </c>
      <c r="CO20" s="22">
        <f t="shared" si="11"/>
        <v>0</v>
      </c>
      <c r="CP20" s="22">
        <f t="shared" si="12"/>
        <v>0</v>
      </c>
      <c r="CQ20" s="22">
        <f t="shared" si="13"/>
        <v>0</v>
      </c>
      <c r="CR20" s="22">
        <f t="shared" si="14"/>
        <v>0</v>
      </c>
      <c r="CS20" s="22" t="e">
        <f t="shared" si="15"/>
        <v>#VALUE!</v>
      </c>
      <c r="CT20" s="22" t="e">
        <f t="shared" si="16"/>
        <v>#VALUE!</v>
      </c>
      <c r="CU20" s="22" t="e">
        <f t="shared" si="17"/>
        <v>#VALUE!</v>
      </c>
      <c r="CV20" s="22">
        <f t="shared" si="18"/>
        <v>0</v>
      </c>
      <c r="CW20" s="22">
        <f t="shared" si="19"/>
        <v>0</v>
      </c>
      <c r="CX20" s="22">
        <f t="shared" si="20"/>
        <v>0</v>
      </c>
      <c r="CY20" s="22" t="e">
        <f t="shared" si="21"/>
        <v>#VALUE!</v>
      </c>
      <c r="CZ20" s="22" t="e">
        <f t="shared" si="22"/>
        <v>#VALUE!</v>
      </c>
      <c r="DA20" s="22" t="e">
        <f t="shared" si="23"/>
        <v>#VALUE!</v>
      </c>
      <c r="DB20" s="22" t="e">
        <f t="shared" si="24"/>
        <v>#VALUE!</v>
      </c>
      <c r="DC20" s="22">
        <f t="shared" si="25"/>
        <v>0</v>
      </c>
      <c r="DD20" s="22" t="e">
        <f t="shared" si="26"/>
        <v>#VALUE!</v>
      </c>
      <c r="DE20" s="22" t="e">
        <f t="shared" si="27"/>
        <v>#VALUE!</v>
      </c>
      <c r="DF20" s="22" t="e">
        <f t="shared" si="28"/>
        <v>#VALUE!</v>
      </c>
      <c r="DG20" s="22" t="e">
        <f t="shared" si="29"/>
        <v>#VALUE!</v>
      </c>
      <c r="DH20" s="22" t="e">
        <f t="shared" si="30"/>
        <v>#VALUE!</v>
      </c>
      <c r="DI20" s="22" t="e">
        <f t="shared" si="31"/>
        <v>#VALUE!</v>
      </c>
      <c r="DJ20" s="22" t="e">
        <f t="shared" si="32"/>
        <v>#VALUE!</v>
      </c>
      <c r="DK20" s="22" t="e">
        <f t="shared" si="33"/>
        <v>#VALUE!</v>
      </c>
      <c r="DL20" s="22" t="e">
        <f t="shared" si="34"/>
        <v>#VALUE!</v>
      </c>
      <c r="DM20" s="22" t="e">
        <f t="shared" si="35"/>
        <v>#VALUE!</v>
      </c>
      <c r="DN20" s="22" t="e">
        <f t="shared" si="36"/>
        <v>#VALUE!</v>
      </c>
      <c r="DO20" s="22">
        <f t="shared" si="37"/>
        <v>0</v>
      </c>
      <c r="DP20" s="22" t="e">
        <f t="shared" si="38"/>
        <v>#VALUE!</v>
      </c>
      <c r="DQ20" s="22">
        <f t="shared" si="39"/>
        <v>0</v>
      </c>
      <c r="DR20" s="22">
        <f t="shared" si="40"/>
        <v>0</v>
      </c>
    </row>
    <row r="21" spans="1:122" s="14" customFormat="1" ht="52.5" thickBot="1">
      <c r="A21" s="11" t="s">
        <v>156</v>
      </c>
      <c r="B21" s="12" t="s">
        <v>85</v>
      </c>
      <c r="C21" s="26">
        <v>93765675</v>
      </c>
      <c r="D21" s="26">
        <v>90613728</v>
      </c>
      <c r="E21" s="26">
        <v>237284</v>
      </c>
      <c r="F21" s="26" t="s">
        <v>55</v>
      </c>
      <c r="G21" s="26">
        <v>2914663</v>
      </c>
      <c r="H21" s="33">
        <v>90882411</v>
      </c>
      <c r="I21" s="33">
        <v>82919244</v>
      </c>
      <c r="J21" s="33">
        <v>3576808</v>
      </c>
      <c r="K21" s="33">
        <v>1637150</v>
      </c>
      <c r="L21" s="33">
        <v>429308</v>
      </c>
      <c r="M21" s="33">
        <v>2319901</v>
      </c>
      <c r="N21" s="33">
        <v>2883264</v>
      </c>
      <c r="O21" s="40">
        <v>1931504</v>
      </c>
      <c r="P21" s="40">
        <v>94</v>
      </c>
      <c r="Q21" s="40" t="s">
        <v>55</v>
      </c>
      <c r="R21" s="40">
        <v>1577274</v>
      </c>
      <c r="S21" s="40">
        <v>354136</v>
      </c>
      <c r="T21" s="40" t="s">
        <v>55</v>
      </c>
      <c r="U21" s="47">
        <v>1486284</v>
      </c>
      <c r="V21" s="48">
        <v>404894</v>
      </c>
      <c r="W21" s="48">
        <v>772164</v>
      </c>
      <c r="X21" s="48">
        <v>307752</v>
      </c>
      <c r="Y21" s="48">
        <v>1474</v>
      </c>
      <c r="Z21" s="48" t="s">
        <v>55</v>
      </c>
      <c r="AA21" s="48">
        <v>445220</v>
      </c>
      <c r="AB21" s="55">
        <v>25583331</v>
      </c>
      <c r="AC21" s="55">
        <v>25576548</v>
      </c>
      <c r="AD21" s="55" t="s">
        <v>55</v>
      </c>
      <c r="AE21" s="55" t="s">
        <v>55</v>
      </c>
      <c r="AF21" s="55">
        <v>6783</v>
      </c>
      <c r="AG21" s="62">
        <v>26574966</v>
      </c>
      <c r="AH21" s="62" t="s">
        <v>55</v>
      </c>
      <c r="AI21" s="62">
        <v>696082</v>
      </c>
      <c r="AJ21" s="62">
        <v>25594964</v>
      </c>
      <c r="AK21" s="62">
        <v>283920</v>
      </c>
      <c r="AL21" s="62">
        <v>-991635</v>
      </c>
      <c r="AM21" s="13">
        <v>2336849</v>
      </c>
      <c r="AN21" s="13">
        <v>3110</v>
      </c>
      <c r="AO21" s="13">
        <v>121280510</v>
      </c>
      <c r="AP21" s="13">
        <v>118943661</v>
      </c>
      <c r="AQ21" s="17">
        <v>93765675</v>
      </c>
      <c r="AR21" s="18">
        <v>90613728</v>
      </c>
      <c r="AS21" s="18">
        <v>237284</v>
      </c>
      <c r="AT21" s="18" t="s">
        <v>55</v>
      </c>
      <c r="AU21" s="18">
        <v>2914663</v>
      </c>
      <c r="AV21" s="15">
        <v>90882411</v>
      </c>
      <c r="AW21" s="21">
        <v>82919244</v>
      </c>
      <c r="AX21" s="21">
        <v>3576808</v>
      </c>
      <c r="AY21" s="21">
        <v>1637150</v>
      </c>
      <c r="AZ21" s="21">
        <v>429308</v>
      </c>
      <c r="BA21" s="21">
        <v>2319901</v>
      </c>
      <c r="BB21" s="21">
        <v>2883264</v>
      </c>
      <c r="BC21" s="68">
        <v>1931504</v>
      </c>
      <c r="BD21" s="69">
        <v>94</v>
      </c>
      <c r="BE21" s="69" t="s">
        <v>55</v>
      </c>
      <c r="BF21" s="69">
        <v>1577274</v>
      </c>
      <c r="BG21" s="69">
        <v>354136</v>
      </c>
      <c r="BH21" s="69" t="s">
        <v>55</v>
      </c>
      <c r="BI21" s="133">
        <v>1486284</v>
      </c>
      <c r="BJ21" s="134">
        <v>404894</v>
      </c>
      <c r="BK21" s="134">
        <v>772164</v>
      </c>
      <c r="BL21" s="134">
        <v>307752</v>
      </c>
      <c r="BM21" s="134">
        <v>1474</v>
      </c>
      <c r="BN21" s="134" t="s">
        <v>55</v>
      </c>
      <c r="BO21" s="134">
        <v>445220</v>
      </c>
      <c r="BP21" s="139">
        <v>25583331</v>
      </c>
      <c r="BQ21" s="140">
        <v>25576548</v>
      </c>
      <c r="BR21" s="140" t="s">
        <v>55</v>
      </c>
      <c r="BS21" s="140" t="s">
        <v>55</v>
      </c>
      <c r="BT21" s="140">
        <v>6783</v>
      </c>
      <c r="BU21" s="143">
        <v>26574966</v>
      </c>
      <c r="BV21" s="144" t="s">
        <v>55</v>
      </c>
      <c r="BW21" s="144">
        <v>696082</v>
      </c>
      <c r="BX21" s="144">
        <v>25594964</v>
      </c>
      <c r="BY21" s="144">
        <v>283920</v>
      </c>
      <c r="BZ21" s="144">
        <v>-991635</v>
      </c>
      <c r="CA21" s="17">
        <v>2336849</v>
      </c>
      <c r="CB21" s="18">
        <v>3110</v>
      </c>
      <c r="CC21" s="18">
        <v>121280510</v>
      </c>
      <c r="CD21" s="18">
        <v>118943661</v>
      </c>
      <c r="CE21" s="22">
        <f t="shared" si="1"/>
        <v>0</v>
      </c>
      <c r="CF21" s="22">
        <f t="shared" si="2"/>
        <v>0</v>
      </c>
      <c r="CG21" s="22">
        <f t="shared" si="3"/>
        <v>0</v>
      </c>
      <c r="CH21" s="22" t="e">
        <f t="shared" si="4"/>
        <v>#VALUE!</v>
      </c>
      <c r="CI21" s="22">
        <f t="shared" si="5"/>
        <v>0</v>
      </c>
      <c r="CJ21" s="22">
        <f t="shared" si="6"/>
        <v>0</v>
      </c>
      <c r="CK21" s="22">
        <f t="shared" si="7"/>
        <v>0</v>
      </c>
      <c r="CL21" s="22">
        <f t="shared" si="8"/>
        <v>0</v>
      </c>
      <c r="CM21" s="22">
        <f t="shared" si="9"/>
        <v>0</v>
      </c>
      <c r="CN21" s="22">
        <f t="shared" si="10"/>
        <v>0</v>
      </c>
      <c r="CO21" s="22">
        <f t="shared" si="11"/>
        <v>0</v>
      </c>
      <c r="CP21" s="22">
        <f t="shared" si="12"/>
        <v>0</v>
      </c>
      <c r="CQ21" s="22">
        <f t="shared" si="13"/>
        <v>0</v>
      </c>
      <c r="CR21" s="22">
        <f t="shared" si="14"/>
        <v>0</v>
      </c>
      <c r="CS21" s="22" t="e">
        <f t="shared" si="15"/>
        <v>#VALUE!</v>
      </c>
      <c r="CT21" s="22">
        <f t="shared" si="16"/>
        <v>0</v>
      </c>
      <c r="CU21" s="22">
        <f t="shared" si="17"/>
        <v>0</v>
      </c>
      <c r="CV21" s="22" t="e">
        <f t="shared" si="18"/>
        <v>#VALUE!</v>
      </c>
      <c r="CW21" s="22">
        <f t="shared" si="19"/>
        <v>0</v>
      </c>
      <c r="CX21" s="22">
        <f t="shared" si="20"/>
        <v>0</v>
      </c>
      <c r="CY21" s="22">
        <f t="shared" si="21"/>
        <v>0</v>
      </c>
      <c r="CZ21" s="22">
        <f t="shared" si="22"/>
        <v>0</v>
      </c>
      <c r="DA21" s="22">
        <f t="shared" si="23"/>
        <v>0</v>
      </c>
      <c r="DB21" s="22" t="e">
        <f t="shared" si="24"/>
        <v>#VALUE!</v>
      </c>
      <c r="DC21" s="22">
        <f t="shared" si="25"/>
        <v>0</v>
      </c>
      <c r="DD21" s="22">
        <f t="shared" si="26"/>
        <v>0</v>
      </c>
      <c r="DE21" s="22">
        <f t="shared" si="27"/>
        <v>0</v>
      </c>
      <c r="DF21" s="22" t="e">
        <f t="shared" si="28"/>
        <v>#VALUE!</v>
      </c>
      <c r="DG21" s="22" t="e">
        <f t="shared" si="29"/>
        <v>#VALUE!</v>
      </c>
      <c r="DH21" s="22">
        <f t="shared" si="30"/>
        <v>0</v>
      </c>
      <c r="DI21" s="22">
        <f t="shared" si="31"/>
        <v>0</v>
      </c>
      <c r="DJ21" s="22" t="e">
        <f t="shared" si="32"/>
        <v>#VALUE!</v>
      </c>
      <c r="DK21" s="22">
        <f t="shared" si="33"/>
        <v>0</v>
      </c>
      <c r="DL21" s="22">
        <f t="shared" si="34"/>
        <v>0</v>
      </c>
      <c r="DM21" s="22">
        <f t="shared" si="35"/>
        <v>0</v>
      </c>
      <c r="DN21" s="22">
        <f t="shared" si="36"/>
        <v>0</v>
      </c>
      <c r="DO21" s="22">
        <f t="shared" si="37"/>
        <v>0</v>
      </c>
      <c r="DP21" s="22">
        <f t="shared" si="38"/>
        <v>0</v>
      </c>
      <c r="DQ21" s="22">
        <f t="shared" si="39"/>
        <v>0</v>
      </c>
      <c r="DR21" s="22">
        <f t="shared" si="40"/>
        <v>0</v>
      </c>
    </row>
    <row r="22" spans="1:122" ht="39">
      <c r="A22" s="2" t="s">
        <v>86</v>
      </c>
      <c r="B22" s="3" t="s">
        <v>87</v>
      </c>
      <c r="C22" s="27">
        <v>78532612</v>
      </c>
      <c r="D22" s="27">
        <v>75646552</v>
      </c>
      <c r="E22" s="27">
        <v>200609</v>
      </c>
      <c r="F22" s="27" t="s">
        <v>55</v>
      </c>
      <c r="G22" s="27">
        <v>2685451</v>
      </c>
      <c r="H22" s="34">
        <v>76518123</v>
      </c>
      <c r="I22" s="34">
        <v>71317859</v>
      </c>
      <c r="J22" s="34">
        <v>1591108</v>
      </c>
      <c r="K22" s="34">
        <v>1461673</v>
      </c>
      <c r="L22" s="34">
        <v>371992</v>
      </c>
      <c r="M22" s="34">
        <v>1775491</v>
      </c>
      <c r="N22" s="34">
        <v>2014489</v>
      </c>
      <c r="O22" s="41">
        <v>1913174</v>
      </c>
      <c r="P22" s="41">
        <v>75</v>
      </c>
      <c r="Q22" s="41" t="s">
        <v>55</v>
      </c>
      <c r="R22" s="41">
        <v>1566924</v>
      </c>
      <c r="S22" s="41">
        <v>346175</v>
      </c>
      <c r="T22" s="41" t="s">
        <v>55</v>
      </c>
      <c r="U22" s="49">
        <v>1293832</v>
      </c>
      <c r="V22" s="50">
        <v>218916</v>
      </c>
      <c r="W22" s="50">
        <v>772164</v>
      </c>
      <c r="X22" s="50">
        <v>302752</v>
      </c>
      <c r="Y22" s="50" t="s">
        <v>55</v>
      </c>
      <c r="Z22" s="50" t="s">
        <v>55</v>
      </c>
      <c r="AA22" s="50">
        <v>619342</v>
      </c>
      <c r="AB22" s="56">
        <v>25539928</v>
      </c>
      <c r="AC22" s="56">
        <v>25533746</v>
      </c>
      <c r="AD22" s="56" t="s">
        <v>55</v>
      </c>
      <c r="AE22" s="56" t="s">
        <v>55</v>
      </c>
      <c r="AF22" s="56">
        <v>6182</v>
      </c>
      <c r="AG22" s="63">
        <v>26190871</v>
      </c>
      <c r="AH22" s="63" t="s">
        <v>55</v>
      </c>
      <c r="AI22" s="63">
        <v>694572</v>
      </c>
      <c r="AJ22" s="63">
        <v>25284127</v>
      </c>
      <c r="AK22" s="63">
        <v>212172</v>
      </c>
      <c r="AL22" s="63">
        <v>-650943</v>
      </c>
      <c r="AM22" s="7">
        <v>1982888</v>
      </c>
      <c r="AN22" s="7">
        <v>3110</v>
      </c>
      <c r="AO22" s="7">
        <v>105985714</v>
      </c>
      <c r="AP22" s="7">
        <v>104002826</v>
      </c>
      <c r="AQ22" s="15">
        <v>78532612</v>
      </c>
      <c r="AR22" s="21">
        <v>75646552</v>
      </c>
      <c r="AS22" s="21">
        <v>200609</v>
      </c>
      <c r="AT22" s="21" t="s">
        <v>55</v>
      </c>
      <c r="AU22" s="21">
        <v>2685451</v>
      </c>
      <c r="AV22" s="17">
        <v>76518123</v>
      </c>
      <c r="AW22" s="18">
        <v>71317859</v>
      </c>
      <c r="AX22" s="18">
        <v>1591108</v>
      </c>
      <c r="AY22" s="18">
        <v>1461673</v>
      </c>
      <c r="AZ22" s="18">
        <v>371992</v>
      </c>
      <c r="BA22" s="18">
        <v>1775491</v>
      </c>
      <c r="BB22" s="18">
        <v>2014489</v>
      </c>
      <c r="BC22" s="68">
        <v>1913174</v>
      </c>
      <c r="BD22" s="69">
        <v>75</v>
      </c>
      <c r="BE22" s="69" t="s">
        <v>55</v>
      </c>
      <c r="BF22" s="69">
        <v>1566924</v>
      </c>
      <c r="BG22" s="69">
        <v>346175</v>
      </c>
      <c r="BH22" s="69" t="s">
        <v>55</v>
      </c>
      <c r="BI22" s="131">
        <v>1293832</v>
      </c>
      <c r="BJ22" s="132">
        <v>218916</v>
      </c>
      <c r="BK22" s="132">
        <v>772164</v>
      </c>
      <c r="BL22" s="132">
        <v>302752</v>
      </c>
      <c r="BM22" s="132" t="s">
        <v>55</v>
      </c>
      <c r="BN22" s="132" t="s">
        <v>55</v>
      </c>
      <c r="BO22" s="132">
        <v>619342</v>
      </c>
      <c r="BP22" s="139">
        <v>25539928</v>
      </c>
      <c r="BQ22" s="140">
        <v>25533746</v>
      </c>
      <c r="BR22" s="140" t="s">
        <v>55</v>
      </c>
      <c r="BS22" s="140" t="s">
        <v>55</v>
      </c>
      <c r="BT22" s="140">
        <v>6182</v>
      </c>
      <c r="BU22" s="143">
        <v>26190871</v>
      </c>
      <c r="BV22" s="144" t="s">
        <v>55</v>
      </c>
      <c r="BW22" s="144">
        <v>694572</v>
      </c>
      <c r="BX22" s="144">
        <v>25284127</v>
      </c>
      <c r="BY22" s="144">
        <v>212172</v>
      </c>
      <c r="BZ22" s="144">
        <v>-650943</v>
      </c>
      <c r="CA22" s="17">
        <v>1982888</v>
      </c>
      <c r="CB22" s="18">
        <v>3110</v>
      </c>
      <c r="CC22" s="18">
        <v>105985714</v>
      </c>
      <c r="CD22" s="18">
        <v>104002826</v>
      </c>
      <c r="CE22" s="22">
        <f t="shared" si="1"/>
        <v>0</v>
      </c>
      <c r="CF22" s="22">
        <f t="shared" si="2"/>
        <v>0</v>
      </c>
      <c r="CG22" s="22">
        <f t="shared" si="3"/>
        <v>0</v>
      </c>
      <c r="CH22" s="22" t="e">
        <f t="shared" si="4"/>
        <v>#VALUE!</v>
      </c>
      <c r="CI22" s="22">
        <f t="shared" si="5"/>
        <v>0</v>
      </c>
      <c r="CJ22" s="22">
        <f t="shared" si="6"/>
        <v>0</v>
      </c>
      <c r="CK22" s="22">
        <f t="shared" si="7"/>
        <v>0</v>
      </c>
      <c r="CL22" s="22">
        <f t="shared" si="8"/>
        <v>0</v>
      </c>
      <c r="CM22" s="22">
        <f t="shared" si="9"/>
        <v>0</v>
      </c>
      <c r="CN22" s="22">
        <f t="shared" si="10"/>
        <v>0</v>
      </c>
      <c r="CO22" s="22">
        <f t="shared" si="11"/>
        <v>0</v>
      </c>
      <c r="CP22" s="22">
        <f t="shared" si="12"/>
        <v>0</v>
      </c>
      <c r="CQ22" s="22">
        <f t="shared" si="13"/>
        <v>0</v>
      </c>
      <c r="CR22" s="22">
        <f t="shared" si="14"/>
        <v>0</v>
      </c>
      <c r="CS22" s="22" t="e">
        <f t="shared" si="15"/>
        <v>#VALUE!</v>
      </c>
      <c r="CT22" s="22">
        <f t="shared" si="16"/>
        <v>0</v>
      </c>
      <c r="CU22" s="22">
        <f t="shared" si="17"/>
        <v>0</v>
      </c>
      <c r="CV22" s="22" t="e">
        <f t="shared" si="18"/>
        <v>#VALUE!</v>
      </c>
      <c r="CW22" s="22">
        <f t="shared" si="19"/>
        <v>0</v>
      </c>
      <c r="CX22" s="22">
        <f t="shared" si="20"/>
        <v>0</v>
      </c>
      <c r="CY22" s="22">
        <f t="shared" si="21"/>
        <v>0</v>
      </c>
      <c r="CZ22" s="22">
        <f t="shared" si="22"/>
        <v>0</v>
      </c>
      <c r="DA22" s="22" t="e">
        <f t="shared" si="23"/>
        <v>#VALUE!</v>
      </c>
      <c r="DB22" s="22" t="e">
        <f t="shared" si="24"/>
        <v>#VALUE!</v>
      </c>
      <c r="DC22" s="22">
        <f t="shared" si="25"/>
        <v>0</v>
      </c>
      <c r="DD22" s="22">
        <f t="shared" si="26"/>
        <v>0</v>
      </c>
      <c r="DE22" s="22">
        <f t="shared" si="27"/>
        <v>0</v>
      </c>
      <c r="DF22" s="22" t="e">
        <f t="shared" si="28"/>
        <v>#VALUE!</v>
      </c>
      <c r="DG22" s="22" t="e">
        <f t="shared" si="29"/>
        <v>#VALUE!</v>
      </c>
      <c r="DH22" s="22">
        <f t="shared" si="30"/>
        <v>0</v>
      </c>
      <c r="DI22" s="22">
        <f t="shared" si="31"/>
        <v>0</v>
      </c>
      <c r="DJ22" s="22" t="e">
        <f t="shared" si="32"/>
        <v>#VALUE!</v>
      </c>
      <c r="DK22" s="22">
        <f t="shared" si="33"/>
        <v>0</v>
      </c>
      <c r="DL22" s="22">
        <f t="shared" si="34"/>
        <v>0</v>
      </c>
      <c r="DM22" s="22">
        <f t="shared" si="35"/>
        <v>0</v>
      </c>
      <c r="DN22" s="22">
        <f t="shared" si="36"/>
        <v>0</v>
      </c>
      <c r="DO22" s="22">
        <f t="shared" si="37"/>
        <v>0</v>
      </c>
      <c r="DP22" s="22">
        <f t="shared" si="38"/>
        <v>0</v>
      </c>
      <c r="DQ22" s="22">
        <f t="shared" si="39"/>
        <v>0</v>
      </c>
      <c r="DR22" s="22">
        <f t="shared" si="40"/>
        <v>0</v>
      </c>
    </row>
    <row r="23" spans="1:122" s="14" customFormat="1" ht="39.75" thickBot="1">
      <c r="A23" s="2" t="s">
        <v>88</v>
      </c>
      <c r="B23" s="3" t="s">
        <v>89</v>
      </c>
      <c r="C23" s="27">
        <v>15233063</v>
      </c>
      <c r="D23" s="27">
        <v>14967176</v>
      </c>
      <c r="E23" s="27">
        <v>36675</v>
      </c>
      <c r="F23" s="27" t="s">
        <v>55</v>
      </c>
      <c r="G23" s="27">
        <v>229212</v>
      </c>
      <c r="H23" s="34">
        <v>14364288</v>
      </c>
      <c r="I23" s="34">
        <v>11601385</v>
      </c>
      <c r="J23" s="34">
        <v>1985700</v>
      </c>
      <c r="K23" s="34">
        <v>175477</v>
      </c>
      <c r="L23" s="34">
        <v>57316</v>
      </c>
      <c r="M23" s="34">
        <v>544410</v>
      </c>
      <c r="N23" s="34">
        <v>868775</v>
      </c>
      <c r="O23" s="41">
        <v>18330</v>
      </c>
      <c r="P23" s="41">
        <v>19</v>
      </c>
      <c r="Q23" s="41" t="s">
        <v>55</v>
      </c>
      <c r="R23" s="41">
        <v>10350</v>
      </c>
      <c r="S23" s="41">
        <v>7961</v>
      </c>
      <c r="T23" s="41" t="s">
        <v>55</v>
      </c>
      <c r="U23" s="49">
        <v>192452</v>
      </c>
      <c r="V23" s="50">
        <v>185978</v>
      </c>
      <c r="W23" s="50" t="s">
        <v>55</v>
      </c>
      <c r="X23" s="50">
        <v>5000</v>
      </c>
      <c r="Y23" s="50">
        <v>1474</v>
      </c>
      <c r="Z23" s="50" t="s">
        <v>55</v>
      </c>
      <c r="AA23" s="50">
        <v>-174122</v>
      </c>
      <c r="AB23" s="56">
        <v>43403</v>
      </c>
      <c r="AC23" s="56">
        <v>42802</v>
      </c>
      <c r="AD23" s="56" t="s">
        <v>55</v>
      </c>
      <c r="AE23" s="56" t="s">
        <v>55</v>
      </c>
      <c r="AF23" s="56">
        <v>601</v>
      </c>
      <c r="AG23" s="63">
        <v>384095</v>
      </c>
      <c r="AH23" s="63" t="s">
        <v>55</v>
      </c>
      <c r="AI23" s="63">
        <v>1510</v>
      </c>
      <c r="AJ23" s="63">
        <v>310837</v>
      </c>
      <c r="AK23" s="63">
        <v>71748</v>
      </c>
      <c r="AL23" s="63">
        <v>-340692</v>
      </c>
      <c r="AM23" s="7">
        <v>353961</v>
      </c>
      <c r="AN23" s="7" t="s">
        <v>55</v>
      </c>
      <c r="AO23" s="7">
        <v>15294796</v>
      </c>
      <c r="AP23" s="7">
        <v>14940835</v>
      </c>
      <c r="AQ23" s="17">
        <v>15233063</v>
      </c>
      <c r="AR23" s="18">
        <v>14967176</v>
      </c>
      <c r="AS23" s="18">
        <v>36675</v>
      </c>
      <c r="AT23" s="18" t="s">
        <v>55</v>
      </c>
      <c r="AU23" s="18">
        <v>229212</v>
      </c>
      <c r="AV23" s="17">
        <v>14364288</v>
      </c>
      <c r="AW23" s="18">
        <v>11601385</v>
      </c>
      <c r="AX23" s="18">
        <v>1985700</v>
      </c>
      <c r="AY23" s="18">
        <v>175477</v>
      </c>
      <c r="AZ23" s="18">
        <v>57316</v>
      </c>
      <c r="BA23" s="18">
        <v>544410</v>
      </c>
      <c r="BB23" s="18">
        <v>868775</v>
      </c>
      <c r="BC23" s="68">
        <v>18330</v>
      </c>
      <c r="BD23" s="69">
        <v>19</v>
      </c>
      <c r="BE23" s="69" t="s">
        <v>55</v>
      </c>
      <c r="BF23" s="69">
        <v>10350</v>
      </c>
      <c r="BG23" s="69">
        <v>7961</v>
      </c>
      <c r="BH23" s="69" t="s">
        <v>55</v>
      </c>
      <c r="BI23" s="133">
        <v>192452</v>
      </c>
      <c r="BJ23" s="134">
        <v>185978</v>
      </c>
      <c r="BK23" s="134" t="s">
        <v>55</v>
      </c>
      <c r="BL23" s="134">
        <v>5000</v>
      </c>
      <c r="BM23" s="134">
        <v>1474</v>
      </c>
      <c r="BN23" s="134" t="s">
        <v>55</v>
      </c>
      <c r="BO23" s="134">
        <v>-174122</v>
      </c>
      <c r="BP23" s="139">
        <v>43403</v>
      </c>
      <c r="BQ23" s="140">
        <v>42802</v>
      </c>
      <c r="BR23" s="140" t="s">
        <v>55</v>
      </c>
      <c r="BS23" s="140" t="s">
        <v>55</v>
      </c>
      <c r="BT23" s="140">
        <v>601</v>
      </c>
      <c r="BU23" s="143">
        <v>384095</v>
      </c>
      <c r="BV23" s="144" t="s">
        <v>55</v>
      </c>
      <c r="BW23" s="144">
        <v>1510</v>
      </c>
      <c r="BX23" s="144">
        <v>310837</v>
      </c>
      <c r="BY23" s="144">
        <v>71748</v>
      </c>
      <c r="BZ23" s="144">
        <v>-340692</v>
      </c>
      <c r="CA23" s="17">
        <v>353961</v>
      </c>
      <c r="CB23" s="18" t="s">
        <v>55</v>
      </c>
      <c r="CC23" s="18">
        <v>15294796</v>
      </c>
      <c r="CD23" s="18">
        <v>14940835</v>
      </c>
      <c r="CE23" s="22">
        <f t="shared" si="1"/>
        <v>0</v>
      </c>
      <c r="CF23" s="22">
        <f t="shared" si="2"/>
        <v>0</v>
      </c>
      <c r="CG23" s="22">
        <f t="shared" si="3"/>
        <v>0</v>
      </c>
      <c r="CH23" s="22" t="e">
        <f t="shared" si="4"/>
        <v>#VALUE!</v>
      </c>
      <c r="CI23" s="22">
        <f t="shared" si="5"/>
        <v>0</v>
      </c>
      <c r="CJ23" s="22">
        <f t="shared" si="6"/>
        <v>0</v>
      </c>
      <c r="CK23" s="22">
        <f t="shared" si="7"/>
        <v>0</v>
      </c>
      <c r="CL23" s="22">
        <f t="shared" si="8"/>
        <v>0</v>
      </c>
      <c r="CM23" s="22">
        <f t="shared" si="9"/>
        <v>0</v>
      </c>
      <c r="CN23" s="22">
        <f t="shared" si="10"/>
        <v>0</v>
      </c>
      <c r="CO23" s="22">
        <f t="shared" si="11"/>
        <v>0</v>
      </c>
      <c r="CP23" s="22">
        <f t="shared" si="12"/>
        <v>0</v>
      </c>
      <c r="CQ23" s="22">
        <f t="shared" si="13"/>
        <v>0</v>
      </c>
      <c r="CR23" s="22">
        <f t="shared" si="14"/>
        <v>0</v>
      </c>
      <c r="CS23" s="22" t="e">
        <f t="shared" si="15"/>
        <v>#VALUE!</v>
      </c>
      <c r="CT23" s="22">
        <f t="shared" si="16"/>
        <v>0</v>
      </c>
      <c r="CU23" s="22">
        <f t="shared" si="17"/>
        <v>0</v>
      </c>
      <c r="CV23" s="22" t="e">
        <f t="shared" si="18"/>
        <v>#VALUE!</v>
      </c>
      <c r="CW23" s="22">
        <f t="shared" si="19"/>
        <v>0</v>
      </c>
      <c r="CX23" s="22">
        <f t="shared" si="20"/>
        <v>0</v>
      </c>
      <c r="CY23" s="22" t="e">
        <f t="shared" si="21"/>
        <v>#VALUE!</v>
      </c>
      <c r="CZ23" s="22">
        <f t="shared" si="22"/>
        <v>0</v>
      </c>
      <c r="DA23" s="22">
        <f t="shared" si="23"/>
        <v>0</v>
      </c>
      <c r="DB23" s="22" t="e">
        <f t="shared" si="24"/>
        <v>#VALUE!</v>
      </c>
      <c r="DC23" s="22">
        <f t="shared" si="25"/>
        <v>0</v>
      </c>
      <c r="DD23" s="22">
        <f t="shared" si="26"/>
        <v>0</v>
      </c>
      <c r="DE23" s="22">
        <f t="shared" si="27"/>
        <v>0</v>
      </c>
      <c r="DF23" s="22" t="e">
        <f t="shared" si="28"/>
        <v>#VALUE!</v>
      </c>
      <c r="DG23" s="22" t="e">
        <f t="shared" si="29"/>
        <v>#VALUE!</v>
      </c>
      <c r="DH23" s="22">
        <f t="shared" si="30"/>
        <v>0</v>
      </c>
      <c r="DI23" s="22">
        <f t="shared" si="31"/>
        <v>0</v>
      </c>
      <c r="DJ23" s="22" t="e">
        <f t="shared" si="32"/>
        <v>#VALUE!</v>
      </c>
      <c r="DK23" s="22">
        <f t="shared" si="33"/>
        <v>0</v>
      </c>
      <c r="DL23" s="22">
        <f t="shared" si="34"/>
        <v>0</v>
      </c>
      <c r="DM23" s="22">
        <f t="shared" si="35"/>
        <v>0</v>
      </c>
      <c r="DN23" s="22">
        <f t="shared" si="36"/>
        <v>0</v>
      </c>
      <c r="DO23" s="22">
        <f t="shared" si="37"/>
        <v>0</v>
      </c>
      <c r="DP23" s="22" t="e">
        <f t="shared" si="38"/>
        <v>#VALUE!</v>
      </c>
      <c r="DQ23" s="22">
        <f t="shared" si="39"/>
        <v>0</v>
      </c>
      <c r="DR23" s="22">
        <f t="shared" si="40"/>
        <v>0</v>
      </c>
    </row>
    <row r="24" spans="1:122" ht="16.5" thickBot="1">
      <c r="A24" s="11" t="s">
        <v>157</v>
      </c>
      <c r="B24" s="12" t="s">
        <v>90</v>
      </c>
      <c r="C24" s="26">
        <v>18234845</v>
      </c>
      <c r="D24" s="26">
        <v>13475669</v>
      </c>
      <c r="E24" s="26">
        <v>277882</v>
      </c>
      <c r="F24" s="26" t="s">
        <v>55</v>
      </c>
      <c r="G24" s="26">
        <v>4481294</v>
      </c>
      <c r="H24" s="33">
        <v>13354507</v>
      </c>
      <c r="I24" s="33">
        <v>5787484</v>
      </c>
      <c r="J24" s="33">
        <v>5709841</v>
      </c>
      <c r="K24" s="33">
        <v>109148</v>
      </c>
      <c r="L24" s="33">
        <v>95039</v>
      </c>
      <c r="M24" s="33">
        <v>1652995</v>
      </c>
      <c r="N24" s="33">
        <v>4880338</v>
      </c>
      <c r="O24" s="40">
        <v>167861</v>
      </c>
      <c r="P24" s="40">
        <v>14403</v>
      </c>
      <c r="Q24" s="40" t="s">
        <v>55</v>
      </c>
      <c r="R24" s="40">
        <v>108580</v>
      </c>
      <c r="S24" s="40">
        <v>44878</v>
      </c>
      <c r="T24" s="40" t="s">
        <v>55</v>
      </c>
      <c r="U24" s="47">
        <v>7696327</v>
      </c>
      <c r="V24" s="48">
        <v>7676205</v>
      </c>
      <c r="W24" s="48" t="s">
        <v>55</v>
      </c>
      <c r="X24" s="48">
        <v>20122</v>
      </c>
      <c r="Y24" s="48" t="s">
        <v>55</v>
      </c>
      <c r="Z24" s="48" t="s">
        <v>55</v>
      </c>
      <c r="AA24" s="48">
        <v>-7528466</v>
      </c>
      <c r="AB24" s="55">
        <v>9043491</v>
      </c>
      <c r="AC24" s="55">
        <v>8691342</v>
      </c>
      <c r="AD24" s="55">
        <v>10</v>
      </c>
      <c r="AE24" s="55" t="s">
        <v>55</v>
      </c>
      <c r="AF24" s="55">
        <v>352139</v>
      </c>
      <c r="AG24" s="62">
        <v>5430398</v>
      </c>
      <c r="AH24" s="62" t="s">
        <v>55</v>
      </c>
      <c r="AI24" s="62">
        <v>354499</v>
      </c>
      <c r="AJ24" s="62">
        <v>4708372</v>
      </c>
      <c r="AK24" s="62">
        <v>367527</v>
      </c>
      <c r="AL24" s="62">
        <v>3613093</v>
      </c>
      <c r="AM24" s="13">
        <v>964965</v>
      </c>
      <c r="AN24" s="13">
        <v>159528</v>
      </c>
      <c r="AO24" s="13">
        <v>27446197</v>
      </c>
      <c r="AP24" s="13">
        <v>26481232</v>
      </c>
      <c r="AQ24" s="17">
        <v>18234845</v>
      </c>
      <c r="AR24" s="18">
        <v>13475669</v>
      </c>
      <c r="AS24" s="18">
        <v>277882</v>
      </c>
      <c r="AT24" s="18" t="s">
        <v>55</v>
      </c>
      <c r="AU24" s="18">
        <v>4481294</v>
      </c>
      <c r="AV24" s="17">
        <v>13354507</v>
      </c>
      <c r="AW24" s="18">
        <v>5787484</v>
      </c>
      <c r="AX24" s="18">
        <v>5709841</v>
      </c>
      <c r="AY24" s="18">
        <v>109148</v>
      </c>
      <c r="AZ24" s="18">
        <v>95039</v>
      </c>
      <c r="BA24" s="18">
        <v>1652995</v>
      </c>
      <c r="BB24" s="18">
        <v>4880338</v>
      </c>
      <c r="BC24" s="68">
        <v>167861</v>
      </c>
      <c r="BD24" s="69">
        <v>14403</v>
      </c>
      <c r="BE24" s="69" t="s">
        <v>55</v>
      </c>
      <c r="BF24" s="69">
        <v>108580</v>
      </c>
      <c r="BG24" s="69">
        <v>44878</v>
      </c>
      <c r="BH24" s="69" t="s">
        <v>55</v>
      </c>
      <c r="BI24" s="133">
        <v>7696327</v>
      </c>
      <c r="BJ24" s="134">
        <v>7676205</v>
      </c>
      <c r="BK24" s="134" t="s">
        <v>55</v>
      </c>
      <c r="BL24" s="134">
        <v>20122</v>
      </c>
      <c r="BM24" s="134" t="s">
        <v>55</v>
      </c>
      <c r="BN24" s="134" t="s">
        <v>55</v>
      </c>
      <c r="BO24" s="134">
        <v>-7528466</v>
      </c>
      <c r="BP24" s="139">
        <v>9043491</v>
      </c>
      <c r="BQ24" s="140">
        <v>8691342</v>
      </c>
      <c r="BR24" s="140">
        <v>10</v>
      </c>
      <c r="BS24" s="140" t="s">
        <v>55</v>
      </c>
      <c r="BT24" s="140">
        <v>352139</v>
      </c>
      <c r="BU24" s="143">
        <v>5430398</v>
      </c>
      <c r="BV24" s="144" t="s">
        <v>55</v>
      </c>
      <c r="BW24" s="144">
        <v>354499</v>
      </c>
      <c r="BX24" s="144">
        <v>4708372</v>
      </c>
      <c r="BY24" s="144">
        <v>367527</v>
      </c>
      <c r="BZ24" s="144">
        <v>3613093</v>
      </c>
      <c r="CA24" s="15">
        <v>964965</v>
      </c>
      <c r="CB24" s="21">
        <v>159528</v>
      </c>
      <c r="CC24" s="21">
        <v>27446197</v>
      </c>
      <c r="CD24" s="21">
        <v>26481232</v>
      </c>
      <c r="CE24" s="22">
        <f t="shared" si="1"/>
        <v>0</v>
      </c>
      <c r="CF24" s="22">
        <f t="shared" si="2"/>
        <v>0</v>
      </c>
      <c r="CG24" s="22">
        <f t="shared" si="3"/>
        <v>0</v>
      </c>
      <c r="CH24" s="22" t="e">
        <f t="shared" si="4"/>
        <v>#VALUE!</v>
      </c>
      <c r="CI24" s="22">
        <f t="shared" si="5"/>
        <v>0</v>
      </c>
      <c r="CJ24" s="22">
        <f t="shared" si="6"/>
        <v>0</v>
      </c>
      <c r="CK24" s="22">
        <f t="shared" si="7"/>
        <v>0</v>
      </c>
      <c r="CL24" s="22">
        <f t="shared" si="8"/>
        <v>0</v>
      </c>
      <c r="CM24" s="22">
        <f t="shared" si="9"/>
        <v>0</v>
      </c>
      <c r="CN24" s="22">
        <f t="shared" si="10"/>
        <v>0</v>
      </c>
      <c r="CO24" s="22">
        <f t="shared" si="11"/>
        <v>0</v>
      </c>
      <c r="CP24" s="22">
        <f t="shared" si="12"/>
        <v>0</v>
      </c>
      <c r="CQ24" s="22">
        <f t="shared" si="13"/>
        <v>0</v>
      </c>
      <c r="CR24" s="22">
        <f t="shared" si="14"/>
        <v>0</v>
      </c>
      <c r="CS24" s="22" t="e">
        <f t="shared" si="15"/>
        <v>#VALUE!</v>
      </c>
      <c r="CT24" s="22">
        <f t="shared" si="16"/>
        <v>0</v>
      </c>
      <c r="CU24" s="22">
        <f t="shared" si="17"/>
        <v>0</v>
      </c>
      <c r="CV24" s="22" t="e">
        <f t="shared" si="18"/>
        <v>#VALUE!</v>
      </c>
      <c r="CW24" s="22">
        <f t="shared" si="19"/>
        <v>0</v>
      </c>
      <c r="CX24" s="22">
        <f t="shared" si="20"/>
        <v>0</v>
      </c>
      <c r="CY24" s="22" t="e">
        <f t="shared" si="21"/>
        <v>#VALUE!</v>
      </c>
      <c r="CZ24" s="22">
        <f t="shared" si="22"/>
        <v>0</v>
      </c>
      <c r="DA24" s="22" t="e">
        <f t="shared" si="23"/>
        <v>#VALUE!</v>
      </c>
      <c r="DB24" s="22" t="e">
        <f t="shared" si="24"/>
        <v>#VALUE!</v>
      </c>
      <c r="DC24" s="22">
        <f t="shared" si="25"/>
        <v>0</v>
      </c>
      <c r="DD24" s="22">
        <f t="shared" si="26"/>
        <v>0</v>
      </c>
      <c r="DE24" s="22">
        <f t="shared" si="27"/>
        <v>0</v>
      </c>
      <c r="DF24" s="22">
        <f t="shared" si="28"/>
        <v>0</v>
      </c>
      <c r="DG24" s="22" t="e">
        <f t="shared" si="29"/>
        <v>#VALUE!</v>
      </c>
      <c r="DH24" s="22">
        <f t="shared" si="30"/>
        <v>0</v>
      </c>
      <c r="DI24" s="22">
        <f t="shared" si="31"/>
        <v>0</v>
      </c>
      <c r="DJ24" s="22" t="e">
        <f t="shared" si="32"/>
        <v>#VALUE!</v>
      </c>
      <c r="DK24" s="22">
        <f t="shared" si="33"/>
        <v>0</v>
      </c>
      <c r="DL24" s="22">
        <f t="shared" si="34"/>
        <v>0</v>
      </c>
      <c r="DM24" s="22">
        <f t="shared" si="35"/>
        <v>0</v>
      </c>
      <c r="DN24" s="22">
        <f t="shared" si="36"/>
        <v>0</v>
      </c>
      <c r="DO24" s="22">
        <f t="shared" si="37"/>
        <v>0</v>
      </c>
      <c r="DP24" s="22">
        <f t="shared" si="38"/>
        <v>0</v>
      </c>
      <c r="DQ24" s="22">
        <f t="shared" si="39"/>
        <v>0</v>
      </c>
      <c r="DR24" s="22">
        <f t="shared" si="40"/>
        <v>0</v>
      </c>
    </row>
    <row r="25" spans="1:122" ht="26.25">
      <c r="A25" s="2" t="s">
        <v>97</v>
      </c>
      <c r="B25" s="3" t="s">
        <v>98</v>
      </c>
      <c r="C25" s="27">
        <v>9013841</v>
      </c>
      <c r="D25" s="27">
        <v>5054209</v>
      </c>
      <c r="E25" s="27">
        <v>275307</v>
      </c>
      <c r="F25" s="27" t="s">
        <v>55</v>
      </c>
      <c r="G25" s="27">
        <v>3684325</v>
      </c>
      <c r="H25" s="34">
        <v>5016915</v>
      </c>
      <c r="I25" s="34">
        <v>1746563</v>
      </c>
      <c r="J25" s="34">
        <v>2784030</v>
      </c>
      <c r="K25" s="34">
        <v>33494</v>
      </c>
      <c r="L25" s="34">
        <v>77595</v>
      </c>
      <c r="M25" s="34">
        <v>375233</v>
      </c>
      <c r="N25" s="34">
        <v>3996926</v>
      </c>
      <c r="O25" s="41">
        <v>127992</v>
      </c>
      <c r="P25" s="41">
        <v>14403</v>
      </c>
      <c r="Q25" s="41" t="s">
        <v>55</v>
      </c>
      <c r="R25" s="41">
        <v>98569</v>
      </c>
      <c r="S25" s="41">
        <v>15020</v>
      </c>
      <c r="T25" s="41" t="s">
        <v>55</v>
      </c>
      <c r="U25" s="49">
        <v>6708118</v>
      </c>
      <c r="V25" s="50">
        <v>6697157</v>
      </c>
      <c r="W25" s="50" t="s">
        <v>55</v>
      </c>
      <c r="X25" s="50">
        <v>10961</v>
      </c>
      <c r="Y25" s="50" t="s">
        <v>55</v>
      </c>
      <c r="Z25" s="50" t="s">
        <v>55</v>
      </c>
      <c r="AA25" s="50">
        <v>-6580126</v>
      </c>
      <c r="AB25" s="56">
        <v>8339772</v>
      </c>
      <c r="AC25" s="56">
        <v>7987634</v>
      </c>
      <c r="AD25" s="56">
        <v>10</v>
      </c>
      <c r="AE25" s="56" t="s">
        <v>55</v>
      </c>
      <c r="AF25" s="56">
        <v>352128</v>
      </c>
      <c r="AG25" s="63">
        <v>4609492</v>
      </c>
      <c r="AH25" s="63" t="s">
        <v>55</v>
      </c>
      <c r="AI25" s="63">
        <v>352855</v>
      </c>
      <c r="AJ25" s="63">
        <v>4174900</v>
      </c>
      <c r="AK25" s="63">
        <v>81737</v>
      </c>
      <c r="AL25" s="63">
        <v>3730280</v>
      </c>
      <c r="AM25" s="7">
        <v>1147080</v>
      </c>
      <c r="AN25" s="7">
        <v>161695</v>
      </c>
      <c r="AO25" s="7">
        <v>17481605</v>
      </c>
      <c r="AP25" s="7">
        <v>16334525</v>
      </c>
      <c r="AQ25" s="17">
        <v>9013841</v>
      </c>
      <c r="AR25" s="18">
        <v>5054209</v>
      </c>
      <c r="AS25" s="18">
        <v>275307</v>
      </c>
      <c r="AT25" s="18" t="s">
        <v>55</v>
      </c>
      <c r="AU25" s="18">
        <v>3684325</v>
      </c>
      <c r="AV25" s="17">
        <v>5016915</v>
      </c>
      <c r="AW25" s="18">
        <v>1746563</v>
      </c>
      <c r="AX25" s="18">
        <v>2784030</v>
      </c>
      <c r="AY25" s="18">
        <v>33494</v>
      </c>
      <c r="AZ25" s="18">
        <v>77595</v>
      </c>
      <c r="BA25" s="18">
        <v>375233</v>
      </c>
      <c r="BB25" s="18">
        <v>3996926</v>
      </c>
      <c r="BC25" s="68">
        <v>127992</v>
      </c>
      <c r="BD25" s="69">
        <v>14403</v>
      </c>
      <c r="BE25" s="69" t="s">
        <v>55</v>
      </c>
      <c r="BF25" s="69">
        <v>98569</v>
      </c>
      <c r="BG25" s="69">
        <v>15020</v>
      </c>
      <c r="BH25" s="69" t="s">
        <v>55</v>
      </c>
      <c r="BI25" s="131">
        <v>6708118</v>
      </c>
      <c r="BJ25" s="132">
        <v>6697157</v>
      </c>
      <c r="BK25" s="132" t="s">
        <v>55</v>
      </c>
      <c r="BL25" s="132">
        <v>10961</v>
      </c>
      <c r="BM25" s="132" t="s">
        <v>55</v>
      </c>
      <c r="BN25" s="132" t="s">
        <v>55</v>
      </c>
      <c r="BO25" s="132">
        <v>-6580126</v>
      </c>
      <c r="BP25" s="137">
        <v>8339772</v>
      </c>
      <c r="BQ25" s="138">
        <v>7987634</v>
      </c>
      <c r="BR25" s="138">
        <v>10</v>
      </c>
      <c r="BS25" s="138" t="s">
        <v>55</v>
      </c>
      <c r="BT25" s="138">
        <v>352128</v>
      </c>
      <c r="BU25" s="143">
        <v>4609492</v>
      </c>
      <c r="BV25" s="144" t="s">
        <v>55</v>
      </c>
      <c r="BW25" s="144">
        <v>352855</v>
      </c>
      <c r="BX25" s="144">
        <v>4174900</v>
      </c>
      <c r="BY25" s="144">
        <v>81737</v>
      </c>
      <c r="BZ25" s="144">
        <v>3730280</v>
      </c>
      <c r="CA25" s="17">
        <v>1147080</v>
      </c>
      <c r="CB25" s="18">
        <v>161695</v>
      </c>
      <c r="CC25" s="18">
        <v>17481605</v>
      </c>
      <c r="CD25" s="18">
        <v>16334525</v>
      </c>
      <c r="CE25" s="22">
        <f t="shared" si="1"/>
        <v>0</v>
      </c>
      <c r="CF25" s="22">
        <f t="shared" si="2"/>
        <v>0</v>
      </c>
      <c r="CG25" s="22">
        <f t="shared" si="3"/>
        <v>0</v>
      </c>
      <c r="CH25" s="22" t="e">
        <f t="shared" si="4"/>
        <v>#VALUE!</v>
      </c>
      <c r="CI25" s="22">
        <f t="shared" si="5"/>
        <v>0</v>
      </c>
      <c r="CJ25" s="22">
        <f t="shared" si="6"/>
        <v>0</v>
      </c>
      <c r="CK25" s="22">
        <f t="shared" si="7"/>
        <v>0</v>
      </c>
      <c r="CL25" s="22">
        <f t="shared" si="8"/>
        <v>0</v>
      </c>
      <c r="CM25" s="22">
        <f t="shared" si="9"/>
        <v>0</v>
      </c>
      <c r="CN25" s="22">
        <f t="shared" si="10"/>
        <v>0</v>
      </c>
      <c r="CO25" s="22">
        <f t="shared" si="11"/>
        <v>0</v>
      </c>
      <c r="CP25" s="22">
        <f t="shared" si="12"/>
        <v>0</v>
      </c>
      <c r="CQ25" s="22">
        <f t="shared" si="13"/>
        <v>0</v>
      </c>
      <c r="CR25" s="22">
        <f t="shared" si="14"/>
        <v>0</v>
      </c>
      <c r="CS25" s="22" t="e">
        <f t="shared" si="15"/>
        <v>#VALUE!</v>
      </c>
      <c r="CT25" s="22">
        <f t="shared" si="16"/>
        <v>0</v>
      </c>
      <c r="CU25" s="22">
        <f t="shared" si="17"/>
        <v>0</v>
      </c>
      <c r="CV25" s="22" t="e">
        <f t="shared" si="18"/>
        <v>#VALUE!</v>
      </c>
      <c r="CW25" s="22">
        <f t="shared" si="19"/>
        <v>0</v>
      </c>
      <c r="CX25" s="22">
        <f t="shared" si="20"/>
        <v>0</v>
      </c>
      <c r="CY25" s="22" t="e">
        <f t="shared" si="21"/>
        <v>#VALUE!</v>
      </c>
      <c r="CZ25" s="22">
        <f t="shared" si="22"/>
        <v>0</v>
      </c>
      <c r="DA25" s="22" t="e">
        <f t="shared" si="23"/>
        <v>#VALUE!</v>
      </c>
      <c r="DB25" s="22" t="e">
        <f t="shared" si="24"/>
        <v>#VALUE!</v>
      </c>
      <c r="DC25" s="22">
        <f t="shared" si="25"/>
        <v>0</v>
      </c>
      <c r="DD25" s="22">
        <f t="shared" si="26"/>
        <v>0</v>
      </c>
      <c r="DE25" s="22">
        <f t="shared" si="27"/>
        <v>0</v>
      </c>
      <c r="DF25" s="22">
        <f t="shared" si="28"/>
        <v>0</v>
      </c>
      <c r="DG25" s="22" t="e">
        <f t="shared" si="29"/>
        <v>#VALUE!</v>
      </c>
      <c r="DH25" s="22">
        <f t="shared" si="30"/>
        <v>0</v>
      </c>
      <c r="DI25" s="22">
        <f t="shared" si="31"/>
        <v>0</v>
      </c>
      <c r="DJ25" s="22" t="e">
        <f t="shared" si="32"/>
        <v>#VALUE!</v>
      </c>
      <c r="DK25" s="22">
        <f t="shared" si="33"/>
        <v>0</v>
      </c>
      <c r="DL25" s="22">
        <f t="shared" si="34"/>
        <v>0</v>
      </c>
      <c r="DM25" s="22">
        <f t="shared" si="35"/>
        <v>0</v>
      </c>
      <c r="DN25" s="22">
        <f t="shared" si="36"/>
        <v>0</v>
      </c>
      <c r="DO25" s="22">
        <f t="shared" si="37"/>
        <v>0</v>
      </c>
      <c r="DP25" s="22">
        <f t="shared" si="38"/>
        <v>0</v>
      </c>
      <c r="DQ25" s="22">
        <f t="shared" si="39"/>
        <v>0</v>
      </c>
      <c r="DR25" s="22">
        <f t="shared" si="40"/>
        <v>0</v>
      </c>
    </row>
    <row r="26" spans="1:122" s="14" customFormat="1" ht="26.25">
      <c r="A26" s="11" t="s">
        <v>161</v>
      </c>
      <c r="B26" s="12" t="s">
        <v>110</v>
      </c>
      <c r="C26" s="26">
        <v>3808359</v>
      </c>
      <c r="D26" s="26">
        <v>2968563</v>
      </c>
      <c r="E26" s="26">
        <v>680698</v>
      </c>
      <c r="F26" s="26" t="s">
        <v>55</v>
      </c>
      <c r="G26" s="26">
        <v>159098</v>
      </c>
      <c r="H26" s="33">
        <v>3595405</v>
      </c>
      <c r="I26" s="33">
        <v>2364030</v>
      </c>
      <c r="J26" s="33">
        <v>709239</v>
      </c>
      <c r="K26" s="33">
        <v>57467</v>
      </c>
      <c r="L26" s="33">
        <v>86339</v>
      </c>
      <c r="M26" s="33">
        <v>378330</v>
      </c>
      <c r="N26" s="33">
        <v>212954</v>
      </c>
      <c r="O26" s="40">
        <v>702663</v>
      </c>
      <c r="P26" s="40">
        <v>27862</v>
      </c>
      <c r="Q26" s="40" t="s">
        <v>55</v>
      </c>
      <c r="R26" s="40">
        <v>3141</v>
      </c>
      <c r="S26" s="40">
        <v>115319</v>
      </c>
      <c r="T26" s="40">
        <v>556341</v>
      </c>
      <c r="U26" s="47">
        <v>1824406</v>
      </c>
      <c r="V26" s="48">
        <v>1425108</v>
      </c>
      <c r="W26" s="48">
        <v>30</v>
      </c>
      <c r="X26" s="48">
        <v>64241</v>
      </c>
      <c r="Y26" s="48">
        <v>4580</v>
      </c>
      <c r="Z26" s="48">
        <v>330447</v>
      </c>
      <c r="AA26" s="48">
        <v>-1121743</v>
      </c>
      <c r="AB26" s="55">
        <v>1711933</v>
      </c>
      <c r="AC26" s="55">
        <v>1104024</v>
      </c>
      <c r="AD26" s="55">
        <v>600001</v>
      </c>
      <c r="AE26" s="55" t="s">
        <v>55</v>
      </c>
      <c r="AF26" s="55">
        <v>7908</v>
      </c>
      <c r="AG26" s="62">
        <v>528597</v>
      </c>
      <c r="AH26" s="62" t="s">
        <v>55</v>
      </c>
      <c r="AI26" s="62">
        <v>34081</v>
      </c>
      <c r="AJ26" s="62">
        <v>490288</v>
      </c>
      <c r="AK26" s="62">
        <v>4228</v>
      </c>
      <c r="AL26" s="62">
        <v>1183336</v>
      </c>
      <c r="AM26" s="13">
        <v>274547</v>
      </c>
      <c r="AN26" s="13" t="s">
        <v>55</v>
      </c>
      <c r="AO26" s="13">
        <v>6222955</v>
      </c>
      <c r="AP26" s="13">
        <v>5948408</v>
      </c>
      <c r="AQ26" s="17">
        <v>3808359</v>
      </c>
      <c r="AR26" s="18">
        <v>2968563</v>
      </c>
      <c r="AS26" s="18">
        <v>680698</v>
      </c>
      <c r="AT26" s="18" t="s">
        <v>55</v>
      </c>
      <c r="AU26" s="18">
        <v>159098</v>
      </c>
      <c r="AV26" s="17">
        <v>3595405</v>
      </c>
      <c r="AW26" s="18">
        <v>2364030</v>
      </c>
      <c r="AX26" s="18">
        <v>709239</v>
      </c>
      <c r="AY26" s="18">
        <v>57467</v>
      </c>
      <c r="AZ26" s="18">
        <v>86339</v>
      </c>
      <c r="BA26" s="18">
        <v>378330</v>
      </c>
      <c r="BB26" s="18">
        <v>212954</v>
      </c>
      <c r="BC26" s="68">
        <v>702663</v>
      </c>
      <c r="BD26" s="69">
        <v>27862</v>
      </c>
      <c r="BE26" s="69" t="s">
        <v>55</v>
      </c>
      <c r="BF26" s="69">
        <v>3141</v>
      </c>
      <c r="BG26" s="69">
        <v>115319</v>
      </c>
      <c r="BH26" s="69">
        <v>556341</v>
      </c>
      <c r="BI26" s="133">
        <v>1824406</v>
      </c>
      <c r="BJ26" s="134">
        <v>1425108</v>
      </c>
      <c r="BK26" s="134">
        <v>30</v>
      </c>
      <c r="BL26" s="134">
        <v>64241</v>
      </c>
      <c r="BM26" s="134">
        <v>4580</v>
      </c>
      <c r="BN26" s="134">
        <v>330447</v>
      </c>
      <c r="BO26" s="134">
        <v>-1121743</v>
      </c>
      <c r="BP26" s="139">
        <v>1711933</v>
      </c>
      <c r="BQ26" s="140">
        <v>1104024</v>
      </c>
      <c r="BR26" s="140">
        <v>600001</v>
      </c>
      <c r="BS26" s="140" t="s">
        <v>55</v>
      </c>
      <c r="BT26" s="140">
        <v>7908</v>
      </c>
      <c r="BU26" s="143">
        <v>528597</v>
      </c>
      <c r="BV26" s="144" t="s">
        <v>55</v>
      </c>
      <c r="BW26" s="144">
        <v>34081</v>
      </c>
      <c r="BX26" s="144">
        <v>490288</v>
      </c>
      <c r="BY26" s="144">
        <v>4228</v>
      </c>
      <c r="BZ26" s="144">
        <v>1183336</v>
      </c>
      <c r="CA26" s="17">
        <v>274547</v>
      </c>
      <c r="CB26" s="18" t="s">
        <v>55</v>
      </c>
      <c r="CC26" s="18">
        <v>6222955</v>
      </c>
      <c r="CD26" s="18">
        <v>5948408</v>
      </c>
      <c r="CE26" s="22">
        <f t="shared" si="1"/>
        <v>0</v>
      </c>
      <c r="CF26" s="22">
        <f t="shared" si="2"/>
        <v>0</v>
      </c>
      <c r="CG26" s="22">
        <f t="shared" si="3"/>
        <v>0</v>
      </c>
      <c r="CH26" s="22" t="e">
        <f t="shared" si="4"/>
        <v>#VALUE!</v>
      </c>
      <c r="CI26" s="22">
        <f t="shared" si="5"/>
        <v>0</v>
      </c>
      <c r="CJ26" s="22">
        <f t="shared" si="6"/>
        <v>0</v>
      </c>
      <c r="CK26" s="22">
        <f t="shared" si="7"/>
        <v>0</v>
      </c>
      <c r="CL26" s="22">
        <f t="shared" si="8"/>
        <v>0</v>
      </c>
      <c r="CM26" s="22">
        <f t="shared" si="9"/>
        <v>0</v>
      </c>
      <c r="CN26" s="22">
        <f t="shared" si="10"/>
        <v>0</v>
      </c>
      <c r="CO26" s="22">
        <f t="shared" si="11"/>
        <v>0</v>
      </c>
      <c r="CP26" s="22">
        <f t="shared" si="12"/>
        <v>0</v>
      </c>
      <c r="CQ26" s="22">
        <f t="shared" si="13"/>
        <v>0</v>
      </c>
      <c r="CR26" s="22">
        <f t="shared" si="14"/>
        <v>0</v>
      </c>
      <c r="CS26" s="22" t="e">
        <f t="shared" si="15"/>
        <v>#VALUE!</v>
      </c>
      <c r="CT26" s="22">
        <f t="shared" si="16"/>
        <v>0</v>
      </c>
      <c r="CU26" s="22">
        <f t="shared" si="17"/>
        <v>0</v>
      </c>
      <c r="CV26" s="22">
        <f t="shared" si="18"/>
        <v>0</v>
      </c>
      <c r="CW26" s="22">
        <f t="shared" si="19"/>
        <v>0</v>
      </c>
      <c r="CX26" s="22">
        <f t="shared" si="20"/>
        <v>0</v>
      </c>
      <c r="CY26" s="22">
        <f t="shared" si="21"/>
        <v>0</v>
      </c>
      <c r="CZ26" s="22">
        <f t="shared" si="22"/>
        <v>0</v>
      </c>
      <c r="DA26" s="22">
        <f t="shared" si="23"/>
        <v>0</v>
      </c>
      <c r="DB26" s="22">
        <f t="shared" si="24"/>
        <v>0</v>
      </c>
      <c r="DC26" s="22">
        <f t="shared" si="25"/>
        <v>0</v>
      </c>
      <c r="DD26" s="22">
        <f t="shared" si="26"/>
        <v>0</v>
      </c>
      <c r="DE26" s="22">
        <f t="shared" si="27"/>
        <v>0</v>
      </c>
      <c r="DF26" s="22">
        <f t="shared" si="28"/>
        <v>0</v>
      </c>
      <c r="DG26" s="22" t="e">
        <f t="shared" si="29"/>
        <v>#VALUE!</v>
      </c>
      <c r="DH26" s="22">
        <f t="shared" si="30"/>
        <v>0</v>
      </c>
      <c r="DI26" s="22">
        <f t="shared" si="31"/>
        <v>0</v>
      </c>
      <c r="DJ26" s="22" t="e">
        <f t="shared" si="32"/>
        <v>#VALUE!</v>
      </c>
      <c r="DK26" s="22">
        <f t="shared" si="33"/>
        <v>0</v>
      </c>
      <c r="DL26" s="22">
        <f t="shared" si="34"/>
        <v>0</v>
      </c>
      <c r="DM26" s="22">
        <f t="shared" si="35"/>
        <v>0</v>
      </c>
      <c r="DN26" s="22">
        <f t="shared" si="36"/>
        <v>0</v>
      </c>
      <c r="DO26" s="22">
        <f t="shared" si="37"/>
        <v>0</v>
      </c>
      <c r="DP26" s="22" t="e">
        <f t="shared" si="38"/>
        <v>#VALUE!</v>
      </c>
      <c r="DQ26" s="22">
        <f t="shared" si="39"/>
        <v>0</v>
      </c>
      <c r="DR26" s="22">
        <f t="shared" si="40"/>
        <v>0</v>
      </c>
    </row>
    <row r="27" spans="1:122" ht="16.5" thickBot="1">
      <c r="A27" s="2" t="s">
        <v>111</v>
      </c>
      <c r="B27" s="3" t="s">
        <v>112</v>
      </c>
      <c r="C27" s="27">
        <v>3808359</v>
      </c>
      <c r="D27" s="27">
        <v>2968563</v>
      </c>
      <c r="E27" s="27">
        <v>680698</v>
      </c>
      <c r="F27" s="27" t="s">
        <v>55</v>
      </c>
      <c r="G27" s="27">
        <v>159098</v>
      </c>
      <c r="H27" s="34">
        <v>3595405</v>
      </c>
      <c r="I27" s="34">
        <v>2364030</v>
      </c>
      <c r="J27" s="34">
        <v>709239</v>
      </c>
      <c r="K27" s="34">
        <v>57467</v>
      </c>
      <c r="L27" s="34">
        <v>86339</v>
      </c>
      <c r="M27" s="34">
        <v>378330</v>
      </c>
      <c r="N27" s="34">
        <v>212954</v>
      </c>
      <c r="O27" s="41">
        <v>702663</v>
      </c>
      <c r="P27" s="41">
        <v>27862</v>
      </c>
      <c r="Q27" s="41" t="s">
        <v>55</v>
      </c>
      <c r="R27" s="41">
        <v>3141</v>
      </c>
      <c r="S27" s="41">
        <v>115319</v>
      </c>
      <c r="T27" s="41">
        <v>556341</v>
      </c>
      <c r="U27" s="49">
        <v>1824406</v>
      </c>
      <c r="V27" s="50">
        <v>1425108</v>
      </c>
      <c r="W27" s="50">
        <v>30</v>
      </c>
      <c r="X27" s="50">
        <v>64241</v>
      </c>
      <c r="Y27" s="50">
        <v>4580</v>
      </c>
      <c r="Z27" s="50">
        <v>330447</v>
      </c>
      <c r="AA27" s="50">
        <v>-1121743</v>
      </c>
      <c r="AB27" s="56">
        <v>1711933</v>
      </c>
      <c r="AC27" s="56">
        <v>1104024</v>
      </c>
      <c r="AD27" s="56">
        <v>600001</v>
      </c>
      <c r="AE27" s="56" t="s">
        <v>55</v>
      </c>
      <c r="AF27" s="56">
        <v>7908</v>
      </c>
      <c r="AG27" s="63">
        <v>528597</v>
      </c>
      <c r="AH27" s="63" t="s">
        <v>55</v>
      </c>
      <c r="AI27" s="63">
        <v>34081</v>
      </c>
      <c r="AJ27" s="63">
        <v>490288</v>
      </c>
      <c r="AK27" s="63">
        <v>4228</v>
      </c>
      <c r="AL27" s="63">
        <v>1183336</v>
      </c>
      <c r="AM27" s="7">
        <v>274547</v>
      </c>
      <c r="AN27" s="7" t="s">
        <v>55</v>
      </c>
      <c r="AO27" s="7">
        <v>6222955</v>
      </c>
      <c r="AP27" s="7">
        <v>5948408</v>
      </c>
      <c r="AQ27" s="17">
        <v>3808359</v>
      </c>
      <c r="AR27" s="18">
        <v>2968563</v>
      </c>
      <c r="AS27" s="18">
        <v>680698</v>
      </c>
      <c r="AT27" s="18" t="s">
        <v>55</v>
      </c>
      <c r="AU27" s="18">
        <v>159098</v>
      </c>
      <c r="AV27" s="17">
        <v>3595405</v>
      </c>
      <c r="AW27" s="18">
        <v>2364030</v>
      </c>
      <c r="AX27" s="18">
        <v>709239</v>
      </c>
      <c r="AY27" s="18">
        <v>57467</v>
      </c>
      <c r="AZ27" s="18">
        <v>86339</v>
      </c>
      <c r="BA27" s="18">
        <v>378330</v>
      </c>
      <c r="BB27" s="18">
        <v>212954</v>
      </c>
      <c r="BC27" s="68">
        <v>702663</v>
      </c>
      <c r="BD27" s="69">
        <v>27862</v>
      </c>
      <c r="BE27" s="69" t="s">
        <v>55</v>
      </c>
      <c r="BF27" s="69">
        <v>3141</v>
      </c>
      <c r="BG27" s="69">
        <v>115319</v>
      </c>
      <c r="BH27" s="69">
        <v>556341</v>
      </c>
      <c r="BI27" s="133">
        <v>1824406</v>
      </c>
      <c r="BJ27" s="134">
        <v>1425108</v>
      </c>
      <c r="BK27" s="134">
        <v>30</v>
      </c>
      <c r="BL27" s="134">
        <v>64241</v>
      </c>
      <c r="BM27" s="134">
        <v>4580</v>
      </c>
      <c r="BN27" s="134">
        <v>330447</v>
      </c>
      <c r="BO27" s="134">
        <v>-1121743</v>
      </c>
      <c r="BP27" s="139">
        <v>1711933</v>
      </c>
      <c r="BQ27" s="140">
        <v>1104024</v>
      </c>
      <c r="BR27" s="140">
        <v>600001</v>
      </c>
      <c r="BS27" s="140" t="s">
        <v>55</v>
      </c>
      <c r="BT27" s="140">
        <v>7908</v>
      </c>
      <c r="BU27" s="143">
        <v>528597</v>
      </c>
      <c r="BV27" s="144" t="s">
        <v>55</v>
      </c>
      <c r="BW27" s="144">
        <v>34081</v>
      </c>
      <c r="BX27" s="144">
        <v>490288</v>
      </c>
      <c r="BY27" s="144">
        <v>4228</v>
      </c>
      <c r="BZ27" s="144">
        <v>1183336</v>
      </c>
      <c r="CA27" s="17">
        <v>274547</v>
      </c>
      <c r="CB27" s="18" t="s">
        <v>55</v>
      </c>
      <c r="CC27" s="18">
        <v>6222955</v>
      </c>
      <c r="CD27" s="18">
        <v>5948408</v>
      </c>
      <c r="CE27" s="22">
        <f t="shared" si="1"/>
        <v>0</v>
      </c>
      <c r="CF27" s="22">
        <f t="shared" si="2"/>
        <v>0</v>
      </c>
      <c r="CG27" s="22">
        <f t="shared" si="3"/>
        <v>0</v>
      </c>
      <c r="CH27" s="22" t="e">
        <f t="shared" si="4"/>
        <v>#VALUE!</v>
      </c>
      <c r="CI27" s="22">
        <f t="shared" si="5"/>
        <v>0</v>
      </c>
      <c r="CJ27" s="22">
        <f t="shared" si="6"/>
        <v>0</v>
      </c>
      <c r="CK27" s="22">
        <f t="shared" si="7"/>
        <v>0</v>
      </c>
      <c r="CL27" s="22">
        <f t="shared" si="8"/>
        <v>0</v>
      </c>
      <c r="CM27" s="22">
        <f t="shared" si="9"/>
        <v>0</v>
      </c>
      <c r="CN27" s="22">
        <f t="shared" si="10"/>
        <v>0</v>
      </c>
      <c r="CO27" s="22">
        <f t="shared" si="11"/>
        <v>0</v>
      </c>
      <c r="CP27" s="22">
        <f t="shared" si="12"/>
        <v>0</v>
      </c>
      <c r="CQ27" s="22">
        <f t="shared" si="13"/>
        <v>0</v>
      </c>
      <c r="CR27" s="22">
        <f t="shared" si="14"/>
        <v>0</v>
      </c>
      <c r="CS27" s="22" t="e">
        <f t="shared" si="15"/>
        <v>#VALUE!</v>
      </c>
      <c r="CT27" s="22">
        <f t="shared" si="16"/>
        <v>0</v>
      </c>
      <c r="CU27" s="22">
        <f t="shared" si="17"/>
        <v>0</v>
      </c>
      <c r="CV27" s="22">
        <f t="shared" si="18"/>
        <v>0</v>
      </c>
      <c r="CW27" s="22">
        <f t="shared" si="19"/>
        <v>0</v>
      </c>
      <c r="CX27" s="22">
        <f t="shared" si="20"/>
        <v>0</v>
      </c>
      <c r="CY27" s="22">
        <f t="shared" si="21"/>
        <v>0</v>
      </c>
      <c r="CZ27" s="22">
        <f t="shared" si="22"/>
        <v>0</v>
      </c>
      <c r="DA27" s="22">
        <f t="shared" si="23"/>
        <v>0</v>
      </c>
      <c r="DB27" s="22">
        <f t="shared" si="24"/>
        <v>0</v>
      </c>
      <c r="DC27" s="22">
        <f t="shared" si="25"/>
        <v>0</v>
      </c>
      <c r="DD27" s="22">
        <f t="shared" si="26"/>
        <v>0</v>
      </c>
      <c r="DE27" s="22">
        <f t="shared" si="27"/>
        <v>0</v>
      </c>
      <c r="DF27" s="22">
        <f t="shared" si="28"/>
        <v>0</v>
      </c>
      <c r="DG27" s="22" t="e">
        <f t="shared" si="29"/>
        <v>#VALUE!</v>
      </c>
      <c r="DH27" s="22">
        <f t="shared" si="30"/>
        <v>0</v>
      </c>
      <c r="DI27" s="22">
        <f t="shared" si="31"/>
        <v>0</v>
      </c>
      <c r="DJ27" s="22" t="e">
        <f t="shared" si="32"/>
        <v>#VALUE!</v>
      </c>
      <c r="DK27" s="22">
        <f t="shared" si="33"/>
        <v>0</v>
      </c>
      <c r="DL27" s="22">
        <f t="shared" si="34"/>
        <v>0</v>
      </c>
      <c r="DM27" s="22">
        <f t="shared" si="35"/>
        <v>0</v>
      </c>
      <c r="DN27" s="22">
        <f t="shared" si="36"/>
        <v>0</v>
      </c>
      <c r="DO27" s="22">
        <f t="shared" si="37"/>
        <v>0</v>
      </c>
      <c r="DP27" s="22" t="e">
        <f t="shared" si="38"/>
        <v>#VALUE!</v>
      </c>
      <c r="DQ27" s="22">
        <f t="shared" si="39"/>
        <v>0</v>
      </c>
      <c r="DR27" s="22">
        <f t="shared" si="40"/>
        <v>0</v>
      </c>
    </row>
    <row r="28" spans="1:122" ht="52.5" thickBot="1">
      <c r="A28" s="11" t="s">
        <v>163</v>
      </c>
      <c r="B28" s="12" t="s">
        <v>122</v>
      </c>
      <c r="C28" s="26">
        <v>1093420</v>
      </c>
      <c r="D28" s="26">
        <v>879521</v>
      </c>
      <c r="E28" s="26">
        <v>69916</v>
      </c>
      <c r="F28" s="26" t="s">
        <v>55</v>
      </c>
      <c r="G28" s="26">
        <v>143983</v>
      </c>
      <c r="H28" s="33">
        <v>1111436</v>
      </c>
      <c r="I28" s="33">
        <v>232341</v>
      </c>
      <c r="J28" s="33">
        <v>406453</v>
      </c>
      <c r="K28" s="33">
        <v>26072</v>
      </c>
      <c r="L28" s="33">
        <v>1782</v>
      </c>
      <c r="M28" s="33">
        <v>444788</v>
      </c>
      <c r="N28" s="33">
        <v>-18016</v>
      </c>
      <c r="O28" s="40">
        <v>7352</v>
      </c>
      <c r="P28" s="40">
        <v>403</v>
      </c>
      <c r="Q28" s="40" t="s">
        <v>55</v>
      </c>
      <c r="R28" s="40" t="s">
        <v>55</v>
      </c>
      <c r="S28" s="40">
        <v>1458</v>
      </c>
      <c r="T28" s="40">
        <v>5491</v>
      </c>
      <c r="U28" s="47">
        <v>156926</v>
      </c>
      <c r="V28" s="48">
        <v>143102</v>
      </c>
      <c r="W28" s="48" t="s">
        <v>55</v>
      </c>
      <c r="X28" s="48" t="s">
        <v>55</v>
      </c>
      <c r="Y28" s="48">
        <v>13704</v>
      </c>
      <c r="Z28" s="48">
        <v>120</v>
      </c>
      <c r="AA28" s="48">
        <v>-149574</v>
      </c>
      <c r="AB28" s="55">
        <v>361931</v>
      </c>
      <c r="AC28" s="55">
        <v>161931</v>
      </c>
      <c r="AD28" s="55" t="s">
        <v>55</v>
      </c>
      <c r="AE28" s="55" t="s">
        <v>55</v>
      </c>
      <c r="AF28" s="55">
        <v>200000</v>
      </c>
      <c r="AG28" s="62">
        <v>205000</v>
      </c>
      <c r="AH28" s="62" t="s">
        <v>55</v>
      </c>
      <c r="AI28" s="62" t="s">
        <v>55</v>
      </c>
      <c r="AJ28" s="62">
        <v>5000</v>
      </c>
      <c r="AK28" s="62">
        <v>200000</v>
      </c>
      <c r="AL28" s="62">
        <v>156931</v>
      </c>
      <c r="AM28" s="13">
        <v>-10659</v>
      </c>
      <c r="AN28" s="13" t="s">
        <v>55</v>
      </c>
      <c r="AO28" s="13">
        <v>1462703</v>
      </c>
      <c r="AP28" s="13">
        <v>1473362</v>
      </c>
      <c r="AQ28" s="17">
        <v>1093420</v>
      </c>
      <c r="AR28" s="18">
        <v>879521</v>
      </c>
      <c r="AS28" s="18">
        <v>69916</v>
      </c>
      <c r="AT28" s="18" t="s">
        <v>55</v>
      </c>
      <c r="AU28" s="18">
        <v>143983</v>
      </c>
      <c r="AV28" s="17">
        <v>1111436</v>
      </c>
      <c r="AW28" s="18">
        <v>232341</v>
      </c>
      <c r="AX28" s="18">
        <v>406453</v>
      </c>
      <c r="AY28" s="18">
        <v>26072</v>
      </c>
      <c r="AZ28" s="18">
        <v>1782</v>
      </c>
      <c r="BA28" s="18">
        <v>444788</v>
      </c>
      <c r="BB28" s="18">
        <v>-18016</v>
      </c>
      <c r="BC28" s="66">
        <v>7352</v>
      </c>
      <c r="BD28" s="67">
        <v>403</v>
      </c>
      <c r="BE28" s="67" t="s">
        <v>55</v>
      </c>
      <c r="BF28" s="67" t="s">
        <v>55</v>
      </c>
      <c r="BG28" s="67">
        <v>1458</v>
      </c>
      <c r="BH28" s="67">
        <v>5491</v>
      </c>
      <c r="BI28" s="135">
        <v>156926</v>
      </c>
      <c r="BJ28" s="136">
        <v>143102</v>
      </c>
      <c r="BK28" s="136" t="s">
        <v>55</v>
      </c>
      <c r="BL28" s="136" t="s">
        <v>55</v>
      </c>
      <c r="BM28" s="136">
        <v>13704</v>
      </c>
      <c r="BN28" s="136">
        <v>120</v>
      </c>
      <c r="BO28" s="136">
        <v>-149574</v>
      </c>
      <c r="BP28" s="139">
        <v>361931</v>
      </c>
      <c r="BQ28" s="140">
        <v>161931</v>
      </c>
      <c r="BR28" s="140" t="s">
        <v>55</v>
      </c>
      <c r="BS28" s="140" t="s">
        <v>55</v>
      </c>
      <c r="BT28" s="140">
        <v>200000</v>
      </c>
      <c r="BU28" s="141">
        <v>205000</v>
      </c>
      <c r="BV28" s="142" t="s">
        <v>55</v>
      </c>
      <c r="BW28" s="142" t="s">
        <v>55</v>
      </c>
      <c r="BX28" s="142">
        <v>5000</v>
      </c>
      <c r="BY28" s="142">
        <v>200000</v>
      </c>
      <c r="BZ28" s="142">
        <v>156931</v>
      </c>
      <c r="CA28" s="17">
        <v>-10659</v>
      </c>
      <c r="CB28" s="18" t="s">
        <v>55</v>
      </c>
      <c r="CC28" s="18">
        <v>1462703</v>
      </c>
      <c r="CD28" s="18">
        <v>1473362</v>
      </c>
      <c r="CE28" s="22">
        <f t="shared" si="1"/>
        <v>0</v>
      </c>
      <c r="CF28" s="22">
        <f t="shared" si="2"/>
        <v>0</v>
      </c>
      <c r="CG28" s="22">
        <f t="shared" si="3"/>
        <v>0</v>
      </c>
      <c r="CH28" s="22" t="e">
        <f t="shared" si="4"/>
        <v>#VALUE!</v>
      </c>
      <c r="CI28" s="22">
        <f t="shared" si="5"/>
        <v>0</v>
      </c>
      <c r="CJ28" s="22">
        <f t="shared" si="6"/>
        <v>0</v>
      </c>
      <c r="CK28" s="22">
        <f t="shared" si="7"/>
        <v>0</v>
      </c>
      <c r="CL28" s="22">
        <f t="shared" si="8"/>
        <v>0</v>
      </c>
      <c r="CM28" s="22">
        <f t="shared" si="9"/>
        <v>0</v>
      </c>
      <c r="CN28" s="22">
        <f t="shared" si="10"/>
        <v>0</v>
      </c>
      <c r="CO28" s="22">
        <f t="shared" si="11"/>
        <v>0</v>
      </c>
      <c r="CP28" s="22">
        <f t="shared" si="12"/>
        <v>0</v>
      </c>
      <c r="CQ28" s="22">
        <f t="shared" si="13"/>
        <v>0</v>
      </c>
      <c r="CR28" s="22">
        <f t="shared" si="14"/>
        <v>0</v>
      </c>
      <c r="CS28" s="22" t="e">
        <f t="shared" si="15"/>
        <v>#VALUE!</v>
      </c>
      <c r="CT28" s="22" t="e">
        <f t="shared" si="16"/>
        <v>#VALUE!</v>
      </c>
      <c r="CU28" s="22">
        <f t="shared" si="17"/>
        <v>0</v>
      </c>
      <c r="CV28" s="22">
        <f t="shared" si="18"/>
        <v>0</v>
      </c>
      <c r="CW28" s="22">
        <f t="shared" si="19"/>
        <v>0</v>
      </c>
      <c r="CX28" s="22">
        <f t="shared" si="20"/>
        <v>0</v>
      </c>
      <c r="CY28" s="22" t="e">
        <f t="shared" si="21"/>
        <v>#VALUE!</v>
      </c>
      <c r="CZ28" s="22" t="e">
        <f t="shared" si="22"/>
        <v>#VALUE!</v>
      </c>
      <c r="DA28" s="22">
        <f t="shared" si="23"/>
        <v>0</v>
      </c>
      <c r="DB28" s="22">
        <f t="shared" si="24"/>
        <v>0</v>
      </c>
      <c r="DC28" s="22">
        <f t="shared" si="25"/>
        <v>0</v>
      </c>
      <c r="DD28" s="22">
        <f t="shared" si="26"/>
        <v>0</v>
      </c>
      <c r="DE28" s="22">
        <f t="shared" si="27"/>
        <v>0</v>
      </c>
      <c r="DF28" s="22" t="e">
        <f t="shared" si="28"/>
        <v>#VALUE!</v>
      </c>
      <c r="DG28" s="22" t="e">
        <f t="shared" si="29"/>
        <v>#VALUE!</v>
      </c>
      <c r="DH28" s="22">
        <f t="shared" si="30"/>
        <v>0</v>
      </c>
      <c r="DI28" s="22">
        <f t="shared" si="31"/>
        <v>0</v>
      </c>
      <c r="DJ28" s="22" t="e">
        <f t="shared" si="32"/>
        <v>#VALUE!</v>
      </c>
      <c r="DK28" s="22" t="e">
        <f t="shared" si="33"/>
        <v>#VALUE!</v>
      </c>
      <c r="DL28" s="22">
        <f t="shared" si="34"/>
        <v>0</v>
      </c>
      <c r="DM28" s="22">
        <f t="shared" si="35"/>
        <v>0</v>
      </c>
      <c r="DN28" s="22">
        <f t="shared" si="36"/>
        <v>0</v>
      </c>
      <c r="DO28" s="22">
        <f t="shared" si="37"/>
        <v>0</v>
      </c>
      <c r="DP28" s="22" t="e">
        <f t="shared" si="38"/>
        <v>#VALUE!</v>
      </c>
      <c r="DQ28" s="22">
        <f t="shared" si="39"/>
        <v>0</v>
      </c>
      <c r="DR28" s="22">
        <f t="shared" si="40"/>
        <v>0</v>
      </c>
    </row>
    <row r="29" spans="1:122" ht="16.5" thickBot="1">
      <c r="A29" s="2" t="s">
        <v>123</v>
      </c>
      <c r="B29" s="3" t="s">
        <v>124</v>
      </c>
      <c r="C29" s="27">
        <v>255920</v>
      </c>
      <c r="D29" s="27">
        <v>83153</v>
      </c>
      <c r="E29" s="27">
        <v>69916</v>
      </c>
      <c r="F29" s="27" t="s">
        <v>55</v>
      </c>
      <c r="G29" s="27">
        <v>102851</v>
      </c>
      <c r="H29" s="34">
        <v>264588</v>
      </c>
      <c r="I29" s="34">
        <v>121414</v>
      </c>
      <c r="J29" s="34">
        <v>85545</v>
      </c>
      <c r="K29" s="34" t="s">
        <v>55</v>
      </c>
      <c r="L29" s="34">
        <v>1519</v>
      </c>
      <c r="M29" s="34">
        <v>56110</v>
      </c>
      <c r="N29" s="34">
        <v>-8668</v>
      </c>
      <c r="O29" s="41">
        <v>1751</v>
      </c>
      <c r="P29" s="41">
        <v>293</v>
      </c>
      <c r="Q29" s="41" t="s">
        <v>55</v>
      </c>
      <c r="R29" s="41" t="s">
        <v>55</v>
      </c>
      <c r="S29" s="41">
        <v>1458</v>
      </c>
      <c r="T29" s="41" t="s">
        <v>55</v>
      </c>
      <c r="U29" s="49">
        <v>6335</v>
      </c>
      <c r="V29" s="50">
        <v>6215</v>
      </c>
      <c r="W29" s="50" t="s">
        <v>55</v>
      </c>
      <c r="X29" s="50" t="s">
        <v>55</v>
      </c>
      <c r="Y29" s="50" t="s">
        <v>55</v>
      </c>
      <c r="Z29" s="50">
        <v>120</v>
      </c>
      <c r="AA29" s="50">
        <v>-4584</v>
      </c>
      <c r="AB29" s="56" t="s">
        <v>55</v>
      </c>
      <c r="AC29" s="56" t="s">
        <v>55</v>
      </c>
      <c r="AD29" s="56" t="s">
        <v>55</v>
      </c>
      <c r="AE29" s="56" t="s">
        <v>55</v>
      </c>
      <c r="AF29" s="56" t="s">
        <v>55</v>
      </c>
      <c r="AG29" s="63" t="s">
        <v>55</v>
      </c>
      <c r="AH29" s="63" t="s">
        <v>55</v>
      </c>
      <c r="AI29" s="63" t="s">
        <v>55</v>
      </c>
      <c r="AJ29" s="63" t="s">
        <v>55</v>
      </c>
      <c r="AK29" s="63" t="s">
        <v>55</v>
      </c>
      <c r="AL29" s="63" t="s">
        <v>55</v>
      </c>
      <c r="AM29" s="7">
        <v>-13252</v>
      </c>
      <c r="AN29" s="7" t="s">
        <v>55</v>
      </c>
      <c r="AO29" s="7">
        <v>257671</v>
      </c>
      <c r="AP29" s="7">
        <v>270923</v>
      </c>
      <c r="AQ29" s="17">
        <v>255920</v>
      </c>
      <c r="AR29" s="18">
        <v>83153</v>
      </c>
      <c r="AS29" s="18">
        <v>69916</v>
      </c>
      <c r="AT29" s="18" t="s">
        <v>55</v>
      </c>
      <c r="AU29" s="18">
        <v>102851</v>
      </c>
      <c r="AV29" s="17">
        <v>264588</v>
      </c>
      <c r="AW29" s="18">
        <v>121414</v>
      </c>
      <c r="AX29" s="18">
        <v>85545</v>
      </c>
      <c r="AY29" s="18" t="s">
        <v>55</v>
      </c>
      <c r="AZ29" s="18">
        <v>1519</v>
      </c>
      <c r="BA29" s="18">
        <v>56110</v>
      </c>
      <c r="BB29" s="18">
        <v>-8668</v>
      </c>
      <c r="BC29" s="68">
        <v>1751</v>
      </c>
      <c r="BD29" s="69">
        <v>293</v>
      </c>
      <c r="BE29" s="69" t="s">
        <v>55</v>
      </c>
      <c r="BF29" s="69" t="s">
        <v>55</v>
      </c>
      <c r="BG29" s="69">
        <v>1458</v>
      </c>
      <c r="BH29" s="69" t="s">
        <v>55</v>
      </c>
      <c r="BI29" s="15">
        <v>6335</v>
      </c>
      <c r="BJ29" s="21">
        <v>6215</v>
      </c>
      <c r="BK29" s="21" t="s">
        <v>55</v>
      </c>
      <c r="BL29" s="21" t="s">
        <v>55</v>
      </c>
      <c r="BM29" s="21" t="s">
        <v>55</v>
      </c>
      <c r="BN29" s="21">
        <v>120</v>
      </c>
      <c r="BO29" s="21">
        <v>-4584</v>
      </c>
      <c r="BP29" s="139"/>
      <c r="BQ29" s="140"/>
      <c r="BR29" s="140"/>
      <c r="BS29" s="140"/>
      <c r="BT29" s="140"/>
      <c r="BU29" s="143"/>
      <c r="BV29" s="144"/>
      <c r="BW29" s="144"/>
      <c r="BX29" s="144"/>
      <c r="BY29" s="144"/>
      <c r="BZ29" s="144"/>
      <c r="CA29" s="17">
        <v>-13252</v>
      </c>
      <c r="CB29" s="18" t="s">
        <v>55</v>
      </c>
      <c r="CC29" s="18">
        <v>257671</v>
      </c>
      <c r="CD29" s="18">
        <v>270923</v>
      </c>
      <c r="CE29" s="22">
        <f t="shared" si="1"/>
        <v>0</v>
      </c>
      <c r="CF29" s="22">
        <f t="shared" si="2"/>
        <v>0</v>
      </c>
      <c r="CG29" s="22">
        <f t="shared" si="3"/>
        <v>0</v>
      </c>
      <c r="CH29" s="22" t="e">
        <f t="shared" si="4"/>
        <v>#VALUE!</v>
      </c>
      <c r="CI29" s="22">
        <f t="shared" si="5"/>
        <v>0</v>
      </c>
      <c r="CJ29" s="22">
        <f t="shared" si="6"/>
        <v>0</v>
      </c>
      <c r="CK29" s="22">
        <f t="shared" si="7"/>
        <v>0</v>
      </c>
      <c r="CL29" s="22">
        <f t="shared" si="8"/>
        <v>0</v>
      </c>
      <c r="CM29" s="22" t="e">
        <f t="shared" si="9"/>
        <v>#VALUE!</v>
      </c>
      <c r="CN29" s="22">
        <f t="shared" si="10"/>
        <v>0</v>
      </c>
      <c r="CO29" s="22">
        <f t="shared" si="11"/>
        <v>0</v>
      </c>
      <c r="CP29" s="22">
        <f t="shared" si="12"/>
        <v>0</v>
      </c>
      <c r="CQ29" s="22">
        <f t="shared" si="13"/>
        <v>0</v>
      </c>
      <c r="CR29" s="22">
        <f t="shared" si="14"/>
        <v>0</v>
      </c>
      <c r="CS29" s="22" t="e">
        <f t="shared" si="15"/>
        <v>#VALUE!</v>
      </c>
      <c r="CT29" s="22" t="e">
        <f t="shared" si="16"/>
        <v>#VALUE!</v>
      </c>
      <c r="CU29" s="22">
        <f t="shared" si="17"/>
        <v>0</v>
      </c>
      <c r="CV29" s="22" t="e">
        <f t="shared" si="18"/>
        <v>#VALUE!</v>
      </c>
      <c r="CW29" s="22">
        <f t="shared" si="19"/>
        <v>0</v>
      </c>
      <c r="CX29" s="22">
        <f t="shared" si="20"/>
        <v>0</v>
      </c>
      <c r="CY29" s="22" t="e">
        <f t="shared" si="21"/>
        <v>#VALUE!</v>
      </c>
      <c r="CZ29" s="22" t="e">
        <f t="shared" si="22"/>
        <v>#VALUE!</v>
      </c>
      <c r="DA29" s="22" t="e">
        <f t="shared" si="23"/>
        <v>#VALUE!</v>
      </c>
      <c r="DB29" s="22">
        <f t="shared" si="24"/>
        <v>0</v>
      </c>
      <c r="DC29" s="22">
        <f t="shared" si="25"/>
        <v>0</v>
      </c>
      <c r="DD29" s="22" t="e">
        <f t="shared" si="26"/>
        <v>#VALUE!</v>
      </c>
      <c r="DE29" s="22" t="e">
        <f t="shared" si="27"/>
        <v>#VALUE!</v>
      </c>
      <c r="DF29" s="22" t="e">
        <f t="shared" si="28"/>
        <v>#VALUE!</v>
      </c>
      <c r="DG29" s="22" t="e">
        <f t="shared" si="29"/>
        <v>#VALUE!</v>
      </c>
      <c r="DH29" s="22" t="e">
        <f t="shared" si="30"/>
        <v>#VALUE!</v>
      </c>
      <c r="DI29" s="22" t="e">
        <f t="shared" si="31"/>
        <v>#VALUE!</v>
      </c>
      <c r="DJ29" s="22" t="e">
        <f t="shared" si="32"/>
        <v>#VALUE!</v>
      </c>
      <c r="DK29" s="22" t="e">
        <f t="shared" si="33"/>
        <v>#VALUE!</v>
      </c>
      <c r="DL29" s="22" t="e">
        <f t="shared" si="34"/>
        <v>#VALUE!</v>
      </c>
      <c r="DM29" s="22" t="e">
        <f t="shared" si="35"/>
        <v>#VALUE!</v>
      </c>
      <c r="DN29" s="22" t="e">
        <f t="shared" si="36"/>
        <v>#VALUE!</v>
      </c>
      <c r="DO29" s="22">
        <f t="shared" si="37"/>
        <v>0</v>
      </c>
      <c r="DP29" s="22" t="e">
        <f t="shared" si="38"/>
        <v>#VALUE!</v>
      </c>
      <c r="DQ29" s="22">
        <f t="shared" si="39"/>
        <v>0</v>
      </c>
      <c r="DR29" s="22">
        <f t="shared" si="40"/>
        <v>0</v>
      </c>
    </row>
    <row r="30" spans="1:122" s="14" customFormat="1" ht="39.75" customHeight="1" thickBot="1">
      <c r="A30" s="2" t="s">
        <v>125</v>
      </c>
      <c r="B30" s="3" t="s">
        <v>126</v>
      </c>
      <c r="C30" s="27">
        <v>38658</v>
      </c>
      <c r="D30" s="27">
        <v>4871</v>
      </c>
      <c r="E30" s="27" t="s">
        <v>55</v>
      </c>
      <c r="F30" s="27" t="s">
        <v>55</v>
      </c>
      <c r="G30" s="27">
        <v>33787</v>
      </c>
      <c r="H30" s="34">
        <v>50542</v>
      </c>
      <c r="I30" s="34">
        <v>11628</v>
      </c>
      <c r="J30" s="34">
        <v>2116</v>
      </c>
      <c r="K30" s="34">
        <v>14352</v>
      </c>
      <c r="L30" s="34" t="s">
        <v>55</v>
      </c>
      <c r="M30" s="34">
        <v>22446</v>
      </c>
      <c r="N30" s="34">
        <v>-11884</v>
      </c>
      <c r="O30" s="41">
        <v>5601</v>
      </c>
      <c r="P30" s="41">
        <v>110</v>
      </c>
      <c r="Q30" s="41" t="s">
        <v>55</v>
      </c>
      <c r="R30" s="41" t="s">
        <v>55</v>
      </c>
      <c r="S30" s="41" t="s">
        <v>55</v>
      </c>
      <c r="T30" s="41">
        <v>5491</v>
      </c>
      <c r="U30" s="49">
        <v>150591</v>
      </c>
      <c r="V30" s="50">
        <v>136887</v>
      </c>
      <c r="W30" s="50" t="s">
        <v>55</v>
      </c>
      <c r="X30" s="50" t="s">
        <v>55</v>
      </c>
      <c r="Y30" s="50">
        <v>13704</v>
      </c>
      <c r="Z30" s="50" t="s">
        <v>55</v>
      </c>
      <c r="AA30" s="50">
        <v>-144990</v>
      </c>
      <c r="AB30" s="56">
        <v>161931</v>
      </c>
      <c r="AC30" s="56">
        <v>161931</v>
      </c>
      <c r="AD30" s="56" t="s">
        <v>55</v>
      </c>
      <c r="AE30" s="56" t="s">
        <v>55</v>
      </c>
      <c r="AF30" s="56" t="s">
        <v>55</v>
      </c>
      <c r="AG30" s="63">
        <v>5000</v>
      </c>
      <c r="AH30" s="63" t="s">
        <v>55</v>
      </c>
      <c r="AI30" s="63" t="s">
        <v>55</v>
      </c>
      <c r="AJ30" s="63">
        <v>5000</v>
      </c>
      <c r="AK30" s="63" t="s">
        <v>55</v>
      </c>
      <c r="AL30" s="63">
        <v>156931</v>
      </c>
      <c r="AM30" s="7">
        <v>57</v>
      </c>
      <c r="AN30" s="7" t="s">
        <v>55</v>
      </c>
      <c r="AO30" s="7">
        <v>206190</v>
      </c>
      <c r="AP30" s="7">
        <v>206133</v>
      </c>
      <c r="AQ30" s="17">
        <v>38658</v>
      </c>
      <c r="AR30" s="18">
        <v>4871</v>
      </c>
      <c r="AS30" s="18" t="s">
        <v>55</v>
      </c>
      <c r="AT30" s="18" t="s">
        <v>55</v>
      </c>
      <c r="AU30" s="18">
        <v>33787</v>
      </c>
      <c r="AV30" s="15">
        <v>50542</v>
      </c>
      <c r="AW30" s="21">
        <v>11628</v>
      </c>
      <c r="AX30" s="21">
        <v>2116</v>
      </c>
      <c r="AY30" s="21">
        <v>14352</v>
      </c>
      <c r="AZ30" s="21" t="s">
        <v>55</v>
      </c>
      <c r="BA30" s="21">
        <v>22446</v>
      </c>
      <c r="BB30" s="21">
        <v>-11884</v>
      </c>
      <c r="BC30" s="68">
        <v>5601</v>
      </c>
      <c r="BD30" s="69">
        <v>110</v>
      </c>
      <c r="BE30" s="69" t="s">
        <v>55</v>
      </c>
      <c r="BF30" s="69" t="s">
        <v>55</v>
      </c>
      <c r="BG30" s="69" t="s">
        <v>55</v>
      </c>
      <c r="BH30" s="69">
        <v>5491</v>
      </c>
      <c r="BI30" s="17">
        <v>150591</v>
      </c>
      <c r="BJ30" s="18">
        <v>136887</v>
      </c>
      <c r="BK30" s="18" t="s">
        <v>55</v>
      </c>
      <c r="BL30" s="18" t="s">
        <v>55</v>
      </c>
      <c r="BM30" s="18">
        <v>13704</v>
      </c>
      <c r="BN30" s="18" t="s">
        <v>55</v>
      </c>
      <c r="BO30" s="18">
        <v>-144990</v>
      </c>
      <c r="BP30" s="139">
        <v>161931</v>
      </c>
      <c r="BQ30" s="140">
        <v>161931</v>
      </c>
      <c r="BR30" s="140" t="s">
        <v>55</v>
      </c>
      <c r="BS30" s="140" t="s">
        <v>55</v>
      </c>
      <c r="BT30" s="140" t="s">
        <v>55</v>
      </c>
      <c r="BU30" s="143">
        <v>5000</v>
      </c>
      <c r="BV30" s="144" t="s">
        <v>55</v>
      </c>
      <c r="BW30" s="144" t="s">
        <v>55</v>
      </c>
      <c r="BX30" s="144">
        <v>5000</v>
      </c>
      <c r="BY30" s="144" t="s">
        <v>55</v>
      </c>
      <c r="BZ30" s="144">
        <v>156931</v>
      </c>
      <c r="CA30" s="17">
        <v>57</v>
      </c>
      <c r="CB30" s="18" t="s">
        <v>55</v>
      </c>
      <c r="CC30" s="18">
        <v>206190</v>
      </c>
      <c r="CD30" s="18">
        <v>206133</v>
      </c>
      <c r="CE30" s="22">
        <f t="shared" si="1"/>
        <v>0</v>
      </c>
      <c r="CF30" s="22">
        <f t="shared" si="2"/>
        <v>0</v>
      </c>
      <c r="CG30" s="22" t="e">
        <f t="shared" si="3"/>
        <v>#VALUE!</v>
      </c>
      <c r="CH30" s="22" t="e">
        <f t="shared" si="4"/>
        <v>#VALUE!</v>
      </c>
      <c r="CI30" s="22">
        <f t="shared" si="5"/>
        <v>0</v>
      </c>
      <c r="CJ30" s="22">
        <f t="shared" si="6"/>
        <v>0</v>
      </c>
      <c r="CK30" s="22">
        <f t="shared" si="7"/>
        <v>0</v>
      </c>
      <c r="CL30" s="22">
        <f t="shared" si="8"/>
        <v>0</v>
      </c>
      <c r="CM30" s="22">
        <f t="shared" si="9"/>
        <v>0</v>
      </c>
      <c r="CN30" s="22" t="e">
        <f t="shared" si="10"/>
        <v>#VALUE!</v>
      </c>
      <c r="CO30" s="22">
        <f t="shared" si="11"/>
        <v>0</v>
      </c>
      <c r="CP30" s="22">
        <f t="shared" si="12"/>
        <v>0</v>
      </c>
      <c r="CQ30" s="22">
        <f t="shared" si="13"/>
        <v>0</v>
      </c>
      <c r="CR30" s="22">
        <f t="shared" si="14"/>
        <v>0</v>
      </c>
      <c r="CS30" s="22" t="e">
        <f t="shared" si="15"/>
        <v>#VALUE!</v>
      </c>
      <c r="CT30" s="22" t="e">
        <f t="shared" si="16"/>
        <v>#VALUE!</v>
      </c>
      <c r="CU30" s="22" t="e">
        <f t="shared" si="17"/>
        <v>#VALUE!</v>
      </c>
      <c r="CV30" s="22">
        <f t="shared" si="18"/>
        <v>0</v>
      </c>
      <c r="CW30" s="22">
        <f t="shared" si="19"/>
        <v>0</v>
      </c>
      <c r="CX30" s="22">
        <f t="shared" si="20"/>
        <v>0</v>
      </c>
      <c r="CY30" s="22" t="e">
        <f t="shared" si="21"/>
        <v>#VALUE!</v>
      </c>
      <c r="CZ30" s="22" t="e">
        <f t="shared" si="22"/>
        <v>#VALUE!</v>
      </c>
      <c r="DA30" s="22">
        <f t="shared" si="23"/>
        <v>0</v>
      </c>
      <c r="DB30" s="22" t="e">
        <f t="shared" si="24"/>
        <v>#VALUE!</v>
      </c>
      <c r="DC30" s="22">
        <f t="shared" si="25"/>
        <v>0</v>
      </c>
      <c r="DD30" s="22">
        <f t="shared" si="26"/>
        <v>0</v>
      </c>
      <c r="DE30" s="22">
        <f t="shared" si="27"/>
        <v>0</v>
      </c>
      <c r="DF30" s="22" t="e">
        <f t="shared" si="28"/>
        <v>#VALUE!</v>
      </c>
      <c r="DG30" s="22" t="e">
        <f t="shared" si="29"/>
        <v>#VALUE!</v>
      </c>
      <c r="DH30" s="22" t="e">
        <f t="shared" si="30"/>
        <v>#VALUE!</v>
      </c>
      <c r="DI30" s="22">
        <f t="shared" si="31"/>
        <v>0</v>
      </c>
      <c r="DJ30" s="22" t="e">
        <f t="shared" si="32"/>
        <v>#VALUE!</v>
      </c>
      <c r="DK30" s="22" t="e">
        <f t="shared" si="33"/>
        <v>#VALUE!</v>
      </c>
      <c r="DL30" s="22">
        <f t="shared" si="34"/>
        <v>0</v>
      </c>
      <c r="DM30" s="22" t="e">
        <f t="shared" si="35"/>
        <v>#VALUE!</v>
      </c>
      <c r="DN30" s="22">
        <f t="shared" si="36"/>
        <v>0</v>
      </c>
      <c r="DO30" s="22">
        <f t="shared" si="37"/>
        <v>0</v>
      </c>
      <c r="DP30" s="22" t="e">
        <f t="shared" si="38"/>
        <v>#VALUE!</v>
      </c>
      <c r="DQ30" s="22">
        <f t="shared" si="39"/>
        <v>0</v>
      </c>
      <c r="DR30" s="22">
        <f t="shared" si="40"/>
        <v>0</v>
      </c>
    </row>
    <row r="31" spans="1:122" ht="39.75" thickBot="1">
      <c r="A31" s="2" t="s">
        <v>57</v>
      </c>
      <c r="B31" s="3" t="s">
        <v>58</v>
      </c>
      <c r="C31" s="27">
        <v>3725030</v>
      </c>
      <c r="D31" s="27">
        <v>2587042</v>
      </c>
      <c r="E31" s="27" t="s">
        <v>55</v>
      </c>
      <c r="F31" s="27" t="s">
        <v>55</v>
      </c>
      <c r="G31" s="27">
        <v>1137988</v>
      </c>
      <c r="H31" s="34">
        <v>3751552</v>
      </c>
      <c r="I31" s="34">
        <v>2205265</v>
      </c>
      <c r="J31" s="34">
        <v>795583</v>
      </c>
      <c r="K31" s="34">
        <v>152630</v>
      </c>
      <c r="L31" s="34">
        <v>3697</v>
      </c>
      <c r="M31" s="34">
        <v>594377</v>
      </c>
      <c r="N31" s="34">
        <v>-26522</v>
      </c>
      <c r="O31" s="41">
        <v>70</v>
      </c>
      <c r="P31" s="41" t="s">
        <v>55</v>
      </c>
      <c r="Q31" s="41" t="s">
        <v>55</v>
      </c>
      <c r="R31" s="41">
        <v>70</v>
      </c>
      <c r="S31" s="41" t="s">
        <v>55</v>
      </c>
      <c r="T31" s="41" t="s">
        <v>55</v>
      </c>
      <c r="U31" s="49">
        <v>970964</v>
      </c>
      <c r="V31" s="50">
        <v>864709</v>
      </c>
      <c r="W31" s="50" t="s">
        <v>55</v>
      </c>
      <c r="X31" s="50" t="s">
        <v>55</v>
      </c>
      <c r="Y31" s="50">
        <v>106255</v>
      </c>
      <c r="Z31" s="50" t="s">
        <v>55</v>
      </c>
      <c r="AA31" s="50">
        <v>-970894</v>
      </c>
      <c r="AB31" s="56">
        <v>1519961</v>
      </c>
      <c r="AC31" s="56">
        <v>1358330</v>
      </c>
      <c r="AD31" s="56">
        <v>11631</v>
      </c>
      <c r="AE31" s="56" t="s">
        <v>55</v>
      </c>
      <c r="AF31" s="56" t="s">
        <v>55</v>
      </c>
      <c r="AG31" s="63">
        <v>911627</v>
      </c>
      <c r="AH31" s="63" t="s">
        <v>55</v>
      </c>
      <c r="AI31" s="63" t="s">
        <v>55</v>
      </c>
      <c r="AJ31" s="63">
        <v>677820</v>
      </c>
      <c r="AK31" s="63">
        <v>233807</v>
      </c>
      <c r="AL31" s="63">
        <v>608334</v>
      </c>
      <c r="AM31" s="7">
        <v>-389082</v>
      </c>
      <c r="AN31" s="7" t="s">
        <v>55</v>
      </c>
      <c r="AO31" s="7">
        <v>5245061</v>
      </c>
      <c r="AP31" s="7">
        <v>5634143</v>
      </c>
      <c r="AQ31" s="17">
        <v>3725030</v>
      </c>
      <c r="AR31" s="18">
        <v>2587042</v>
      </c>
      <c r="AS31" s="18" t="s">
        <v>55</v>
      </c>
      <c r="AT31" s="18" t="s">
        <v>55</v>
      </c>
      <c r="AU31" s="18">
        <v>1137988</v>
      </c>
      <c r="AV31" s="17">
        <v>3751552</v>
      </c>
      <c r="AW31" s="18">
        <v>2205265</v>
      </c>
      <c r="AX31" s="18">
        <v>795583</v>
      </c>
      <c r="AY31" s="18">
        <v>152630</v>
      </c>
      <c r="AZ31" s="18">
        <v>3697</v>
      </c>
      <c r="BA31" s="18">
        <v>594377</v>
      </c>
      <c r="BB31" s="18">
        <v>-26522</v>
      </c>
      <c r="BC31" s="68">
        <v>70</v>
      </c>
      <c r="BD31" s="69" t="s">
        <v>55</v>
      </c>
      <c r="BE31" s="69" t="s">
        <v>55</v>
      </c>
      <c r="BF31" s="69">
        <v>70</v>
      </c>
      <c r="BG31" s="69" t="s">
        <v>55</v>
      </c>
      <c r="BH31" s="69" t="s">
        <v>55</v>
      </c>
      <c r="BI31" s="131">
        <v>970964</v>
      </c>
      <c r="BJ31" s="132">
        <v>864709</v>
      </c>
      <c r="BK31" s="132" t="s">
        <v>55</v>
      </c>
      <c r="BL31" s="132" t="s">
        <v>55</v>
      </c>
      <c r="BM31" s="132">
        <v>106255</v>
      </c>
      <c r="BN31" s="132" t="s">
        <v>55</v>
      </c>
      <c r="BO31" s="132">
        <v>-970894</v>
      </c>
      <c r="BP31" s="139">
        <v>1519961</v>
      </c>
      <c r="BQ31" s="140">
        <v>1358330</v>
      </c>
      <c r="BR31" s="140">
        <v>11631</v>
      </c>
      <c r="BS31" s="140" t="s">
        <v>55</v>
      </c>
      <c r="BT31" s="140" t="s">
        <v>55</v>
      </c>
      <c r="BU31" s="143">
        <v>911627</v>
      </c>
      <c r="BV31" s="144" t="s">
        <v>55</v>
      </c>
      <c r="BW31" s="144" t="s">
        <v>55</v>
      </c>
      <c r="BX31" s="144">
        <v>677820</v>
      </c>
      <c r="BY31" s="144">
        <v>233807</v>
      </c>
      <c r="BZ31" s="144">
        <v>608334</v>
      </c>
      <c r="CA31" s="17">
        <v>-389082</v>
      </c>
      <c r="CB31" s="18" t="s">
        <v>55</v>
      </c>
      <c r="CC31" s="18">
        <v>5245061</v>
      </c>
      <c r="CD31" s="18">
        <v>5634143</v>
      </c>
      <c r="CE31" s="22">
        <f t="shared" si="1"/>
        <v>0</v>
      </c>
      <c r="CF31" s="22">
        <f t="shared" si="2"/>
        <v>0</v>
      </c>
      <c r="CG31" s="22" t="e">
        <f t="shared" si="3"/>
        <v>#VALUE!</v>
      </c>
      <c r="CH31" s="22" t="e">
        <f t="shared" si="4"/>
        <v>#VALUE!</v>
      </c>
      <c r="CI31" s="22">
        <f t="shared" si="5"/>
        <v>0</v>
      </c>
      <c r="CJ31" s="22">
        <f t="shared" si="6"/>
        <v>0</v>
      </c>
      <c r="CK31" s="22">
        <f t="shared" si="7"/>
        <v>0</v>
      </c>
      <c r="CL31" s="22">
        <f t="shared" si="8"/>
        <v>0</v>
      </c>
      <c r="CM31" s="22">
        <f t="shared" si="9"/>
        <v>0</v>
      </c>
      <c r="CN31" s="22">
        <f t="shared" si="10"/>
        <v>0</v>
      </c>
      <c r="CO31" s="22">
        <f t="shared" si="11"/>
        <v>0</v>
      </c>
      <c r="CP31" s="22">
        <f t="shared" si="12"/>
        <v>0</v>
      </c>
      <c r="CQ31" s="22">
        <f t="shared" si="13"/>
        <v>0</v>
      </c>
      <c r="CR31" s="22" t="e">
        <f t="shared" si="14"/>
        <v>#VALUE!</v>
      </c>
      <c r="CS31" s="22" t="e">
        <f t="shared" si="15"/>
        <v>#VALUE!</v>
      </c>
      <c r="CT31" s="22">
        <f t="shared" si="16"/>
        <v>0</v>
      </c>
      <c r="CU31" s="22" t="e">
        <f t="shared" si="17"/>
        <v>#VALUE!</v>
      </c>
      <c r="CV31" s="22" t="e">
        <f t="shared" si="18"/>
        <v>#VALUE!</v>
      </c>
      <c r="CW31" s="22">
        <f t="shared" si="19"/>
        <v>0</v>
      </c>
      <c r="CX31" s="22">
        <f t="shared" si="20"/>
        <v>0</v>
      </c>
      <c r="CY31" s="22" t="e">
        <f t="shared" si="21"/>
        <v>#VALUE!</v>
      </c>
      <c r="CZ31" s="22" t="e">
        <f t="shared" si="22"/>
        <v>#VALUE!</v>
      </c>
      <c r="DA31" s="22">
        <f t="shared" si="23"/>
        <v>0</v>
      </c>
      <c r="DB31" s="22" t="e">
        <f t="shared" si="24"/>
        <v>#VALUE!</v>
      </c>
      <c r="DC31" s="22">
        <f t="shared" si="25"/>
        <v>0</v>
      </c>
      <c r="DD31" s="22">
        <f t="shared" si="26"/>
        <v>0</v>
      </c>
      <c r="DE31" s="22">
        <f t="shared" si="27"/>
        <v>0</v>
      </c>
      <c r="DF31" s="22">
        <f t="shared" si="28"/>
        <v>0</v>
      </c>
      <c r="DG31" s="22" t="e">
        <f t="shared" si="29"/>
        <v>#VALUE!</v>
      </c>
      <c r="DH31" s="22" t="e">
        <f t="shared" si="30"/>
        <v>#VALUE!</v>
      </c>
      <c r="DI31" s="22">
        <f t="shared" si="31"/>
        <v>0</v>
      </c>
      <c r="DJ31" s="22" t="e">
        <f t="shared" si="32"/>
        <v>#VALUE!</v>
      </c>
      <c r="DK31" s="22" t="e">
        <f t="shared" si="33"/>
        <v>#VALUE!</v>
      </c>
      <c r="DL31" s="22">
        <f t="shared" si="34"/>
        <v>0</v>
      </c>
      <c r="DM31" s="22">
        <f t="shared" si="35"/>
        <v>0</v>
      </c>
      <c r="DN31" s="22">
        <f t="shared" si="36"/>
        <v>0</v>
      </c>
      <c r="DO31" s="22">
        <f t="shared" si="37"/>
        <v>0</v>
      </c>
      <c r="DP31" s="22" t="e">
        <f t="shared" si="38"/>
        <v>#VALUE!</v>
      </c>
      <c r="DQ31" s="22">
        <f t="shared" si="39"/>
        <v>0</v>
      </c>
      <c r="DR31" s="22">
        <f t="shared" si="40"/>
        <v>0</v>
      </c>
    </row>
    <row r="32" spans="1:122" ht="15.75">
      <c r="A32" s="2" t="s">
        <v>67</v>
      </c>
      <c r="B32" s="3" t="s">
        <v>68</v>
      </c>
      <c r="C32" s="27">
        <v>711501</v>
      </c>
      <c r="D32" s="27">
        <v>626854</v>
      </c>
      <c r="E32" s="27">
        <v>33812</v>
      </c>
      <c r="F32" s="27" t="s">
        <v>55</v>
      </c>
      <c r="G32" s="27">
        <v>50835</v>
      </c>
      <c r="H32" s="34">
        <v>666307</v>
      </c>
      <c r="I32" s="34">
        <v>424334</v>
      </c>
      <c r="J32" s="34">
        <v>150357</v>
      </c>
      <c r="K32" s="34" t="s">
        <v>55</v>
      </c>
      <c r="L32" s="34">
        <v>25445</v>
      </c>
      <c r="M32" s="34">
        <v>66171</v>
      </c>
      <c r="N32" s="34">
        <v>45194</v>
      </c>
      <c r="O32" s="41">
        <v>41770</v>
      </c>
      <c r="P32" s="41" t="s">
        <v>55</v>
      </c>
      <c r="Q32" s="41" t="s">
        <v>55</v>
      </c>
      <c r="R32" s="41" t="s">
        <v>55</v>
      </c>
      <c r="S32" s="41">
        <v>41770</v>
      </c>
      <c r="T32" s="41" t="s">
        <v>55</v>
      </c>
      <c r="U32" s="49">
        <v>31094</v>
      </c>
      <c r="V32" s="50">
        <v>31094</v>
      </c>
      <c r="W32" s="50" t="s">
        <v>55</v>
      </c>
      <c r="X32" s="50" t="s">
        <v>55</v>
      </c>
      <c r="Y32" s="50" t="s">
        <v>55</v>
      </c>
      <c r="Z32" s="50" t="s">
        <v>55</v>
      </c>
      <c r="AA32" s="50">
        <v>10676</v>
      </c>
      <c r="AB32" s="56" t="s">
        <v>55</v>
      </c>
      <c r="AC32" s="56" t="s">
        <v>55</v>
      </c>
      <c r="AD32" s="56" t="s">
        <v>55</v>
      </c>
      <c r="AE32" s="56" t="s">
        <v>55</v>
      </c>
      <c r="AF32" s="56" t="s">
        <v>55</v>
      </c>
      <c r="AG32" s="63" t="s">
        <v>55</v>
      </c>
      <c r="AH32" s="63" t="s">
        <v>55</v>
      </c>
      <c r="AI32" s="63" t="s">
        <v>55</v>
      </c>
      <c r="AJ32" s="63" t="s">
        <v>55</v>
      </c>
      <c r="AK32" s="63" t="s">
        <v>55</v>
      </c>
      <c r="AL32" s="63" t="s">
        <v>55</v>
      </c>
      <c r="AM32" s="7">
        <v>55870</v>
      </c>
      <c r="AN32" s="7" t="s">
        <v>55</v>
      </c>
      <c r="AO32" s="7">
        <v>753271</v>
      </c>
      <c r="AP32" s="7">
        <v>697401</v>
      </c>
      <c r="AQ32" s="15">
        <v>711501</v>
      </c>
      <c r="AR32" s="21">
        <v>626854</v>
      </c>
      <c r="AS32" s="21">
        <v>33812</v>
      </c>
      <c r="AT32" s="21" t="s">
        <v>55</v>
      </c>
      <c r="AU32" s="21">
        <v>50835</v>
      </c>
      <c r="AV32" s="17">
        <v>666307</v>
      </c>
      <c r="AW32" s="18">
        <v>424334</v>
      </c>
      <c r="AX32" s="18">
        <v>150357</v>
      </c>
      <c r="AY32" s="18" t="s">
        <v>55</v>
      </c>
      <c r="AZ32" s="18">
        <v>25445</v>
      </c>
      <c r="BA32" s="18">
        <v>66171</v>
      </c>
      <c r="BB32" s="18">
        <v>45194</v>
      </c>
      <c r="BC32" s="68">
        <v>41770</v>
      </c>
      <c r="BD32" s="69" t="s">
        <v>55</v>
      </c>
      <c r="BE32" s="69" t="s">
        <v>55</v>
      </c>
      <c r="BF32" s="69" t="s">
        <v>55</v>
      </c>
      <c r="BG32" s="69">
        <v>41770</v>
      </c>
      <c r="BH32" s="69" t="s">
        <v>55</v>
      </c>
      <c r="BI32" s="133">
        <v>31094</v>
      </c>
      <c r="BJ32" s="134">
        <v>31094</v>
      </c>
      <c r="BK32" s="134" t="s">
        <v>55</v>
      </c>
      <c r="BL32" s="134" t="s">
        <v>55</v>
      </c>
      <c r="BM32" s="134" t="s">
        <v>55</v>
      </c>
      <c r="BN32" s="134" t="s">
        <v>55</v>
      </c>
      <c r="BO32" s="134">
        <v>10676</v>
      </c>
      <c r="BP32" s="139"/>
      <c r="BQ32" s="140"/>
      <c r="BR32" s="140"/>
      <c r="BS32" s="140"/>
      <c r="BT32" s="140"/>
      <c r="BU32" s="143"/>
      <c r="BV32" s="144"/>
      <c r="BW32" s="144"/>
      <c r="BX32" s="144"/>
      <c r="BY32" s="144"/>
      <c r="BZ32" s="144"/>
      <c r="CA32" s="17">
        <v>55870</v>
      </c>
      <c r="CB32" s="18" t="s">
        <v>55</v>
      </c>
      <c r="CC32" s="18">
        <v>753271</v>
      </c>
      <c r="CD32" s="18">
        <v>697401</v>
      </c>
      <c r="CE32" s="22">
        <f t="shared" si="1"/>
        <v>0</v>
      </c>
      <c r="CF32" s="22">
        <f t="shared" si="2"/>
        <v>0</v>
      </c>
      <c r="CG32" s="22">
        <f t="shared" si="3"/>
        <v>0</v>
      </c>
      <c r="CH32" s="22" t="e">
        <f t="shared" si="4"/>
        <v>#VALUE!</v>
      </c>
      <c r="CI32" s="22">
        <f t="shared" si="5"/>
        <v>0</v>
      </c>
      <c r="CJ32" s="22">
        <f t="shared" si="6"/>
        <v>0</v>
      </c>
      <c r="CK32" s="22">
        <f t="shared" si="7"/>
        <v>0</v>
      </c>
      <c r="CL32" s="22">
        <f t="shared" si="8"/>
        <v>0</v>
      </c>
      <c r="CM32" s="22" t="e">
        <f t="shared" si="9"/>
        <v>#VALUE!</v>
      </c>
      <c r="CN32" s="22">
        <f t="shared" si="10"/>
        <v>0</v>
      </c>
      <c r="CO32" s="22">
        <f t="shared" si="11"/>
        <v>0</v>
      </c>
      <c r="CP32" s="22">
        <f t="shared" si="12"/>
        <v>0</v>
      </c>
      <c r="CQ32" s="22">
        <f t="shared" si="13"/>
        <v>0</v>
      </c>
      <c r="CR32" s="22" t="e">
        <f t="shared" si="14"/>
        <v>#VALUE!</v>
      </c>
      <c r="CS32" s="22" t="e">
        <f t="shared" si="15"/>
        <v>#VALUE!</v>
      </c>
      <c r="CT32" s="22" t="e">
        <f t="shared" si="16"/>
        <v>#VALUE!</v>
      </c>
      <c r="CU32" s="22">
        <f t="shared" si="17"/>
        <v>0</v>
      </c>
      <c r="CV32" s="22" t="e">
        <f t="shared" si="18"/>
        <v>#VALUE!</v>
      </c>
      <c r="CW32" s="22">
        <f t="shared" si="19"/>
        <v>0</v>
      </c>
      <c r="CX32" s="22">
        <f t="shared" si="20"/>
        <v>0</v>
      </c>
      <c r="CY32" s="22" t="e">
        <f t="shared" si="21"/>
        <v>#VALUE!</v>
      </c>
      <c r="CZ32" s="22" t="e">
        <f t="shared" si="22"/>
        <v>#VALUE!</v>
      </c>
      <c r="DA32" s="22" t="e">
        <f t="shared" si="23"/>
        <v>#VALUE!</v>
      </c>
      <c r="DB32" s="22" t="e">
        <f t="shared" si="24"/>
        <v>#VALUE!</v>
      </c>
      <c r="DC32" s="22">
        <f t="shared" si="25"/>
        <v>0</v>
      </c>
      <c r="DD32" s="22" t="e">
        <f t="shared" si="26"/>
        <v>#VALUE!</v>
      </c>
      <c r="DE32" s="22" t="e">
        <f t="shared" si="27"/>
        <v>#VALUE!</v>
      </c>
      <c r="DF32" s="22" t="e">
        <f t="shared" si="28"/>
        <v>#VALUE!</v>
      </c>
      <c r="DG32" s="22" t="e">
        <f t="shared" si="29"/>
        <v>#VALUE!</v>
      </c>
      <c r="DH32" s="22" t="e">
        <f t="shared" si="30"/>
        <v>#VALUE!</v>
      </c>
      <c r="DI32" s="22" t="e">
        <f t="shared" si="31"/>
        <v>#VALUE!</v>
      </c>
      <c r="DJ32" s="22" t="e">
        <f t="shared" si="32"/>
        <v>#VALUE!</v>
      </c>
      <c r="DK32" s="22" t="e">
        <f t="shared" si="33"/>
        <v>#VALUE!</v>
      </c>
      <c r="DL32" s="22" t="e">
        <f t="shared" si="34"/>
        <v>#VALUE!</v>
      </c>
      <c r="DM32" s="22" t="e">
        <f t="shared" si="35"/>
        <v>#VALUE!</v>
      </c>
      <c r="DN32" s="22" t="e">
        <f t="shared" si="36"/>
        <v>#VALUE!</v>
      </c>
      <c r="DO32" s="22">
        <f t="shared" si="37"/>
        <v>0</v>
      </c>
      <c r="DP32" s="22" t="e">
        <f t="shared" si="38"/>
        <v>#VALUE!</v>
      </c>
      <c r="DQ32" s="22">
        <f t="shared" si="39"/>
        <v>0</v>
      </c>
      <c r="DR32" s="22">
        <f t="shared" si="40"/>
        <v>0</v>
      </c>
    </row>
    <row r="33" spans="1:122" s="14" customFormat="1" ht="15.75">
      <c r="A33" s="2" t="s">
        <v>27</v>
      </c>
      <c r="B33" s="3" t="s">
        <v>69</v>
      </c>
      <c r="C33" s="27">
        <v>123283</v>
      </c>
      <c r="D33" s="27">
        <v>122102</v>
      </c>
      <c r="E33" s="27" t="s">
        <v>55</v>
      </c>
      <c r="F33" s="27" t="s">
        <v>55</v>
      </c>
      <c r="G33" s="27">
        <v>1181</v>
      </c>
      <c r="H33" s="34">
        <v>122813</v>
      </c>
      <c r="I33" s="34">
        <v>49264</v>
      </c>
      <c r="J33" s="34">
        <v>41049</v>
      </c>
      <c r="K33" s="34" t="s">
        <v>55</v>
      </c>
      <c r="L33" s="34" t="s">
        <v>55</v>
      </c>
      <c r="M33" s="34">
        <v>32500</v>
      </c>
      <c r="N33" s="34">
        <v>470</v>
      </c>
      <c r="O33" s="41" t="s">
        <v>55</v>
      </c>
      <c r="P33" s="41" t="s">
        <v>55</v>
      </c>
      <c r="Q33" s="41" t="s">
        <v>55</v>
      </c>
      <c r="R33" s="41" t="s">
        <v>55</v>
      </c>
      <c r="S33" s="41" t="s">
        <v>55</v>
      </c>
      <c r="T33" s="41" t="s">
        <v>55</v>
      </c>
      <c r="U33" s="49" t="s">
        <v>55</v>
      </c>
      <c r="V33" s="50" t="s">
        <v>55</v>
      </c>
      <c r="W33" s="50" t="s">
        <v>55</v>
      </c>
      <c r="X33" s="50" t="s">
        <v>55</v>
      </c>
      <c r="Y33" s="50" t="s">
        <v>55</v>
      </c>
      <c r="Z33" s="50" t="s">
        <v>55</v>
      </c>
      <c r="AA33" s="50" t="s">
        <v>55</v>
      </c>
      <c r="AB33" s="56">
        <v>67</v>
      </c>
      <c r="AC33" s="56" t="s">
        <v>55</v>
      </c>
      <c r="AD33" s="56" t="s">
        <v>55</v>
      </c>
      <c r="AE33" s="56" t="s">
        <v>55</v>
      </c>
      <c r="AF33" s="56">
        <v>67</v>
      </c>
      <c r="AG33" s="63" t="s">
        <v>55</v>
      </c>
      <c r="AH33" s="63" t="s">
        <v>55</v>
      </c>
      <c r="AI33" s="63" t="s">
        <v>55</v>
      </c>
      <c r="AJ33" s="63" t="s">
        <v>55</v>
      </c>
      <c r="AK33" s="63" t="s">
        <v>55</v>
      </c>
      <c r="AL33" s="63">
        <v>67</v>
      </c>
      <c r="AM33" s="7">
        <v>537</v>
      </c>
      <c r="AN33" s="7" t="s">
        <v>55</v>
      </c>
      <c r="AO33" s="7">
        <v>123350</v>
      </c>
      <c r="AP33" s="7">
        <v>122813</v>
      </c>
      <c r="AQ33" s="17">
        <v>123283</v>
      </c>
      <c r="AR33" s="18">
        <v>122102</v>
      </c>
      <c r="AS33" s="18" t="s">
        <v>55</v>
      </c>
      <c r="AT33" s="18" t="s">
        <v>55</v>
      </c>
      <c r="AU33" s="18">
        <v>1181</v>
      </c>
      <c r="AV33" s="17">
        <v>122813</v>
      </c>
      <c r="AW33" s="18">
        <v>49264</v>
      </c>
      <c r="AX33" s="18">
        <v>41049</v>
      </c>
      <c r="AY33" s="18" t="s">
        <v>55</v>
      </c>
      <c r="AZ33" s="18" t="s">
        <v>55</v>
      </c>
      <c r="BA33" s="18">
        <v>32500</v>
      </c>
      <c r="BB33" s="18">
        <v>470</v>
      </c>
      <c r="BC33" s="68"/>
      <c r="BD33" s="69"/>
      <c r="BE33" s="69"/>
      <c r="BF33" s="69"/>
      <c r="BG33" s="69"/>
      <c r="BH33" s="69"/>
      <c r="BI33" s="133"/>
      <c r="BJ33" s="134"/>
      <c r="BK33" s="134"/>
      <c r="BL33" s="134"/>
      <c r="BM33" s="134"/>
      <c r="BN33" s="134"/>
      <c r="BO33" s="134"/>
      <c r="BP33" s="139">
        <v>67</v>
      </c>
      <c r="BQ33" s="140" t="s">
        <v>55</v>
      </c>
      <c r="BR33" s="140" t="s">
        <v>55</v>
      </c>
      <c r="BS33" s="140" t="s">
        <v>55</v>
      </c>
      <c r="BT33" s="140">
        <v>67</v>
      </c>
      <c r="BU33" s="143" t="s">
        <v>55</v>
      </c>
      <c r="BV33" s="144" t="s">
        <v>55</v>
      </c>
      <c r="BW33" s="144" t="s">
        <v>55</v>
      </c>
      <c r="BX33" s="144" t="s">
        <v>55</v>
      </c>
      <c r="BY33" s="144" t="s">
        <v>55</v>
      </c>
      <c r="BZ33" s="144">
        <v>67</v>
      </c>
      <c r="CA33" s="17">
        <v>537</v>
      </c>
      <c r="CB33" s="18" t="s">
        <v>55</v>
      </c>
      <c r="CC33" s="18">
        <v>123350</v>
      </c>
      <c r="CD33" s="18">
        <v>122813</v>
      </c>
      <c r="CE33" s="22">
        <f t="shared" si="1"/>
        <v>0</v>
      </c>
      <c r="CF33" s="22">
        <f t="shared" si="2"/>
        <v>0</v>
      </c>
      <c r="CG33" s="22" t="e">
        <f t="shared" si="3"/>
        <v>#VALUE!</v>
      </c>
      <c r="CH33" s="22" t="e">
        <f t="shared" si="4"/>
        <v>#VALUE!</v>
      </c>
      <c r="CI33" s="22">
        <f t="shared" si="5"/>
        <v>0</v>
      </c>
      <c r="CJ33" s="22">
        <f t="shared" si="6"/>
        <v>0</v>
      </c>
      <c r="CK33" s="22">
        <f t="shared" si="7"/>
        <v>0</v>
      </c>
      <c r="CL33" s="22">
        <f t="shared" si="8"/>
        <v>0</v>
      </c>
      <c r="CM33" s="22" t="e">
        <f t="shared" si="9"/>
        <v>#VALUE!</v>
      </c>
      <c r="CN33" s="22" t="e">
        <f t="shared" si="10"/>
        <v>#VALUE!</v>
      </c>
      <c r="CO33" s="22">
        <f t="shared" si="11"/>
        <v>0</v>
      </c>
      <c r="CP33" s="22">
        <f t="shared" si="12"/>
        <v>0</v>
      </c>
      <c r="CQ33" s="22" t="e">
        <f t="shared" si="13"/>
        <v>#VALUE!</v>
      </c>
      <c r="CR33" s="22" t="e">
        <f t="shared" si="14"/>
        <v>#VALUE!</v>
      </c>
      <c r="CS33" s="22" t="e">
        <f t="shared" si="15"/>
        <v>#VALUE!</v>
      </c>
      <c r="CT33" s="22" t="e">
        <f t="shared" si="16"/>
        <v>#VALUE!</v>
      </c>
      <c r="CU33" s="22" t="e">
        <f t="shared" si="17"/>
        <v>#VALUE!</v>
      </c>
      <c r="CV33" s="22" t="e">
        <f t="shared" si="18"/>
        <v>#VALUE!</v>
      </c>
      <c r="CW33" s="22" t="e">
        <f t="shared" si="19"/>
        <v>#VALUE!</v>
      </c>
      <c r="CX33" s="22" t="e">
        <f t="shared" si="20"/>
        <v>#VALUE!</v>
      </c>
      <c r="CY33" s="22" t="e">
        <f t="shared" si="21"/>
        <v>#VALUE!</v>
      </c>
      <c r="CZ33" s="22" t="e">
        <f t="shared" si="22"/>
        <v>#VALUE!</v>
      </c>
      <c r="DA33" s="22" t="e">
        <f t="shared" si="23"/>
        <v>#VALUE!</v>
      </c>
      <c r="DB33" s="22" t="e">
        <f t="shared" si="24"/>
        <v>#VALUE!</v>
      </c>
      <c r="DC33" s="22" t="e">
        <f t="shared" si="25"/>
        <v>#VALUE!</v>
      </c>
      <c r="DD33" s="22">
        <f t="shared" si="26"/>
        <v>0</v>
      </c>
      <c r="DE33" s="22" t="e">
        <f t="shared" si="27"/>
        <v>#VALUE!</v>
      </c>
      <c r="DF33" s="22" t="e">
        <f t="shared" si="28"/>
        <v>#VALUE!</v>
      </c>
      <c r="DG33" s="22" t="e">
        <f t="shared" si="29"/>
        <v>#VALUE!</v>
      </c>
      <c r="DH33" s="22">
        <f t="shared" si="30"/>
        <v>0</v>
      </c>
      <c r="DI33" s="22" t="e">
        <f t="shared" si="31"/>
        <v>#VALUE!</v>
      </c>
      <c r="DJ33" s="22" t="e">
        <f t="shared" si="32"/>
        <v>#VALUE!</v>
      </c>
      <c r="DK33" s="22" t="e">
        <f t="shared" si="33"/>
        <v>#VALUE!</v>
      </c>
      <c r="DL33" s="22" t="e">
        <f t="shared" si="34"/>
        <v>#VALUE!</v>
      </c>
      <c r="DM33" s="22" t="e">
        <f t="shared" si="35"/>
        <v>#VALUE!</v>
      </c>
      <c r="DN33" s="22">
        <f t="shared" si="36"/>
        <v>0</v>
      </c>
      <c r="DO33" s="22">
        <f t="shared" si="37"/>
        <v>0</v>
      </c>
      <c r="DP33" s="22" t="e">
        <f t="shared" si="38"/>
        <v>#VALUE!</v>
      </c>
      <c r="DQ33" s="22">
        <f t="shared" si="39"/>
        <v>0</v>
      </c>
      <c r="DR33" s="22">
        <f t="shared" si="40"/>
        <v>0</v>
      </c>
    </row>
    <row r="34" spans="1:122" ht="26.25">
      <c r="A34" s="2" t="s">
        <v>70</v>
      </c>
      <c r="B34" s="3" t="s">
        <v>71</v>
      </c>
      <c r="C34" s="27">
        <v>2282898</v>
      </c>
      <c r="D34" s="27">
        <v>2211153</v>
      </c>
      <c r="E34" s="27">
        <v>3229</v>
      </c>
      <c r="F34" s="27" t="s">
        <v>55</v>
      </c>
      <c r="G34" s="27">
        <v>68516</v>
      </c>
      <c r="H34" s="34">
        <v>3068987</v>
      </c>
      <c r="I34" s="34">
        <v>1202282</v>
      </c>
      <c r="J34" s="34">
        <v>1552471</v>
      </c>
      <c r="K34" s="34">
        <v>192816</v>
      </c>
      <c r="L34" s="34" t="s">
        <v>55</v>
      </c>
      <c r="M34" s="34">
        <v>121418</v>
      </c>
      <c r="N34" s="34">
        <v>-786089</v>
      </c>
      <c r="O34" s="41">
        <v>29550</v>
      </c>
      <c r="P34" s="41" t="s">
        <v>55</v>
      </c>
      <c r="Q34" s="41" t="s">
        <v>55</v>
      </c>
      <c r="R34" s="41">
        <v>29550</v>
      </c>
      <c r="S34" s="41" t="s">
        <v>55</v>
      </c>
      <c r="T34" s="41" t="s">
        <v>55</v>
      </c>
      <c r="U34" s="49">
        <v>121210</v>
      </c>
      <c r="V34" s="50">
        <v>2210</v>
      </c>
      <c r="W34" s="50" t="s">
        <v>55</v>
      </c>
      <c r="X34" s="50">
        <v>119000</v>
      </c>
      <c r="Y34" s="50" t="s">
        <v>55</v>
      </c>
      <c r="Z34" s="50" t="s">
        <v>55</v>
      </c>
      <c r="AA34" s="50">
        <v>-91660</v>
      </c>
      <c r="AB34" s="56">
        <v>115719.9</v>
      </c>
      <c r="AC34" s="56">
        <v>1157199</v>
      </c>
      <c r="AD34" s="56" t="s">
        <v>55</v>
      </c>
      <c r="AE34" s="56" t="s">
        <v>55</v>
      </c>
      <c r="AF34" s="56" t="s">
        <v>55</v>
      </c>
      <c r="AG34" s="63" t="s">
        <v>55</v>
      </c>
      <c r="AH34" s="63" t="s">
        <v>55</v>
      </c>
      <c r="AI34" s="63" t="s">
        <v>55</v>
      </c>
      <c r="AJ34" s="63" t="s">
        <v>55</v>
      </c>
      <c r="AK34" s="63" t="s">
        <v>55</v>
      </c>
      <c r="AL34" s="63">
        <v>1157199</v>
      </c>
      <c r="AM34" s="7">
        <v>279450</v>
      </c>
      <c r="AN34" s="7" t="s">
        <v>55</v>
      </c>
      <c r="AO34" s="7">
        <v>3469647</v>
      </c>
      <c r="AP34" s="7">
        <v>3190197</v>
      </c>
      <c r="AQ34" s="17">
        <v>2282898</v>
      </c>
      <c r="AR34" s="18">
        <v>2211153</v>
      </c>
      <c r="AS34" s="18">
        <v>3229</v>
      </c>
      <c r="AT34" s="18" t="s">
        <v>55</v>
      </c>
      <c r="AU34" s="18">
        <v>68516</v>
      </c>
      <c r="AV34" s="17">
        <v>3068987</v>
      </c>
      <c r="AW34" s="18">
        <v>1202282</v>
      </c>
      <c r="AX34" s="18">
        <v>1552471</v>
      </c>
      <c r="AY34" s="18">
        <v>192816</v>
      </c>
      <c r="AZ34" s="18" t="s">
        <v>55</v>
      </c>
      <c r="BA34" s="18">
        <v>121418</v>
      </c>
      <c r="BB34" s="18">
        <v>-786089</v>
      </c>
      <c r="BC34" s="68">
        <v>29550</v>
      </c>
      <c r="BD34" s="69" t="s">
        <v>55</v>
      </c>
      <c r="BE34" s="69" t="s">
        <v>55</v>
      </c>
      <c r="BF34" s="69">
        <v>29550</v>
      </c>
      <c r="BG34" s="69" t="s">
        <v>55</v>
      </c>
      <c r="BH34" s="69" t="s">
        <v>55</v>
      </c>
      <c r="BI34" s="133">
        <v>121210</v>
      </c>
      <c r="BJ34" s="134">
        <v>2210</v>
      </c>
      <c r="BK34" s="134" t="s">
        <v>55</v>
      </c>
      <c r="BL34" s="134">
        <v>119000</v>
      </c>
      <c r="BM34" s="134" t="s">
        <v>55</v>
      </c>
      <c r="BN34" s="134" t="s">
        <v>55</v>
      </c>
      <c r="BO34" s="134">
        <v>-91660</v>
      </c>
      <c r="BP34" s="139">
        <v>115720</v>
      </c>
      <c r="BQ34" s="140">
        <v>1157199</v>
      </c>
      <c r="BR34" s="140" t="s">
        <v>55</v>
      </c>
      <c r="BS34" s="140" t="s">
        <v>55</v>
      </c>
      <c r="BT34" s="140" t="s">
        <v>55</v>
      </c>
      <c r="BU34" s="143" t="s">
        <v>55</v>
      </c>
      <c r="BV34" s="144" t="s">
        <v>55</v>
      </c>
      <c r="BW34" s="144" t="s">
        <v>55</v>
      </c>
      <c r="BX34" s="144" t="s">
        <v>55</v>
      </c>
      <c r="BY34" s="144" t="s">
        <v>55</v>
      </c>
      <c r="BZ34" s="144">
        <v>1157199</v>
      </c>
      <c r="CA34" s="17">
        <v>279450</v>
      </c>
      <c r="CB34" s="18" t="s">
        <v>55</v>
      </c>
      <c r="CC34" s="18">
        <v>3469647</v>
      </c>
      <c r="CD34" s="18">
        <v>3190197</v>
      </c>
      <c r="CE34" s="22">
        <f t="shared" si="1"/>
        <v>0</v>
      </c>
      <c r="CF34" s="22">
        <f t="shared" si="2"/>
        <v>0</v>
      </c>
      <c r="CG34" s="22">
        <f t="shared" si="3"/>
        <v>0</v>
      </c>
      <c r="CH34" s="22" t="e">
        <f t="shared" si="4"/>
        <v>#VALUE!</v>
      </c>
      <c r="CI34" s="22">
        <f t="shared" si="5"/>
        <v>0</v>
      </c>
      <c r="CJ34" s="22">
        <f t="shared" si="6"/>
        <v>0</v>
      </c>
      <c r="CK34" s="22">
        <f t="shared" si="7"/>
        <v>0</v>
      </c>
      <c r="CL34" s="22">
        <f t="shared" si="8"/>
        <v>0</v>
      </c>
      <c r="CM34" s="22">
        <f t="shared" si="9"/>
        <v>0</v>
      </c>
      <c r="CN34" s="22" t="e">
        <f t="shared" si="10"/>
        <v>#VALUE!</v>
      </c>
      <c r="CO34" s="22">
        <f t="shared" si="11"/>
        <v>0</v>
      </c>
      <c r="CP34" s="22">
        <f t="shared" si="12"/>
        <v>0</v>
      </c>
      <c r="CQ34" s="22">
        <f t="shared" si="13"/>
        <v>0</v>
      </c>
      <c r="CR34" s="22" t="e">
        <f t="shared" si="14"/>
        <v>#VALUE!</v>
      </c>
      <c r="CS34" s="22" t="e">
        <f t="shared" si="15"/>
        <v>#VALUE!</v>
      </c>
      <c r="CT34" s="22">
        <f t="shared" si="16"/>
        <v>0</v>
      </c>
      <c r="CU34" s="22" t="e">
        <f t="shared" si="17"/>
        <v>#VALUE!</v>
      </c>
      <c r="CV34" s="22" t="e">
        <f t="shared" si="18"/>
        <v>#VALUE!</v>
      </c>
      <c r="CW34" s="22">
        <f t="shared" si="19"/>
        <v>0</v>
      </c>
      <c r="CX34" s="22">
        <f t="shared" si="20"/>
        <v>0</v>
      </c>
      <c r="CY34" s="22" t="e">
        <f t="shared" si="21"/>
        <v>#VALUE!</v>
      </c>
      <c r="CZ34" s="22">
        <f t="shared" si="22"/>
        <v>0</v>
      </c>
      <c r="DA34" s="22" t="e">
        <f t="shared" si="23"/>
        <v>#VALUE!</v>
      </c>
      <c r="DB34" s="22" t="e">
        <f t="shared" si="24"/>
        <v>#VALUE!</v>
      </c>
      <c r="DC34" s="22">
        <f t="shared" si="25"/>
        <v>0</v>
      </c>
      <c r="DD34" s="22">
        <f t="shared" si="26"/>
        <v>-0.10000000000582077</v>
      </c>
      <c r="DE34" s="22">
        <f t="shared" si="27"/>
        <v>0</v>
      </c>
      <c r="DF34" s="22" t="e">
        <f t="shared" si="28"/>
        <v>#VALUE!</v>
      </c>
      <c r="DG34" s="22" t="e">
        <f t="shared" si="29"/>
        <v>#VALUE!</v>
      </c>
      <c r="DH34" s="22" t="e">
        <f t="shared" si="30"/>
        <v>#VALUE!</v>
      </c>
      <c r="DI34" s="22" t="e">
        <f t="shared" si="31"/>
        <v>#VALUE!</v>
      </c>
      <c r="DJ34" s="22" t="e">
        <f t="shared" si="32"/>
        <v>#VALUE!</v>
      </c>
      <c r="DK34" s="22" t="e">
        <f t="shared" si="33"/>
        <v>#VALUE!</v>
      </c>
      <c r="DL34" s="22" t="e">
        <f t="shared" si="34"/>
        <v>#VALUE!</v>
      </c>
      <c r="DM34" s="22" t="e">
        <f t="shared" si="35"/>
        <v>#VALUE!</v>
      </c>
      <c r="DN34" s="22">
        <f t="shared" si="36"/>
        <v>0</v>
      </c>
      <c r="DO34" s="22">
        <f t="shared" si="37"/>
        <v>0</v>
      </c>
      <c r="DP34" s="22" t="e">
        <f t="shared" si="38"/>
        <v>#VALUE!</v>
      </c>
      <c r="DQ34" s="22">
        <f t="shared" si="39"/>
        <v>0</v>
      </c>
      <c r="DR34" s="22">
        <f t="shared" si="40"/>
        <v>0</v>
      </c>
    </row>
    <row r="35" spans="1:122" ht="27" thickBot="1">
      <c r="A35" s="2" t="s">
        <v>33</v>
      </c>
      <c r="B35" s="3" t="s">
        <v>78</v>
      </c>
      <c r="C35" s="27">
        <v>1175576</v>
      </c>
      <c r="D35" s="27">
        <v>697887</v>
      </c>
      <c r="E35" s="27" t="s">
        <v>55</v>
      </c>
      <c r="F35" s="27" t="s">
        <v>55</v>
      </c>
      <c r="G35" s="27">
        <v>477689</v>
      </c>
      <c r="H35" s="34">
        <v>1100706</v>
      </c>
      <c r="I35" s="34">
        <v>605084</v>
      </c>
      <c r="J35" s="34">
        <v>419789</v>
      </c>
      <c r="K35" s="34">
        <v>6570</v>
      </c>
      <c r="L35" s="34" t="s">
        <v>55</v>
      </c>
      <c r="M35" s="34">
        <v>69263</v>
      </c>
      <c r="N35" s="34">
        <v>74870</v>
      </c>
      <c r="O35" s="41">
        <v>99535</v>
      </c>
      <c r="P35" s="41" t="s">
        <v>55</v>
      </c>
      <c r="Q35" s="41" t="s">
        <v>55</v>
      </c>
      <c r="R35" s="41" t="s">
        <v>55</v>
      </c>
      <c r="S35" s="41" t="s">
        <v>55</v>
      </c>
      <c r="T35" s="41">
        <v>99535</v>
      </c>
      <c r="U35" s="49">
        <v>88348</v>
      </c>
      <c r="V35" s="50">
        <v>88348</v>
      </c>
      <c r="W35" s="50" t="s">
        <v>55</v>
      </c>
      <c r="X35" s="50" t="s">
        <v>55</v>
      </c>
      <c r="Y35" s="50" t="s">
        <v>55</v>
      </c>
      <c r="Z35" s="50" t="s">
        <v>55</v>
      </c>
      <c r="AA35" s="50">
        <v>11187</v>
      </c>
      <c r="AB35" s="56">
        <v>307388</v>
      </c>
      <c r="AC35" s="56">
        <v>277378</v>
      </c>
      <c r="AD35" s="56">
        <v>30010</v>
      </c>
      <c r="AE35" s="56" t="s">
        <v>55</v>
      </c>
      <c r="AF35" s="56" t="s">
        <v>55</v>
      </c>
      <c r="AG35" s="63">
        <v>287661</v>
      </c>
      <c r="AH35" s="63" t="s">
        <v>55</v>
      </c>
      <c r="AI35" s="63" t="s">
        <v>55</v>
      </c>
      <c r="AJ35" s="63">
        <v>286378</v>
      </c>
      <c r="AK35" s="63">
        <v>1283</v>
      </c>
      <c r="AL35" s="63">
        <v>19727</v>
      </c>
      <c r="AM35" s="7">
        <v>105784</v>
      </c>
      <c r="AN35" s="7" t="s">
        <v>55</v>
      </c>
      <c r="AO35" s="7">
        <v>1582499</v>
      </c>
      <c r="AP35" s="7">
        <v>1476715</v>
      </c>
      <c r="AQ35" s="17">
        <v>1175576</v>
      </c>
      <c r="AR35" s="18">
        <v>697887</v>
      </c>
      <c r="AS35" s="18" t="s">
        <v>55</v>
      </c>
      <c r="AT35" s="18" t="s">
        <v>55</v>
      </c>
      <c r="AU35" s="18">
        <v>477689</v>
      </c>
      <c r="AV35" s="17">
        <v>1100706</v>
      </c>
      <c r="AW35" s="18">
        <v>605084</v>
      </c>
      <c r="AX35" s="18">
        <v>419789</v>
      </c>
      <c r="AY35" s="18">
        <v>6570</v>
      </c>
      <c r="AZ35" s="18" t="s">
        <v>55</v>
      </c>
      <c r="BA35" s="18">
        <v>69263</v>
      </c>
      <c r="BB35" s="18">
        <v>74870</v>
      </c>
      <c r="BC35" s="68">
        <v>99535</v>
      </c>
      <c r="BD35" s="69" t="s">
        <v>55</v>
      </c>
      <c r="BE35" s="69" t="s">
        <v>55</v>
      </c>
      <c r="BF35" s="69" t="s">
        <v>55</v>
      </c>
      <c r="BG35" s="69" t="s">
        <v>55</v>
      </c>
      <c r="BH35" s="69">
        <v>99535</v>
      </c>
      <c r="BI35" s="133">
        <v>88348</v>
      </c>
      <c r="BJ35" s="134">
        <v>88348</v>
      </c>
      <c r="BK35" s="134" t="s">
        <v>55</v>
      </c>
      <c r="BL35" s="134" t="s">
        <v>55</v>
      </c>
      <c r="BM35" s="134" t="s">
        <v>55</v>
      </c>
      <c r="BN35" s="134" t="s">
        <v>55</v>
      </c>
      <c r="BO35" s="134">
        <v>11187</v>
      </c>
      <c r="BP35" s="139">
        <v>307388</v>
      </c>
      <c r="BQ35" s="140">
        <v>277378</v>
      </c>
      <c r="BR35" s="140">
        <v>30010</v>
      </c>
      <c r="BS35" s="140" t="s">
        <v>55</v>
      </c>
      <c r="BT35" s="140" t="s">
        <v>55</v>
      </c>
      <c r="BU35" s="143">
        <v>287661</v>
      </c>
      <c r="BV35" s="144" t="s">
        <v>55</v>
      </c>
      <c r="BW35" s="144" t="s">
        <v>55</v>
      </c>
      <c r="BX35" s="144">
        <v>286378</v>
      </c>
      <c r="BY35" s="144">
        <v>1283</v>
      </c>
      <c r="BZ35" s="144">
        <v>19727</v>
      </c>
      <c r="CA35" s="17">
        <v>105784</v>
      </c>
      <c r="CB35" s="18" t="s">
        <v>55</v>
      </c>
      <c r="CC35" s="18">
        <v>1582499</v>
      </c>
      <c r="CD35" s="18">
        <v>1476715</v>
      </c>
      <c r="CE35" s="22">
        <f t="shared" si="1"/>
        <v>0</v>
      </c>
      <c r="CF35" s="22">
        <f t="shared" si="2"/>
        <v>0</v>
      </c>
      <c r="CG35" s="22" t="e">
        <f t="shared" si="3"/>
        <v>#VALUE!</v>
      </c>
      <c r="CH35" s="22" t="e">
        <f t="shared" si="4"/>
        <v>#VALUE!</v>
      </c>
      <c r="CI35" s="22">
        <f t="shared" si="5"/>
        <v>0</v>
      </c>
      <c r="CJ35" s="22">
        <f t="shared" si="6"/>
        <v>0</v>
      </c>
      <c r="CK35" s="22">
        <f t="shared" si="7"/>
        <v>0</v>
      </c>
      <c r="CL35" s="22">
        <f t="shared" si="8"/>
        <v>0</v>
      </c>
      <c r="CM35" s="22">
        <f t="shared" si="9"/>
        <v>0</v>
      </c>
      <c r="CN35" s="22" t="e">
        <f t="shared" si="10"/>
        <v>#VALUE!</v>
      </c>
      <c r="CO35" s="22">
        <f t="shared" si="11"/>
        <v>0</v>
      </c>
      <c r="CP35" s="22">
        <f t="shared" si="12"/>
        <v>0</v>
      </c>
      <c r="CQ35" s="22">
        <f t="shared" si="13"/>
        <v>0</v>
      </c>
      <c r="CR35" s="22" t="e">
        <f t="shared" si="14"/>
        <v>#VALUE!</v>
      </c>
      <c r="CS35" s="22" t="e">
        <f t="shared" si="15"/>
        <v>#VALUE!</v>
      </c>
      <c r="CT35" s="22" t="e">
        <f t="shared" si="16"/>
        <v>#VALUE!</v>
      </c>
      <c r="CU35" s="22" t="e">
        <f t="shared" si="17"/>
        <v>#VALUE!</v>
      </c>
      <c r="CV35" s="22">
        <f t="shared" si="18"/>
        <v>0</v>
      </c>
      <c r="CW35" s="22">
        <f t="shared" si="19"/>
        <v>0</v>
      </c>
      <c r="CX35" s="22">
        <f t="shared" si="20"/>
        <v>0</v>
      </c>
      <c r="CY35" s="22" t="e">
        <f t="shared" si="21"/>
        <v>#VALUE!</v>
      </c>
      <c r="CZ35" s="22" t="e">
        <f t="shared" si="22"/>
        <v>#VALUE!</v>
      </c>
      <c r="DA35" s="22" t="e">
        <f t="shared" si="23"/>
        <v>#VALUE!</v>
      </c>
      <c r="DB35" s="22" t="e">
        <f t="shared" si="24"/>
        <v>#VALUE!</v>
      </c>
      <c r="DC35" s="22">
        <f t="shared" si="25"/>
        <v>0</v>
      </c>
      <c r="DD35" s="22">
        <f t="shared" si="26"/>
        <v>0</v>
      </c>
      <c r="DE35" s="22">
        <f t="shared" si="27"/>
        <v>0</v>
      </c>
      <c r="DF35" s="22">
        <f t="shared" si="28"/>
        <v>0</v>
      </c>
      <c r="DG35" s="22" t="e">
        <f t="shared" si="29"/>
        <v>#VALUE!</v>
      </c>
      <c r="DH35" s="22" t="e">
        <f t="shared" si="30"/>
        <v>#VALUE!</v>
      </c>
      <c r="DI35" s="22">
        <f t="shared" si="31"/>
        <v>0</v>
      </c>
      <c r="DJ35" s="22" t="e">
        <f t="shared" si="32"/>
        <v>#VALUE!</v>
      </c>
      <c r="DK35" s="22" t="e">
        <f t="shared" si="33"/>
        <v>#VALUE!</v>
      </c>
      <c r="DL35" s="22">
        <f t="shared" si="34"/>
        <v>0</v>
      </c>
      <c r="DM35" s="22">
        <f t="shared" si="35"/>
        <v>0</v>
      </c>
      <c r="DN35" s="22">
        <f t="shared" si="36"/>
        <v>0</v>
      </c>
      <c r="DO35" s="22">
        <f t="shared" si="37"/>
        <v>0</v>
      </c>
      <c r="DP35" s="22" t="e">
        <f t="shared" si="38"/>
        <v>#VALUE!</v>
      </c>
      <c r="DQ35" s="22">
        <f t="shared" si="39"/>
        <v>0</v>
      </c>
      <c r="DR35" s="22">
        <f t="shared" si="40"/>
        <v>0</v>
      </c>
    </row>
    <row r="36" spans="1:122" ht="15.75">
      <c r="A36" s="11" t="s">
        <v>155</v>
      </c>
      <c r="B36" s="12" t="s">
        <v>79</v>
      </c>
      <c r="C36" s="26">
        <v>21580194</v>
      </c>
      <c r="D36" s="26">
        <v>19967024</v>
      </c>
      <c r="E36" s="26">
        <v>134</v>
      </c>
      <c r="F36" s="26" t="s">
        <v>55</v>
      </c>
      <c r="G36" s="26">
        <v>1613036</v>
      </c>
      <c r="H36" s="33">
        <v>19095172</v>
      </c>
      <c r="I36" s="33">
        <v>15247850</v>
      </c>
      <c r="J36" s="33">
        <v>2057996</v>
      </c>
      <c r="K36" s="33">
        <v>88871</v>
      </c>
      <c r="L36" s="33">
        <v>127195</v>
      </c>
      <c r="M36" s="33">
        <v>1573260</v>
      </c>
      <c r="N36" s="33">
        <v>2485022</v>
      </c>
      <c r="O36" s="40">
        <v>1677172</v>
      </c>
      <c r="P36" s="40" t="s">
        <v>55</v>
      </c>
      <c r="Q36" s="40" t="s">
        <v>55</v>
      </c>
      <c r="R36" s="40">
        <v>911289</v>
      </c>
      <c r="S36" s="40">
        <v>4961</v>
      </c>
      <c r="T36" s="40">
        <v>760922</v>
      </c>
      <c r="U36" s="47">
        <v>967073</v>
      </c>
      <c r="V36" s="48">
        <v>679791</v>
      </c>
      <c r="W36" s="48" t="s">
        <v>55</v>
      </c>
      <c r="X36" s="48">
        <v>287282</v>
      </c>
      <c r="Y36" s="48" t="s">
        <v>55</v>
      </c>
      <c r="Z36" s="48" t="s">
        <v>55</v>
      </c>
      <c r="AA36" s="48">
        <v>710099</v>
      </c>
      <c r="AB36" s="55">
        <v>648075</v>
      </c>
      <c r="AC36" s="55">
        <v>640165</v>
      </c>
      <c r="AD36" s="55">
        <v>100</v>
      </c>
      <c r="AE36" s="55" t="s">
        <v>55</v>
      </c>
      <c r="AF36" s="55">
        <v>7810</v>
      </c>
      <c r="AG36" s="62">
        <v>1223176</v>
      </c>
      <c r="AH36" s="62" t="s">
        <v>55</v>
      </c>
      <c r="AI36" s="62">
        <v>178436</v>
      </c>
      <c r="AJ36" s="62">
        <v>867914</v>
      </c>
      <c r="AK36" s="62">
        <v>176826</v>
      </c>
      <c r="AL36" s="62">
        <v>-575101</v>
      </c>
      <c r="AM36" s="13">
        <v>2620020</v>
      </c>
      <c r="AN36" s="13" t="s">
        <v>55</v>
      </c>
      <c r="AO36" s="13">
        <v>23905441</v>
      </c>
      <c r="AP36" s="13">
        <v>21285421</v>
      </c>
      <c r="AQ36" s="17">
        <v>21580194</v>
      </c>
      <c r="AR36" s="18">
        <v>19967024</v>
      </c>
      <c r="AS36" s="18">
        <v>134</v>
      </c>
      <c r="AT36" s="18" t="s">
        <v>55</v>
      </c>
      <c r="AU36" s="18">
        <v>1613036</v>
      </c>
      <c r="AV36" s="17">
        <v>19095172</v>
      </c>
      <c r="AW36" s="18">
        <v>15247850</v>
      </c>
      <c r="AX36" s="18">
        <v>2057996</v>
      </c>
      <c r="AY36" s="18">
        <v>88871</v>
      </c>
      <c r="AZ36" s="18">
        <v>127195</v>
      </c>
      <c r="BA36" s="18">
        <v>1573260</v>
      </c>
      <c r="BB36" s="18">
        <v>2485022</v>
      </c>
      <c r="BC36" s="66">
        <v>1677172</v>
      </c>
      <c r="BD36" s="67" t="s">
        <v>55</v>
      </c>
      <c r="BE36" s="67" t="s">
        <v>55</v>
      </c>
      <c r="BF36" s="67">
        <v>911289</v>
      </c>
      <c r="BG36" s="67">
        <v>4961</v>
      </c>
      <c r="BH36" s="67">
        <v>760922</v>
      </c>
      <c r="BI36" s="131">
        <v>967073</v>
      </c>
      <c r="BJ36" s="132">
        <v>679791</v>
      </c>
      <c r="BK36" s="132" t="s">
        <v>55</v>
      </c>
      <c r="BL36" s="132">
        <v>287282</v>
      </c>
      <c r="BM36" s="132" t="s">
        <v>55</v>
      </c>
      <c r="BN36" s="132" t="s">
        <v>55</v>
      </c>
      <c r="BO36" s="132">
        <v>710099</v>
      </c>
      <c r="BP36" s="139">
        <v>648075</v>
      </c>
      <c r="BQ36" s="140">
        <v>640165</v>
      </c>
      <c r="BR36" s="140">
        <v>100</v>
      </c>
      <c r="BS36" s="140" t="s">
        <v>55</v>
      </c>
      <c r="BT36" s="140">
        <v>7810</v>
      </c>
      <c r="BU36" s="141">
        <v>1223176</v>
      </c>
      <c r="BV36" s="142" t="s">
        <v>55</v>
      </c>
      <c r="BW36" s="142">
        <v>178436</v>
      </c>
      <c r="BX36" s="142">
        <v>867914</v>
      </c>
      <c r="BY36" s="142">
        <v>176826</v>
      </c>
      <c r="BZ36" s="142">
        <v>-575101</v>
      </c>
      <c r="CA36" s="17">
        <v>2620020</v>
      </c>
      <c r="CB36" s="18" t="s">
        <v>55</v>
      </c>
      <c r="CC36" s="18">
        <v>23905441</v>
      </c>
      <c r="CD36" s="18">
        <v>21285421</v>
      </c>
      <c r="CE36" s="22">
        <f t="shared" si="1"/>
        <v>0</v>
      </c>
      <c r="CF36" s="22">
        <f t="shared" si="2"/>
        <v>0</v>
      </c>
      <c r="CG36" s="22">
        <f t="shared" si="3"/>
        <v>0</v>
      </c>
      <c r="CH36" s="22" t="e">
        <f t="shared" si="4"/>
        <v>#VALUE!</v>
      </c>
      <c r="CI36" s="22">
        <f t="shared" si="5"/>
        <v>0</v>
      </c>
      <c r="CJ36" s="22">
        <f t="shared" si="6"/>
        <v>0</v>
      </c>
      <c r="CK36" s="22">
        <f t="shared" si="7"/>
        <v>0</v>
      </c>
      <c r="CL36" s="22">
        <f t="shared" si="8"/>
        <v>0</v>
      </c>
      <c r="CM36" s="22">
        <f t="shared" si="9"/>
        <v>0</v>
      </c>
      <c r="CN36" s="22">
        <f t="shared" si="10"/>
        <v>0</v>
      </c>
      <c r="CO36" s="22">
        <f t="shared" si="11"/>
        <v>0</v>
      </c>
      <c r="CP36" s="22">
        <f t="shared" si="12"/>
        <v>0</v>
      </c>
      <c r="CQ36" s="22">
        <f t="shared" si="13"/>
        <v>0</v>
      </c>
      <c r="CR36" s="22" t="e">
        <f t="shared" si="14"/>
        <v>#VALUE!</v>
      </c>
      <c r="CS36" s="22" t="e">
        <f t="shared" si="15"/>
        <v>#VALUE!</v>
      </c>
      <c r="CT36" s="22">
        <f t="shared" si="16"/>
        <v>0</v>
      </c>
      <c r="CU36" s="22">
        <f t="shared" si="17"/>
        <v>0</v>
      </c>
      <c r="CV36" s="22">
        <f t="shared" si="18"/>
        <v>0</v>
      </c>
      <c r="CW36" s="22">
        <f t="shared" si="19"/>
        <v>0</v>
      </c>
      <c r="CX36" s="22">
        <f t="shared" si="20"/>
        <v>0</v>
      </c>
      <c r="CY36" s="22" t="e">
        <f t="shared" si="21"/>
        <v>#VALUE!</v>
      </c>
      <c r="CZ36" s="22">
        <f t="shared" si="22"/>
        <v>0</v>
      </c>
      <c r="DA36" s="22" t="e">
        <f t="shared" si="23"/>
        <v>#VALUE!</v>
      </c>
      <c r="DB36" s="22" t="e">
        <f t="shared" si="24"/>
        <v>#VALUE!</v>
      </c>
      <c r="DC36" s="22">
        <f t="shared" si="25"/>
        <v>0</v>
      </c>
      <c r="DD36" s="22">
        <f t="shared" si="26"/>
        <v>0</v>
      </c>
      <c r="DE36" s="22">
        <f t="shared" si="27"/>
        <v>0</v>
      </c>
      <c r="DF36" s="22">
        <f t="shared" si="28"/>
        <v>0</v>
      </c>
      <c r="DG36" s="22" t="e">
        <f t="shared" si="29"/>
        <v>#VALUE!</v>
      </c>
      <c r="DH36" s="22">
        <f t="shared" si="30"/>
        <v>0</v>
      </c>
      <c r="DI36" s="22">
        <f t="shared" si="31"/>
        <v>0</v>
      </c>
      <c r="DJ36" s="22" t="e">
        <f t="shared" si="32"/>
        <v>#VALUE!</v>
      </c>
      <c r="DK36" s="22">
        <f t="shared" si="33"/>
        <v>0</v>
      </c>
      <c r="DL36" s="22">
        <f t="shared" si="34"/>
        <v>0</v>
      </c>
      <c r="DM36" s="22">
        <f t="shared" si="35"/>
        <v>0</v>
      </c>
      <c r="DN36" s="22">
        <f t="shared" si="36"/>
        <v>0</v>
      </c>
      <c r="DO36" s="22">
        <f t="shared" si="37"/>
        <v>0</v>
      </c>
      <c r="DP36" s="22" t="e">
        <f t="shared" si="38"/>
        <v>#VALUE!</v>
      </c>
      <c r="DQ36" s="22">
        <f t="shared" si="39"/>
        <v>0</v>
      </c>
      <c r="DR36" s="22">
        <f t="shared" si="40"/>
        <v>0</v>
      </c>
    </row>
    <row r="37" spans="1:122" ht="16.5" thickBot="1">
      <c r="A37" s="2" t="s">
        <v>47</v>
      </c>
      <c r="B37" s="3" t="s">
        <v>80</v>
      </c>
      <c r="C37" s="27">
        <v>16136200</v>
      </c>
      <c r="D37" s="27">
        <v>14829637</v>
      </c>
      <c r="E37" s="27" t="s">
        <v>55</v>
      </c>
      <c r="F37" s="27" t="s">
        <v>55</v>
      </c>
      <c r="G37" s="27">
        <v>1306563</v>
      </c>
      <c r="H37" s="34">
        <v>13762034</v>
      </c>
      <c r="I37" s="34">
        <v>12019233</v>
      </c>
      <c r="J37" s="34">
        <v>714770</v>
      </c>
      <c r="K37" s="34">
        <v>62415</v>
      </c>
      <c r="L37" s="34">
        <v>28152</v>
      </c>
      <c r="M37" s="34">
        <v>937464</v>
      </c>
      <c r="N37" s="34">
        <v>2374166</v>
      </c>
      <c r="O37" s="41">
        <v>907877</v>
      </c>
      <c r="P37" s="41" t="s">
        <v>55</v>
      </c>
      <c r="Q37" s="41" t="s">
        <v>55</v>
      </c>
      <c r="R37" s="41">
        <v>307861</v>
      </c>
      <c r="S37" s="41">
        <v>16</v>
      </c>
      <c r="T37" s="41">
        <v>600000</v>
      </c>
      <c r="U37" s="49">
        <v>63988</v>
      </c>
      <c r="V37" s="50">
        <v>6058</v>
      </c>
      <c r="W37" s="50" t="s">
        <v>55</v>
      </c>
      <c r="X37" s="50">
        <v>57930</v>
      </c>
      <c r="Y37" s="50" t="s">
        <v>55</v>
      </c>
      <c r="Z37" s="50" t="s">
        <v>55</v>
      </c>
      <c r="AA37" s="50">
        <v>843889</v>
      </c>
      <c r="AB37" s="56">
        <v>557061</v>
      </c>
      <c r="AC37" s="56">
        <v>549251</v>
      </c>
      <c r="AD37" s="56" t="s">
        <v>55</v>
      </c>
      <c r="AE37" s="56" t="s">
        <v>55</v>
      </c>
      <c r="AF37" s="56">
        <v>7810</v>
      </c>
      <c r="AG37" s="63">
        <v>962884</v>
      </c>
      <c r="AH37" s="63" t="s">
        <v>55</v>
      </c>
      <c r="AI37" s="63">
        <v>178317</v>
      </c>
      <c r="AJ37" s="63">
        <v>644600</v>
      </c>
      <c r="AK37" s="63">
        <v>139967</v>
      </c>
      <c r="AL37" s="63">
        <v>-405823</v>
      </c>
      <c r="AM37" s="7">
        <v>2812232</v>
      </c>
      <c r="AN37" s="7" t="s">
        <v>55</v>
      </c>
      <c r="AO37" s="7">
        <v>17601138</v>
      </c>
      <c r="AP37" s="7">
        <v>14788906</v>
      </c>
      <c r="AQ37" s="17">
        <v>16136200</v>
      </c>
      <c r="AR37" s="18">
        <v>14829637</v>
      </c>
      <c r="AS37" s="18" t="s">
        <v>55</v>
      </c>
      <c r="AT37" s="18" t="s">
        <v>55</v>
      </c>
      <c r="AU37" s="18">
        <v>1306563</v>
      </c>
      <c r="AV37" s="17">
        <v>13762034</v>
      </c>
      <c r="AW37" s="18">
        <v>12019233</v>
      </c>
      <c r="AX37" s="18">
        <v>714770</v>
      </c>
      <c r="AY37" s="18">
        <v>62415</v>
      </c>
      <c r="AZ37" s="18">
        <v>28152</v>
      </c>
      <c r="BA37" s="18">
        <v>937464</v>
      </c>
      <c r="BB37" s="18">
        <v>2374166</v>
      </c>
      <c r="BC37" s="68">
        <v>907877</v>
      </c>
      <c r="BD37" s="69" t="s">
        <v>55</v>
      </c>
      <c r="BE37" s="69" t="s">
        <v>55</v>
      </c>
      <c r="BF37" s="69">
        <v>307861</v>
      </c>
      <c r="BG37" s="69">
        <v>16</v>
      </c>
      <c r="BH37" s="69">
        <v>600000</v>
      </c>
      <c r="BI37" s="133">
        <v>63988</v>
      </c>
      <c r="BJ37" s="134">
        <v>6058</v>
      </c>
      <c r="BK37" s="134" t="s">
        <v>55</v>
      </c>
      <c r="BL37" s="134">
        <v>57930</v>
      </c>
      <c r="BM37" s="134" t="s">
        <v>55</v>
      </c>
      <c r="BN37" s="134" t="s">
        <v>55</v>
      </c>
      <c r="BO37" s="134">
        <v>843889</v>
      </c>
      <c r="BP37" s="139">
        <v>557061</v>
      </c>
      <c r="BQ37" s="140">
        <v>549251</v>
      </c>
      <c r="BR37" s="140" t="s">
        <v>55</v>
      </c>
      <c r="BS37" s="140" t="s">
        <v>55</v>
      </c>
      <c r="BT37" s="140">
        <v>7810</v>
      </c>
      <c r="BU37" s="143">
        <v>962884</v>
      </c>
      <c r="BV37" s="144" t="s">
        <v>55</v>
      </c>
      <c r="BW37" s="144">
        <v>178317</v>
      </c>
      <c r="BX37" s="144">
        <v>644600</v>
      </c>
      <c r="BY37" s="144">
        <v>139967</v>
      </c>
      <c r="BZ37" s="144">
        <v>-405823</v>
      </c>
      <c r="CA37" s="17">
        <v>2812232</v>
      </c>
      <c r="CB37" s="18" t="s">
        <v>55</v>
      </c>
      <c r="CC37" s="18">
        <v>17601138</v>
      </c>
      <c r="CD37" s="18">
        <v>14788906</v>
      </c>
      <c r="CE37" s="22">
        <f t="shared" si="1"/>
        <v>0</v>
      </c>
      <c r="CF37" s="22">
        <f t="shared" si="2"/>
        <v>0</v>
      </c>
      <c r="CG37" s="22" t="e">
        <f t="shared" si="3"/>
        <v>#VALUE!</v>
      </c>
      <c r="CH37" s="22" t="e">
        <f t="shared" si="4"/>
        <v>#VALUE!</v>
      </c>
      <c r="CI37" s="22">
        <f t="shared" si="5"/>
        <v>0</v>
      </c>
      <c r="CJ37" s="22">
        <f t="shared" si="6"/>
        <v>0</v>
      </c>
      <c r="CK37" s="22">
        <f t="shared" si="7"/>
        <v>0</v>
      </c>
      <c r="CL37" s="22">
        <f t="shared" si="8"/>
        <v>0</v>
      </c>
      <c r="CM37" s="22">
        <f t="shared" si="9"/>
        <v>0</v>
      </c>
      <c r="CN37" s="22">
        <f t="shared" si="10"/>
        <v>0</v>
      </c>
      <c r="CO37" s="22">
        <f t="shared" si="11"/>
        <v>0</v>
      </c>
      <c r="CP37" s="22">
        <f t="shared" si="12"/>
        <v>0</v>
      </c>
      <c r="CQ37" s="22">
        <f t="shared" si="13"/>
        <v>0</v>
      </c>
      <c r="CR37" s="22" t="e">
        <f t="shared" si="14"/>
        <v>#VALUE!</v>
      </c>
      <c r="CS37" s="22" t="e">
        <f t="shared" si="15"/>
        <v>#VALUE!</v>
      </c>
      <c r="CT37" s="22">
        <f t="shared" si="16"/>
        <v>0</v>
      </c>
      <c r="CU37" s="22">
        <f t="shared" si="17"/>
        <v>0</v>
      </c>
      <c r="CV37" s="22">
        <f t="shared" si="18"/>
        <v>0</v>
      </c>
      <c r="CW37" s="22">
        <f t="shared" si="19"/>
        <v>0</v>
      </c>
      <c r="CX37" s="22">
        <f t="shared" si="20"/>
        <v>0</v>
      </c>
      <c r="CY37" s="22" t="e">
        <f t="shared" si="21"/>
        <v>#VALUE!</v>
      </c>
      <c r="CZ37" s="22">
        <f t="shared" si="22"/>
        <v>0</v>
      </c>
      <c r="DA37" s="22" t="e">
        <f t="shared" si="23"/>
        <v>#VALUE!</v>
      </c>
      <c r="DB37" s="22" t="e">
        <f t="shared" si="24"/>
        <v>#VALUE!</v>
      </c>
      <c r="DC37" s="22">
        <f t="shared" si="25"/>
        <v>0</v>
      </c>
      <c r="DD37" s="22">
        <f t="shared" si="26"/>
        <v>0</v>
      </c>
      <c r="DE37" s="22">
        <f t="shared" si="27"/>
        <v>0</v>
      </c>
      <c r="DF37" s="22" t="e">
        <f t="shared" si="28"/>
        <v>#VALUE!</v>
      </c>
      <c r="DG37" s="22" t="e">
        <f t="shared" si="29"/>
        <v>#VALUE!</v>
      </c>
      <c r="DH37" s="22">
        <f t="shared" si="30"/>
        <v>0</v>
      </c>
      <c r="DI37" s="22">
        <f t="shared" si="31"/>
        <v>0</v>
      </c>
      <c r="DJ37" s="22" t="e">
        <f t="shared" si="32"/>
        <v>#VALUE!</v>
      </c>
      <c r="DK37" s="22">
        <f t="shared" si="33"/>
        <v>0</v>
      </c>
      <c r="DL37" s="22">
        <f t="shared" si="34"/>
        <v>0</v>
      </c>
      <c r="DM37" s="22">
        <f t="shared" si="35"/>
        <v>0</v>
      </c>
      <c r="DN37" s="22">
        <f t="shared" si="36"/>
        <v>0</v>
      </c>
      <c r="DO37" s="22">
        <f t="shared" si="37"/>
        <v>0</v>
      </c>
      <c r="DP37" s="22" t="e">
        <f t="shared" si="38"/>
        <v>#VALUE!</v>
      </c>
      <c r="DQ37" s="22">
        <f t="shared" si="39"/>
        <v>0</v>
      </c>
      <c r="DR37" s="22">
        <f t="shared" si="40"/>
        <v>0</v>
      </c>
    </row>
    <row r="38" spans="1:122" s="14" customFormat="1" ht="16.5" thickBot="1">
      <c r="A38" s="2" t="s">
        <v>81</v>
      </c>
      <c r="B38" s="3" t="s">
        <v>82</v>
      </c>
      <c r="C38" s="27">
        <v>5327910</v>
      </c>
      <c r="D38" s="27">
        <v>5028304</v>
      </c>
      <c r="E38" s="27">
        <v>134</v>
      </c>
      <c r="F38" s="27" t="s">
        <v>55</v>
      </c>
      <c r="G38" s="27">
        <v>299472</v>
      </c>
      <c r="H38" s="34">
        <v>5224546</v>
      </c>
      <c r="I38" s="34">
        <v>3157115</v>
      </c>
      <c r="J38" s="34">
        <v>1312143</v>
      </c>
      <c r="K38" s="34">
        <v>26324</v>
      </c>
      <c r="L38" s="34">
        <v>94137</v>
      </c>
      <c r="M38" s="34">
        <v>634827</v>
      </c>
      <c r="N38" s="34">
        <v>103364</v>
      </c>
      <c r="O38" s="41">
        <v>769088</v>
      </c>
      <c r="P38" s="41" t="s">
        <v>55</v>
      </c>
      <c r="Q38" s="41" t="s">
        <v>55</v>
      </c>
      <c r="R38" s="41">
        <v>603428</v>
      </c>
      <c r="S38" s="41">
        <v>4738</v>
      </c>
      <c r="T38" s="41">
        <v>160922</v>
      </c>
      <c r="U38" s="49">
        <v>891035</v>
      </c>
      <c r="V38" s="50">
        <v>661683</v>
      </c>
      <c r="W38" s="50" t="s">
        <v>55</v>
      </c>
      <c r="X38" s="50">
        <v>229352</v>
      </c>
      <c r="Y38" s="50" t="s">
        <v>55</v>
      </c>
      <c r="Z38" s="50" t="s">
        <v>55</v>
      </c>
      <c r="AA38" s="50">
        <v>-121947</v>
      </c>
      <c r="AB38" s="56">
        <v>78980</v>
      </c>
      <c r="AC38" s="56">
        <v>78980</v>
      </c>
      <c r="AD38" s="56" t="s">
        <v>55</v>
      </c>
      <c r="AE38" s="56" t="s">
        <v>55</v>
      </c>
      <c r="AF38" s="56" t="s">
        <v>55</v>
      </c>
      <c r="AG38" s="63">
        <v>252858</v>
      </c>
      <c r="AH38" s="63" t="s">
        <v>55</v>
      </c>
      <c r="AI38" s="63">
        <v>119</v>
      </c>
      <c r="AJ38" s="63">
        <v>215880</v>
      </c>
      <c r="AK38" s="63">
        <v>36859</v>
      </c>
      <c r="AL38" s="63">
        <v>-173878</v>
      </c>
      <c r="AM38" s="7">
        <v>-192461</v>
      </c>
      <c r="AN38" s="7" t="s">
        <v>55</v>
      </c>
      <c r="AO38" s="7">
        <v>6175978</v>
      </c>
      <c r="AP38" s="7">
        <v>6368439</v>
      </c>
      <c r="AQ38" s="17">
        <v>5327910</v>
      </c>
      <c r="AR38" s="18">
        <v>5028304</v>
      </c>
      <c r="AS38" s="18">
        <v>134</v>
      </c>
      <c r="AT38" s="18" t="s">
        <v>55</v>
      </c>
      <c r="AU38" s="18">
        <v>299472</v>
      </c>
      <c r="AV38" s="17">
        <v>5224546</v>
      </c>
      <c r="AW38" s="18">
        <v>3157115</v>
      </c>
      <c r="AX38" s="18">
        <v>1312143</v>
      </c>
      <c r="AY38" s="18">
        <v>26324</v>
      </c>
      <c r="AZ38" s="18">
        <v>94137</v>
      </c>
      <c r="BA38" s="18">
        <v>634827</v>
      </c>
      <c r="BB38" s="18">
        <v>103364</v>
      </c>
      <c r="BC38" s="68">
        <v>769088</v>
      </c>
      <c r="BD38" s="69" t="s">
        <v>55</v>
      </c>
      <c r="BE38" s="69" t="s">
        <v>55</v>
      </c>
      <c r="BF38" s="69">
        <v>603428</v>
      </c>
      <c r="BG38" s="69">
        <v>4738</v>
      </c>
      <c r="BH38" s="69">
        <v>160922</v>
      </c>
      <c r="BI38" s="133">
        <v>891035</v>
      </c>
      <c r="BJ38" s="134">
        <v>661683</v>
      </c>
      <c r="BK38" s="134" t="s">
        <v>55</v>
      </c>
      <c r="BL38" s="134">
        <v>229352</v>
      </c>
      <c r="BM38" s="134" t="s">
        <v>55</v>
      </c>
      <c r="BN38" s="134" t="s">
        <v>55</v>
      </c>
      <c r="BO38" s="134">
        <v>-121947</v>
      </c>
      <c r="BP38" s="137">
        <v>78980</v>
      </c>
      <c r="BQ38" s="138">
        <v>78980</v>
      </c>
      <c r="BR38" s="138" t="s">
        <v>55</v>
      </c>
      <c r="BS38" s="138" t="s">
        <v>55</v>
      </c>
      <c r="BT38" s="138" t="s">
        <v>55</v>
      </c>
      <c r="BU38" s="143">
        <v>252858</v>
      </c>
      <c r="BV38" s="144" t="s">
        <v>55</v>
      </c>
      <c r="BW38" s="144">
        <v>119</v>
      </c>
      <c r="BX38" s="144">
        <v>215880</v>
      </c>
      <c r="BY38" s="144">
        <v>36859</v>
      </c>
      <c r="BZ38" s="144">
        <v>-173878</v>
      </c>
      <c r="CA38" s="17">
        <v>-192461</v>
      </c>
      <c r="CB38" s="18" t="s">
        <v>55</v>
      </c>
      <c r="CC38" s="18">
        <v>6175978</v>
      </c>
      <c r="CD38" s="18">
        <v>6368439</v>
      </c>
      <c r="CE38" s="22">
        <f t="shared" si="1"/>
        <v>0</v>
      </c>
      <c r="CF38" s="22">
        <f t="shared" si="2"/>
        <v>0</v>
      </c>
      <c r="CG38" s="22">
        <f t="shared" si="3"/>
        <v>0</v>
      </c>
      <c r="CH38" s="22" t="e">
        <f t="shared" si="4"/>
        <v>#VALUE!</v>
      </c>
      <c r="CI38" s="22">
        <f t="shared" si="5"/>
        <v>0</v>
      </c>
      <c r="CJ38" s="22">
        <f t="shared" si="6"/>
        <v>0</v>
      </c>
      <c r="CK38" s="22">
        <f t="shared" si="7"/>
        <v>0</v>
      </c>
      <c r="CL38" s="22">
        <f t="shared" si="8"/>
        <v>0</v>
      </c>
      <c r="CM38" s="22">
        <f t="shared" si="9"/>
        <v>0</v>
      </c>
      <c r="CN38" s="22">
        <f t="shared" si="10"/>
        <v>0</v>
      </c>
      <c r="CO38" s="22">
        <f t="shared" si="11"/>
        <v>0</v>
      </c>
      <c r="CP38" s="22">
        <f t="shared" si="12"/>
        <v>0</v>
      </c>
      <c r="CQ38" s="22">
        <f t="shared" si="13"/>
        <v>0</v>
      </c>
      <c r="CR38" s="22" t="e">
        <f t="shared" si="14"/>
        <v>#VALUE!</v>
      </c>
      <c r="CS38" s="22" t="e">
        <f t="shared" si="15"/>
        <v>#VALUE!</v>
      </c>
      <c r="CT38" s="22">
        <f t="shared" si="16"/>
        <v>0</v>
      </c>
      <c r="CU38" s="22">
        <f t="shared" si="17"/>
        <v>0</v>
      </c>
      <c r="CV38" s="22">
        <f t="shared" si="18"/>
        <v>0</v>
      </c>
      <c r="CW38" s="22">
        <f t="shared" si="19"/>
        <v>0</v>
      </c>
      <c r="CX38" s="22">
        <f t="shared" si="20"/>
        <v>0</v>
      </c>
      <c r="CY38" s="22" t="e">
        <f t="shared" si="21"/>
        <v>#VALUE!</v>
      </c>
      <c r="CZ38" s="22">
        <f t="shared" si="22"/>
        <v>0</v>
      </c>
      <c r="DA38" s="22" t="e">
        <f t="shared" si="23"/>
        <v>#VALUE!</v>
      </c>
      <c r="DB38" s="22" t="e">
        <f t="shared" si="24"/>
        <v>#VALUE!</v>
      </c>
      <c r="DC38" s="22">
        <f t="shared" si="25"/>
        <v>0</v>
      </c>
      <c r="DD38" s="22">
        <f t="shared" si="26"/>
        <v>0</v>
      </c>
      <c r="DE38" s="22">
        <f t="shared" si="27"/>
        <v>0</v>
      </c>
      <c r="DF38" s="22" t="e">
        <f t="shared" si="28"/>
        <v>#VALUE!</v>
      </c>
      <c r="DG38" s="22" t="e">
        <f t="shared" si="29"/>
        <v>#VALUE!</v>
      </c>
      <c r="DH38" s="22" t="e">
        <f t="shared" si="30"/>
        <v>#VALUE!</v>
      </c>
      <c r="DI38" s="22">
        <f t="shared" si="31"/>
        <v>0</v>
      </c>
      <c r="DJ38" s="22" t="e">
        <f t="shared" si="32"/>
        <v>#VALUE!</v>
      </c>
      <c r="DK38" s="22">
        <f t="shared" si="33"/>
        <v>0</v>
      </c>
      <c r="DL38" s="22">
        <f t="shared" si="34"/>
        <v>0</v>
      </c>
      <c r="DM38" s="22">
        <f t="shared" si="35"/>
        <v>0</v>
      </c>
      <c r="DN38" s="22">
        <f t="shared" si="36"/>
        <v>0</v>
      </c>
      <c r="DO38" s="22">
        <f t="shared" si="37"/>
        <v>0</v>
      </c>
      <c r="DP38" s="22" t="e">
        <f t="shared" si="38"/>
        <v>#VALUE!</v>
      </c>
      <c r="DQ38" s="22">
        <f t="shared" si="39"/>
        <v>0</v>
      </c>
      <c r="DR38" s="22">
        <f t="shared" si="40"/>
        <v>0</v>
      </c>
    </row>
    <row r="39" spans="1:122" ht="26.25">
      <c r="A39" s="2" t="s">
        <v>83</v>
      </c>
      <c r="B39" s="3" t="s">
        <v>84</v>
      </c>
      <c r="C39" s="27">
        <v>116084</v>
      </c>
      <c r="D39" s="27">
        <v>109083</v>
      </c>
      <c r="E39" s="27" t="s">
        <v>55</v>
      </c>
      <c r="F39" s="27" t="s">
        <v>55</v>
      </c>
      <c r="G39" s="27">
        <v>7001</v>
      </c>
      <c r="H39" s="34">
        <v>108592</v>
      </c>
      <c r="I39" s="34">
        <v>71502</v>
      </c>
      <c r="J39" s="34">
        <v>31083</v>
      </c>
      <c r="K39" s="34">
        <v>132</v>
      </c>
      <c r="L39" s="34">
        <v>4906</v>
      </c>
      <c r="M39" s="34">
        <v>969</v>
      </c>
      <c r="N39" s="34">
        <v>7492</v>
      </c>
      <c r="O39" s="41">
        <v>207</v>
      </c>
      <c r="P39" s="41" t="s">
        <v>55</v>
      </c>
      <c r="Q39" s="41" t="s">
        <v>55</v>
      </c>
      <c r="R39" s="41" t="s">
        <v>55</v>
      </c>
      <c r="S39" s="41">
        <v>207</v>
      </c>
      <c r="T39" s="41" t="s">
        <v>55</v>
      </c>
      <c r="U39" s="49">
        <v>12050</v>
      </c>
      <c r="V39" s="50">
        <v>12050</v>
      </c>
      <c r="W39" s="50" t="s">
        <v>55</v>
      </c>
      <c r="X39" s="50" t="s">
        <v>55</v>
      </c>
      <c r="Y39" s="50" t="s">
        <v>55</v>
      </c>
      <c r="Z39" s="50" t="s">
        <v>55</v>
      </c>
      <c r="AA39" s="50">
        <v>-11843</v>
      </c>
      <c r="AB39" s="56">
        <v>12034</v>
      </c>
      <c r="AC39" s="56">
        <v>11934</v>
      </c>
      <c r="AD39" s="56">
        <v>100</v>
      </c>
      <c r="AE39" s="56" t="s">
        <v>55</v>
      </c>
      <c r="AF39" s="56" t="s">
        <v>55</v>
      </c>
      <c r="AG39" s="63">
        <v>7434</v>
      </c>
      <c r="AH39" s="63" t="s">
        <v>55</v>
      </c>
      <c r="AI39" s="63" t="s">
        <v>55</v>
      </c>
      <c r="AJ39" s="63">
        <v>7434</v>
      </c>
      <c r="AK39" s="63" t="s">
        <v>55</v>
      </c>
      <c r="AL39" s="63">
        <v>4600</v>
      </c>
      <c r="AM39" s="7">
        <v>249</v>
      </c>
      <c r="AN39" s="7" t="s">
        <v>55</v>
      </c>
      <c r="AO39" s="7">
        <v>128325</v>
      </c>
      <c r="AP39" s="7">
        <v>128076</v>
      </c>
      <c r="AQ39" s="17">
        <v>116084</v>
      </c>
      <c r="AR39" s="18">
        <v>109083</v>
      </c>
      <c r="AS39" s="18" t="s">
        <v>55</v>
      </c>
      <c r="AT39" s="18" t="s">
        <v>55</v>
      </c>
      <c r="AU39" s="18">
        <v>7001</v>
      </c>
      <c r="AV39" s="15">
        <v>108592</v>
      </c>
      <c r="AW39" s="21">
        <v>71502</v>
      </c>
      <c r="AX39" s="21">
        <v>31083</v>
      </c>
      <c r="AY39" s="21">
        <v>132</v>
      </c>
      <c r="AZ39" s="21">
        <v>4906</v>
      </c>
      <c r="BA39" s="21">
        <v>969</v>
      </c>
      <c r="BB39" s="21">
        <v>7492</v>
      </c>
      <c r="BC39" s="68">
        <v>207</v>
      </c>
      <c r="BD39" s="69" t="s">
        <v>55</v>
      </c>
      <c r="BE39" s="69" t="s">
        <v>55</v>
      </c>
      <c r="BF39" s="69" t="s">
        <v>55</v>
      </c>
      <c r="BG39" s="69">
        <v>207</v>
      </c>
      <c r="BH39" s="69" t="s">
        <v>55</v>
      </c>
      <c r="BI39" s="133">
        <v>12050</v>
      </c>
      <c r="BJ39" s="134">
        <v>12050</v>
      </c>
      <c r="BK39" s="134" t="s">
        <v>55</v>
      </c>
      <c r="BL39" s="134" t="s">
        <v>55</v>
      </c>
      <c r="BM39" s="134" t="s">
        <v>55</v>
      </c>
      <c r="BN39" s="134" t="s">
        <v>55</v>
      </c>
      <c r="BO39" s="134">
        <v>-11843</v>
      </c>
      <c r="BP39" s="139">
        <v>12034</v>
      </c>
      <c r="BQ39" s="140">
        <v>11934</v>
      </c>
      <c r="BR39" s="140">
        <v>100</v>
      </c>
      <c r="BS39" s="140" t="s">
        <v>55</v>
      </c>
      <c r="BT39" s="140" t="s">
        <v>55</v>
      </c>
      <c r="BU39" s="143">
        <v>7434</v>
      </c>
      <c r="BV39" s="144" t="s">
        <v>55</v>
      </c>
      <c r="BW39" s="144" t="s">
        <v>55</v>
      </c>
      <c r="BX39" s="144">
        <v>7434</v>
      </c>
      <c r="BY39" s="144" t="s">
        <v>55</v>
      </c>
      <c r="BZ39" s="144">
        <v>4600</v>
      </c>
      <c r="CA39" s="15">
        <v>249</v>
      </c>
      <c r="CB39" s="21" t="s">
        <v>55</v>
      </c>
      <c r="CC39" s="21">
        <v>128325</v>
      </c>
      <c r="CD39" s="21">
        <v>128076</v>
      </c>
      <c r="CE39" s="22">
        <f t="shared" si="1"/>
        <v>0</v>
      </c>
      <c r="CF39" s="22">
        <f t="shared" si="2"/>
        <v>0</v>
      </c>
      <c r="CG39" s="22" t="e">
        <f t="shared" si="3"/>
        <v>#VALUE!</v>
      </c>
      <c r="CH39" s="22" t="e">
        <f t="shared" si="4"/>
        <v>#VALUE!</v>
      </c>
      <c r="CI39" s="22">
        <f t="shared" si="5"/>
        <v>0</v>
      </c>
      <c r="CJ39" s="22">
        <f t="shared" si="6"/>
        <v>0</v>
      </c>
      <c r="CK39" s="22">
        <f t="shared" si="7"/>
        <v>0</v>
      </c>
      <c r="CL39" s="22">
        <f t="shared" si="8"/>
        <v>0</v>
      </c>
      <c r="CM39" s="22">
        <f t="shared" si="9"/>
        <v>0</v>
      </c>
      <c r="CN39" s="22">
        <f t="shared" si="10"/>
        <v>0</v>
      </c>
      <c r="CO39" s="22">
        <f t="shared" si="11"/>
        <v>0</v>
      </c>
      <c r="CP39" s="22">
        <f t="shared" si="12"/>
        <v>0</v>
      </c>
      <c r="CQ39" s="22">
        <f t="shared" si="13"/>
        <v>0</v>
      </c>
      <c r="CR39" s="22" t="e">
        <f t="shared" si="14"/>
        <v>#VALUE!</v>
      </c>
      <c r="CS39" s="22" t="e">
        <f t="shared" si="15"/>
        <v>#VALUE!</v>
      </c>
      <c r="CT39" s="22" t="e">
        <f t="shared" si="16"/>
        <v>#VALUE!</v>
      </c>
      <c r="CU39" s="22">
        <f t="shared" si="17"/>
        <v>0</v>
      </c>
      <c r="CV39" s="22" t="e">
        <f t="shared" si="18"/>
        <v>#VALUE!</v>
      </c>
      <c r="CW39" s="22">
        <f t="shared" si="19"/>
        <v>0</v>
      </c>
      <c r="CX39" s="22">
        <f t="shared" si="20"/>
        <v>0</v>
      </c>
      <c r="CY39" s="22" t="e">
        <f t="shared" si="21"/>
        <v>#VALUE!</v>
      </c>
      <c r="CZ39" s="22" t="e">
        <f t="shared" si="22"/>
        <v>#VALUE!</v>
      </c>
      <c r="DA39" s="22" t="e">
        <f t="shared" si="23"/>
        <v>#VALUE!</v>
      </c>
      <c r="DB39" s="22" t="e">
        <f t="shared" si="24"/>
        <v>#VALUE!</v>
      </c>
      <c r="DC39" s="22">
        <f t="shared" si="25"/>
        <v>0</v>
      </c>
      <c r="DD39" s="22">
        <f t="shared" si="26"/>
        <v>0</v>
      </c>
      <c r="DE39" s="22">
        <f t="shared" si="27"/>
        <v>0</v>
      </c>
      <c r="DF39" s="22">
        <f t="shared" si="28"/>
        <v>0</v>
      </c>
      <c r="DG39" s="22" t="e">
        <f t="shared" si="29"/>
        <v>#VALUE!</v>
      </c>
      <c r="DH39" s="22" t="e">
        <f t="shared" si="30"/>
        <v>#VALUE!</v>
      </c>
      <c r="DI39" s="22">
        <f t="shared" si="31"/>
        <v>0</v>
      </c>
      <c r="DJ39" s="22" t="e">
        <f t="shared" si="32"/>
        <v>#VALUE!</v>
      </c>
      <c r="DK39" s="22" t="e">
        <f t="shared" si="33"/>
        <v>#VALUE!</v>
      </c>
      <c r="DL39" s="22">
        <f t="shared" si="34"/>
        <v>0</v>
      </c>
      <c r="DM39" s="22" t="e">
        <f t="shared" si="35"/>
        <v>#VALUE!</v>
      </c>
      <c r="DN39" s="22">
        <f t="shared" si="36"/>
        <v>0</v>
      </c>
      <c r="DO39" s="22">
        <f t="shared" si="37"/>
        <v>0</v>
      </c>
      <c r="DP39" s="22" t="e">
        <f t="shared" si="38"/>
        <v>#VALUE!</v>
      </c>
      <c r="DQ39" s="22">
        <f t="shared" si="39"/>
        <v>0</v>
      </c>
      <c r="DR39" s="22">
        <f t="shared" si="40"/>
        <v>0</v>
      </c>
    </row>
    <row r="40" spans="1:122" ht="26.25">
      <c r="A40" s="2" t="s">
        <v>91</v>
      </c>
      <c r="B40" s="3" t="s">
        <v>92</v>
      </c>
      <c r="C40" s="27">
        <v>534998</v>
      </c>
      <c r="D40" s="27">
        <v>464885</v>
      </c>
      <c r="E40" s="27" t="s">
        <v>55</v>
      </c>
      <c r="F40" s="27" t="s">
        <v>55</v>
      </c>
      <c r="G40" s="27">
        <v>70113</v>
      </c>
      <c r="H40" s="34">
        <v>487752</v>
      </c>
      <c r="I40" s="34">
        <v>181044</v>
      </c>
      <c r="J40" s="34">
        <v>22167</v>
      </c>
      <c r="K40" s="34" t="s">
        <v>55</v>
      </c>
      <c r="L40" s="34">
        <v>4594</v>
      </c>
      <c r="M40" s="34">
        <v>279947</v>
      </c>
      <c r="N40" s="34">
        <v>47246</v>
      </c>
      <c r="O40" s="41">
        <v>9161</v>
      </c>
      <c r="P40" s="41" t="s">
        <v>55</v>
      </c>
      <c r="Q40" s="41" t="s">
        <v>55</v>
      </c>
      <c r="R40" s="41">
        <v>9161</v>
      </c>
      <c r="S40" s="41" t="s">
        <v>55</v>
      </c>
      <c r="T40" s="41" t="s">
        <v>55</v>
      </c>
      <c r="U40" s="49">
        <v>123789</v>
      </c>
      <c r="V40" s="50">
        <v>114628</v>
      </c>
      <c r="W40" s="50" t="s">
        <v>55</v>
      </c>
      <c r="X40" s="50">
        <v>9161</v>
      </c>
      <c r="Y40" s="50" t="s">
        <v>55</v>
      </c>
      <c r="Z40" s="50" t="s">
        <v>55</v>
      </c>
      <c r="AA40" s="50">
        <v>-114628</v>
      </c>
      <c r="AB40" s="56">
        <v>109153</v>
      </c>
      <c r="AC40" s="56">
        <v>109142</v>
      </c>
      <c r="AD40" s="56" t="s">
        <v>55</v>
      </c>
      <c r="AE40" s="56" t="s">
        <v>55</v>
      </c>
      <c r="AF40" s="56">
        <v>11</v>
      </c>
      <c r="AG40" s="63">
        <v>111915</v>
      </c>
      <c r="AH40" s="63" t="s">
        <v>55</v>
      </c>
      <c r="AI40" s="63" t="s">
        <v>55</v>
      </c>
      <c r="AJ40" s="63">
        <v>111915</v>
      </c>
      <c r="AK40" s="63" t="s">
        <v>55</v>
      </c>
      <c r="AL40" s="63">
        <v>-2762</v>
      </c>
      <c r="AM40" s="7">
        <v>-70144</v>
      </c>
      <c r="AN40" s="7" t="s">
        <v>55</v>
      </c>
      <c r="AO40" s="7">
        <v>653312</v>
      </c>
      <c r="AP40" s="7">
        <v>723456</v>
      </c>
      <c r="AQ40" s="17">
        <v>534998</v>
      </c>
      <c r="AR40" s="18">
        <v>464885</v>
      </c>
      <c r="AS40" s="18" t="s">
        <v>55</v>
      </c>
      <c r="AT40" s="18" t="s">
        <v>55</v>
      </c>
      <c r="AU40" s="18">
        <v>70113</v>
      </c>
      <c r="AV40" s="17">
        <v>487752</v>
      </c>
      <c r="AW40" s="18">
        <v>181044</v>
      </c>
      <c r="AX40" s="18">
        <v>22167</v>
      </c>
      <c r="AY40" s="18" t="s">
        <v>55</v>
      </c>
      <c r="AZ40" s="18">
        <v>4594</v>
      </c>
      <c r="BA40" s="18">
        <v>279947</v>
      </c>
      <c r="BB40" s="18">
        <v>47246</v>
      </c>
      <c r="BC40" s="68">
        <v>9161</v>
      </c>
      <c r="BD40" s="69" t="s">
        <v>55</v>
      </c>
      <c r="BE40" s="69" t="s">
        <v>55</v>
      </c>
      <c r="BF40" s="69">
        <v>9161</v>
      </c>
      <c r="BG40" s="69" t="s">
        <v>55</v>
      </c>
      <c r="BH40" s="69" t="s">
        <v>55</v>
      </c>
      <c r="BI40" s="133">
        <v>123789</v>
      </c>
      <c r="BJ40" s="134">
        <v>114628</v>
      </c>
      <c r="BK40" s="134" t="s">
        <v>55</v>
      </c>
      <c r="BL40" s="134">
        <v>9161</v>
      </c>
      <c r="BM40" s="134" t="s">
        <v>55</v>
      </c>
      <c r="BN40" s="134" t="s">
        <v>55</v>
      </c>
      <c r="BO40" s="134">
        <v>-114628</v>
      </c>
      <c r="BP40" s="139">
        <v>109153</v>
      </c>
      <c r="BQ40" s="140">
        <v>109142</v>
      </c>
      <c r="BR40" s="140" t="s">
        <v>55</v>
      </c>
      <c r="BS40" s="140" t="s">
        <v>55</v>
      </c>
      <c r="BT40" s="140">
        <v>11</v>
      </c>
      <c r="BU40" s="143">
        <v>111915</v>
      </c>
      <c r="BV40" s="144" t="s">
        <v>55</v>
      </c>
      <c r="BW40" s="144" t="s">
        <v>55</v>
      </c>
      <c r="BX40" s="144">
        <v>111915</v>
      </c>
      <c r="BY40" s="144" t="s">
        <v>55</v>
      </c>
      <c r="BZ40" s="144">
        <v>-2762</v>
      </c>
      <c r="CA40" s="17">
        <v>-70144</v>
      </c>
      <c r="CB40" s="18" t="s">
        <v>55</v>
      </c>
      <c r="CC40" s="18">
        <v>653312</v>
      </c>
      <c r="CD40" s="18">
        <v>723456</v>
      </c>
      <c r="CE40" s="22">
        <f t="shared" si="1"/>
        <v>0</v>
      </c>
      <c r="CF40" s="22">
        <f t="shared" si="2"/>
        <v>0</v>
      </c>
      <c r="CG40" s="22" t="e">
        <f t="shared" si="3"/>
        <v>#VALUE!</v>
      </c>
      <c r="CH40" s="22" t="e">
        <f t="shared" si="4"/>
        <v>#VALUE!</v>
      </c>
      <c r="CI40" s="22">
        <f t="shared" si="5"/>
        <v>0</v>
      </c>
      <c r="CJ40" s="22">
        <f t="shared" si="6"/>
        <v>0</v>
      </c>
      <c r="CK40" s="22">
        <f t="shared" si="7"/>
        <v>0</v>
      </c>
      <c r="CL40" s="22">
        <f t="shared" si="8"/>
        <v>0</v>
      </c>
      <c r="CM40" s="22" t="e">
        <f t="shared" si="9"/>
        <v>#VALUE!</v>
      </c>
      <c r="CN40" s="22">
        <f t="shared" si="10"/>
        <v>0</v>
      </c>
      <c r="CO40" s="22">
        <f t="shared" si="11"/>
        <v>0</v>
      </c>
      <c r="CP40" s="22">
        <f t="shared" si="12"/>
        <v>0</v>
      </c>
      <c r="CQ40" s="22">
        <f t="shared" si="13"/>
        <v>0</v>
      </c>
      <c r="CR40" s="22" t="e">
        <f t="shared" si="14"/>
        <v>#VALUE!</v>
      </c>
      <c r="CS40" s="22" t="e">
        <f t="shared" si="15"/>
        <v>#VALUE!</v>
      </c>
      <c r="CT40" s="22">
        <f t="shared" si="16"/>
        <v>0</v>
      </c>
      <c r="CU40" s="22" t="e">
        <f t="shared" si="17"/>
        <v>#VALUE!</v>
      </c>
      <c r="CV40" s="22" t="e">
        <f t="shared" si="18"/>
        <v>#VALUE!</v>
      </c>
      <c r="CW40" s="22">
        <f t="shared" si="19"/>
        <v>0</v>
      </c>
      <c r="CX40" s="22">
        <f t="shared" si="20"/>
        <v>0</v>
      </c>
      <c r="CY40" s="22" t="e">
        <f t="shared" si="21"/>
        <v>#VALUE!</v>
      </c>
      <c r="CZ40" s="22">
        <f t="shared" si="22"/>
        <v>0</v>
      </c>
      <c r="DA40" s="22" t="e">
        <f t="shared" si="23"/>
        <v>#VALUE!</v>
      </c>
      <c r="DB40" s="22" t="e">
        <f t="shared" si="24"/>
        <v>#VALUE!</v>
      </c>
      <c r="DC40" s="22">
        <f t="shared" si="25"/>
        <v>0</v>
      </c>
      <c r="DD40" s="22">
        <f t="shared" si="26"/>
        <v>0</v>
      </c>
      <c r="DE40" s="22">
        <f t="shared" si="27"/>
        <v>0</v>
      </c>
      <c r="DF40" s="22" t="e">
        <f t="shared" si="28"/>
        <v>#VALUE!</v>
      </c>
      <c r="DG40" s="22" t="e">
        <f t="shared" si="29"/>
        <v>#VALUE!</v>
      </c>
      <c r="DH40" s="22">
        <f t="shared" si="30"/>
        <v>0</v>
      </c>
      <c r="DI40" s="22">
        <f t="shared" si="31"/>
        <v>0</v>
      </c>
      <c r="DJ40" s="22" t="e">
        <f t="shared" si="32"/>
        <v>#VALUE!</v>
      </c>
      <c r="DK40" s="22" t="e">
        <f t="shared" si="33"/>
        <v>#VALUE!</v>
      </c>
      <c r="DL40" s="22">
        <f t="shared" si="34"/>
        <v>0</v>
      </c>
      <c r="DM40" s="22" t="e">
        <f t="shared" si="35"/>
        <v>#VALUE!</v>
      </c>
      <c r="DN40" s="22">
        <f t="shared" si="36"/>
        <v>0</v>
      </c>
      <c r="DO40" s="22">
        <f t="shared" si="37"/>
        <v>0</v>
      </c>
      <c r="DP40" s="22" t="e">
        <f t="shared" si="38"/>
        <v>#VALUE!</v>
      </c>
      <c r="DQ40" s="22">
        <f t="shared" si="39"/>
        <v>0</v>
      </c>
      <c r="DR40" s="22">
        <f t="shared" si="40"/>
        <v>0</v>
      </c>
    </row>
    <row r="41" spans="1:122" s="14" customFormat="1" ht="15.75">
      <c r="A41" s="2" t="s">
        <v>93</v>
      </c>
      <c r="B41" s="3" t="s">
        <v>94</v>
      </c>
      <c r="C41" s="27">
        <v>3673049</v>
      </c>
      <c r="D41" s="27">
        <v>3146093</v>
      </c>
      <c r="E41" s="27" t="s">
        <v>55</v>
      </c>
      <c r="F41" s="27" t="s">
        <v>55</v>
      </c>
      <c r="G41" s="27">
        <v>526956</v>
      </c>
      <c r="H41" s="34">
        <v>3074908</v>
      </c>
      <c r="I41" s="34">
        <v>1257550</v>
      </c>
      <c r="J41" s="34">
        <v>1096664</v>
      </c>
      <c r="K41" s="34">
        <v>33298</v>
      </c>
      <c r="L41" s="34">
        <v>1043</v>
      </c>
      <c r="M41" s="34">
        <v>686353</v>
      </c>
      <c r="N41" s="34">
        <v>598141</v>
      </c>
      <c r="O41" s="41" t="s">
        <v>55</v>
      </c>
      <c r="P41" s="41" t="s">
        <v>55</v>
      </c>
      <c r="Q41" s="41" t="s">
        <v>55</v>
      </c>
      <c r="R41" s="41" t="s">
        <v>55</v>
      </c>
      <c r="S41" s="41" t="s">
        <v>55</v>
      </c>
      <c r="T41" s="41" t="s">
        <v>55</v>
      </c>
      <c r="U41" s="49">
        <v>592107</v>
      </c>
      <c r="V41" s="50">
        <v>592107</v>
      </c>
      <c r="W41" s="50" t="s">
        <v>55</v>
      </c>
      <c r="X41" s="50" t="s">
        <v>55</v>
      </c>
      <c r="Y41" s="50" t="s">
        <v>55</v>
      </c>
      <c r="Z41" s="50" t="s">
        <v>55</v>
      </c>
      <c r="AA41" s="50">
        <v>-592107</v>
      </c>
      <c r="AB41" s="56">
        <v>319577</v>
      </c>
      <c r="AC41" s="56">
        <v>319577</v>
      </c>
      <c r="AD41" s="56" t="s">
        <v>55</v>
      </c>
      <c r="AE41" s="56" t="s">
        <v>55</v>
      </c>
      <c r="AF41" s="56" t="s">
        <v>55</v>
      </c>
      <c r="AG41" s="63">
        <v>314279</v>
      </c>
      <c r="AH41" s="63" t="s">
        <v>55</v>
      </c>
      <c r="AI41" s="63">
        <v>1644</v>
      </c>
      <c r="AJ41" s="63">
        <v>312635</v>
      </c>
      <c r="AK41" s="63" t="s">
        <v>55</v>
      </c>
      <c r="AL41" s="63">
        <v>5298</v>
      </c>
      <c r="AM41" s="7">
        <v>11332</v>
      </c>
      <c r="AN41" s="7">
        <v>-2520</v>
      </c>
      <c r="AO41" s="7">
        <v>3992626</v>
      </c>
      <c r="AP41" s="7">
        <v>3981294</v>
      </c>
      <c r="AQ41" s="17">
        <v>3673049</v>
      </c>
      <c r="AR41" s="18">
        <v>3146093</v>
      </c>
      <c r="AS41" s="18" t="s">
        <v>55</v>
      </c>
      <c r="AT41" s="18" t="s">
        <v>55</v>
      </c>
      <c r="AU41" s="18">
        <v>526956</v>
      </c>
      <c r="AV41" s="17">
        <v>3074908</v>
      </c>
      <c r="AW41" s="18">
        <v>1257550</v>
      </c>
      <c r="AX41" s="18">
        <v>1096664</v>
      </c>
      <c r="AY41" s="18">
        <v>33298</v>
      </c>
      <c r="AZ41" s="18">
        <v>1043</v>
      </c>
      <c r="BA41" s="18">
        <v>686353</v>
      </c>
      <c r="BB41" s="18">
        <v>598141</v>
      </c>
      <c r="BC41" s="68"/>
      <c r="BD41" s="69"/>
      <c r="BE41" s="69"/>
      <c r="BF41" s="69"/>
      <c r="BG41" s="69"/>
      <c r="BH41" s="69"/>
      <c r="BI41" s="133">
        <v>592107</v>
      </c>
      <c r="BJ41" s="134">
        <v>592107</v>
      </c>
      <c r="BK41" s="134" t="s">
        <v>55</v>
      </c>
      <c r="BL41" s="134" t="s">
        <v>55</v>
      </c>
      <c r="BM41" s="134" t="s">
        <v>55</v>
      </c>
      <c r="BN41" s="134" t="s">
        <v>55</v>
      </c>
      <c r="BO41" s="134">
        <v>-592107</v>
      </c>
      <c r="BP41" s="139">
        <v>319577</v>
      </c>
      <c r="BQ41" s="140">
        <v>319577</v>
      </c>
      <c r="BR41" s="140" t="s">
        <v>55</v>
      </c>
      <c r="BS41" s="140" t="s">
        <v>55</v>
      </c>
      <c r="BT41" s="140" t="s">
        <v>55</v>
      </c>
      <c r="BU41" s="143">
        <v>314279</v>
      </c>
      <c r="BV41" s="144" t="s">
        <v>55</v>
      </c>
      <c r="BW41" s="144">
        <v>1644</v>
      </c>
      <c r="BX41" s="144">
        <v>312635</v>
      </c>
      <c r="BY41" s="144" t="s">
        <v>55</v>
      </c>
      <c r="BZ41" s="144">
        <v>5298</v>
      </c>
      <c r="CA41" s="17">
        <v>11332</v>
      </c>
      <c r="CB41" s="18">
        <v>-2520</v>
      </c>
      <c r="CC41" s="18">
        <v>3992626</v>
      </c>
      <c r="CD41" s="18">
        <v>3981294</v>
      </c>
      <c r="CE41" s="22">
        <f t="shared" si="1"/>
        <v>0</v>
      </c>
      <c r="CF41" s="22">
        <f t="shared" si="2"/>
        <v>0</v>
      </c>
      <c r="CG41" s="22" t="e">
        <f t="shared" si="3"/>
        <v>#VALUE!</v>
      </c>
      <c r="CH41" s="22" t="e">
        <f t="shared" si="4"/>
        <v>#VALUE!</v>
      </c>
      <c r="CI41" s="22">
        <f t="shared" si="5"/>
        <v>0</v>
      </c>
      <c r="CJ41" s="22">
        <f t="shared" si="6"/>
        <v>0</v>
      </c>
      <c r="CK41" s="22">
        <f t="shared" si="7"/>
        <v>0</v>
      </c>
      <c r="CL41" s="22">
        <f t="shared" si="8"/>
        <v>0</v>
      </c>
      <c r="CM41" s="22">
        <f t="shared" si="9"/>
        <v>0</v>
      </c>
      <c r="CN41" s="22">
        <f t="shared" si="10"/>
        <v>0</v>
      </c>
      <c r="CO41" s="22">
        <f t="shared" si="11"/>
        <v>0</v>
      </c>
      <c r="CP41" s="22">
        <f t="shared" si="12"/>
        <v>0</v>
      </c>
      <c r="CQ41" s="22" t="e">
        <f t="shared" si="13"/>
        <v>#VALUE!</v>
      </c>
      <c r="CR41" s="22" t="e">
        <f t="shared" si="14"/>
        <v>#VALUE!</v>
      </c>
      <c r="CS41" s="22" t="e">
        <f t="shared" si="15"/>
        <v>#VALUE!</v>
      </c>
      <c r="CT41" s="22" t="e">
        <f t="shared" si="16"/>
        <v>#VALUE!</v>
      </c>
      <c r="CU41" s="22" t="e">
        <f t="shared" si="17"/>
        <v>#VALUE!</v>
      </c>
      <c r="CV41" s="22" t="e">
        <f t="shared" si="18"/>
        <v>#VALUE!</v>
      </c>
      <c r="CW41" s="22">
        <f t="shared" si="19"/>
        <v>0</v>
      </c>
      <c r="CX41" s="22">
        <f t="shared" si="20"/>
        <v>0</v>
      </c>
      <c r="CY41" s="22" t="e">
        <f t="shared" si="21"/>
        <v>#VALUE!</v>
      </c>
      <c r="CZ41" s="22" t="e">
        <f t="shared" si="22"/>
        <v>#VALUE!</v>
      </c>
      <c r="DA41" s="22" t="e">
        <f t="shared" si="23"/>
        <v>#VALUE!</v>
      </c>
      <c r="DB41" s="22" t="e">
        <f t="shared" si="24"/>
        <v>#VALUE!</v>
      </c>
      <c r="DC41" s="22">
        <f t="shared" si="25"/>
        <v>0</v>
      </c>
      <c r="DD41" s="22">
        <f t="shared" si="26"/>
        <v>0</v>
      </c>
      <c r="DE41" s="22">
        <f t="shared" si="27"/>
        <v>0</v>
      </c>
      <c r="DF41" s="22" t="e">
        <f t="shared" si="28"/>
        <v>#VALUE!</v>
      </c>
      <c r="DG41" s="22" t="e">
        <f t="shared" si="29"/>
        <v>#VALUE!</v>
      </c>
      <c r="DH41" s="22" t="e">
        <f t="shared" si="30"/>
        <v>#VALUE!</v>
      </c>
      <c r="DI41" s="22">
        <f t="shared" si="31"/>
        <v>0</v>
      </c>
      <c r="DJ41" s="22" t="e">
        <f t="shared" si="32"/>
        <v>#VALUE!</v>
      </c>
      <c r="DK41" s="22">
        <f t="shared" si="33"/>
        <v>0</v>
      </c>
      <c r="DL41" s="22">
        <f t="shared" si="34"/>
        <v>0</v>
      </c>
      <c r="DM41" s="22" t="e">
        <f t="shared" si="35"/>
        <v>#VALUE!</v>
      </c>
      <c r="DN41" s="22">
        <f t="shared" si="36"/>
        <v>0</v>
      </c>
      <c r="DO41" s="22">
        <f t="shared" si="37"/>
        <v>0</v>
      </c>
      <c r="DP41" s="22">
        <f t="shared" si="38"/>
        <v>0</v>
      </c>
      <c r="DQ41" s="22">
        <f t="shared" si="39"/>
        <v>0</v>
      </c>
      <c r="DR41" s="22">
        <f t="shared" si="40"/>
        <v>0</v>
      </c>
    </row>
    <row r="42" spans="1:122" ht="27" thickBot="1">
      <c r="A42" s="2" t="s">
        <v>95</v>
      </c>
      <c r="B42" s="3" t="s">
        <v>96</v>
      </c>
      <c r="C42" s="27">
        <v>5012957</v>
      </c>
      <c r="D42" s="27">
        <v>4810482</v>
      </c>
      <c r="E42" s="27">
        <v>2575</v>
      </c>
      <c r="F42" s="27" t="s">
        <v>55</v>
      </c>
      <c r="G42" s="27">
        <v>199900</v>
      </c>
      <c r="H42" s="34">
        <v>4774932</v>
      </c>
      <c r="I42" s="34">
        <v>2602327</v>
      </c>
      <c r="J42" s="34">
        <v>1806980</v>
      </c>
      <c r="K42" s="34">
        <v>42356</v>
      </c>
      <c r="L42" s="34">
        <v>11807</v>
      </c>
      <c r="M42" s="34">
        <v>311462</v>
      </c>
      <c r="N42" s="34">
        <v>238025</v>
      </c>
      <c r="O42" s="41">
        <v>30708</v>
      </c>
      <c r="P42" s="41" t="s">
        <v>55</v>
      </c>
      <c r="Q42" s="41" t="s">
        <v>55</v>
      </c>
      <c r="R42" s="41">
        <v>850</v>
      </c>
      <c r="S42" s="41">
        <v>29858</v>
      </c>
      <c r="T42" s="41" t="s">
        <v>55</v>
      </c>
      <c r="U42" s="49">
        <v>272313</v>
      </c>
      <c r="V42" s="50">
        <v>272313</v>
      </c>
      <c r="W42" s="50" t="s">
        <v>55</v>
      </c>
      <c r="X42" s="50" t="s">
        <v>55</v>
      </c>
      <c r="Y42" s="50" t="s">
        <v>55</v>
      </c>
      <c r="Z42" s="50" t="s">
        <v>55</v>
      </c>
      <c r="AA42" s="50">
        <v>-241605</v>
      </c>
      <c r="AB42" s="56">
        <v>274989</v>
      </c>
      <c r="AC42" s="56">
        <v>274989</v>
      </c>
      <c r="AD42" s="56" t="s">
        <v>55</v>
      </c>
      <c r="AE42" s="56" t="s">
        <v>55</v>
      </c>
      <c r="AF42" s="56" t="s">
        <v>55</v>
      </c>
      <c r="AG42" s="63">
        <v>394712</v>
      </c>
      <c r="AH42" s="63" t="s">
        <v>55</v>
      </c>
      <c r="AI42" s="63" t="s">
        <v>55</v>
      </c>
      <c r="AJ42" s="63">
        <v>108922</v>
      </c>
      <c r="AK42" s="63">
        <v>285790</v>
      </c>
      <c r="AL42" s="63">
        <v>-119723</v>
      </c>
      <c r="AM42" s="7">
        <v>-123303</v>
      </c>
      <c r="AN42" s="7">
        <v>353</v>
      </c>
      <c r="AO42" s="7">
        <v>5318654</v>
      </c>
      <c r="AP42" s="7">
        <v>5441957</v>
      </c>
      <c r="AQ42" s="17">
        <v>5012957</v>
      </c>
      <c r="AR42" s="18">
        <v>4810482</v>
      </c>
      <c r="AS42" s="18">
        <v>2575</v>
      </c>
      <c r="AT42" s="18" t="s">
        <v>55</v>
      </c>
      <c r="AU42" s="18">
        <v>199900</v>
      </c>
      <c r="AV42" s="17">
        <v>4774932</v>
      </c>
      <c r="AW42" s="18">
        <v>2602327</v>
      </c>
      <c r="AX42" s="18">
        <v>1806980</v>
      </c>
      <c r="AY42" s="18">
        <v>42356</v>
      </c>
      <c r="AZ42" s="18">
        <v>11807</v>
      </c>
      <c r="BA42" s="18">
        <v>311462</v>
      </c>
      <c r="BB42" s="18">
        <v>238025</v>
      </c>
      <c r="BC42" s="68">
        <v>30708</v>
      </c>
      <c r="BD42" s="69" t="s">
        <v>55</v>
      </c>
      <c r="BE42" s="69" t="s">
        <v>55</v>
      </c>
      <c r="BF42" s="69">
        <v>850</v>
      </c>
      <c r="BG42" s="69">
        <v>29858</v>
      </c>
      <c r="BH42" s="69" t="s">
        <v>55</v>
      </c>
      <c r="BI42" s="133">
        <v>272313</v>
      </c>
      <c r="BJ42" s="134">
        <v>272313</v>
      </c>
      <c r="BK42" s="134" t="s">
        <v>55</v>
      </c>
      <c r="BL42" s="134" t="s">
        <v>55</v>
      </c>
      <c r="BM42" s="134" t="s">
        <v>55</v>
      </c>
      <c r="BN42" s="134" t="s">
        <v>55</v>
      </c>
      <c r="BO42" s="134">
        <v>-241605</v>
      </c>
      <c r="BP42" s="139">
        <v>274989</v>
      </c>
      <c r="BQ42" s="140">
        <v>274989</v>
      </c>
      <c r="BR42" s="140" t="s">
        <v>55</v>
      </c>
      <c r="BS42" s="140" t="s">
        <v>55</v>
      </c>
      <c r="BT42" s="140" t="s">
        <v>55</v>
      </c>
      <c r="BU42" s="143">
        <v>394712</v>
      </c>
      <c r="BV42" s="144" t="s">
        <v>55</v>
      </c>
      <c r="BW42" s="144" t="s">
        <v>55</v>
      </c>
      <c r="BX42" s="144">
        <v>108922</v>
      </c>
      <c r="BY42" s="144">
        <v>285790</v>
      </c>
      <c r="BZ42" s="144">
        <v>-119723</v>
      </c>
      <c r="CA42" s="17">
        <v>-123303</v>
      </c>
      <c r="CB42" s="18">
        <v>353</v>
      </c>
      <c r="CC42" s="18">
        <v>5318654</v>
      </c>
      <c r="CD42" s="18">
        <v>5441957</v>
      </c>
      <c r="CE42" s="22">
        <f t="shared" si="1"/>
        <v>0</v>
      </c>
      <c r="CF42" s="22">
        <f t="shared" si="2"/>
        <v>0</v>
      </c>
      <c r="CG42" s="22">
        <f t="shared" si="3"/>
        <v>0</v>
      </c>
      <c r="CH42" s="22" t="e">
        <f t="shared" si="4"/>
        <v>#VALUE!</v>
      </c>
      <c r="CI42" s="22">
        <f t="shared" si="5"/>
        <v>0</v>
      </c>
      <c r="CJ42" s="22">
        <f t="shared" si="6"/>
        <v>0</v>
      </c>
      <c r="CK42" s="22">
        <f t="shared" si="7"/>
        <v>0</v>
      </c>
      <c r="CL42" s="22">
        <f t="shared" si="8"/>
        <v>0</v>
      </c>
      <c r="CM42" s="22">
        <f t="shared" si="9"/>
        <v>0</v>
      </c>
      <c r="CN42" s="22">
        <f t="shared" si="10"/>
        <v>0</v>
      </c>
      <c r="CO42" s="22">
        <f t="shared" si="11"/>
        <v>0</v>
      </c>
      <c r="CP42" s="22">
        <f t="shared" si="12"/>
        <v>0</v>
      </c>
      <c r="CQ42" s="22">
        <f t="shared" si="13"/>
        <v>0</v>
      </c>
      <c r="CR42" s="22" t="e">
        <f t="shared" si="14"/>
        <v>#VALUE!</v>
      </c>
      <c r="CS42" s="22" t="e">
        <f t="shared" si="15"/>
        <v>#VALUE!</v>
      </c>
      <c r="CT42" s="22">
        <f t="shared" si="16"/>
        <v>0</v>
      </c>
      <c r="CU42" s="22">
        <f t="shared" si="17"/>
        <v>0</v>
      </c>
      <c r="CV42" s="22" t="e">
        <f t="shared" si="18"/>
        <v>#VALUE!</v>
      </c>
      <c r="CW42" s="22">
        <f t="shared" si="19"/>
        <v>0</v>
      </c>
      <c r="CX42" s="22">
        <f t="shared" si="20"/>
        <v>0</v>
      </c>
      <c r="CY42" s="22" t="e">
        <f t="shared" si="21"/>
        <v>#VALUE!</v>
      </c>
      <c r="CZ42" s="22" t="e">
        <f t="shared" si="22"/>
        <v>#VALUE!</v>
      </c>
      <c r="DA42" s="22" t="e">
        <f t="shared" si="23"/>
        <v>#VALUE!</v>
      </c>
      <c r="DB42" s="22" t="e">
        <f t="shared" si="24"/>
        <v>#VALUE!</v>
      </c>
      <c r="DC42" s="22">
        <f t="shared" si="25"/>
        <v>0</v>
      </c>
      <c r="DD42" s="22">
        <f t="shared" si="26"/>
        <v>0</v>
      </c>
      <c r="DE42" s="22">
        <f t="shared" si="27"/>
        <v>0</v>
      </c>
      <c r="DF42" s="22" t="e">
        <f t="shared" si="28"/>
        <v>#VALUE!</v>
      </c>
      <c r="DG42" s="22" t="e">
        <f t="shared" si="29"/>
        <v>#VALUE!</v>
      </c>
      <c r="DH42" s="22" t="e">
        <f t="shared" si="30"/>
        <v>#VALUE!</v>
      </c>
      <c r="DI42" s="22">
        <f t="shared" si="31"/>
        <v>0</v>
      </c>
      <c r="DJ42" s="22" t="e">
        <f t="shared" si="32"/>
        <v>#VALUE!</v>
      </c>
      <c r="DK42" s="22" t="e">
        <f t="shared" si="33"/>
        <v>#VALUE!</v>
      </c>
      <c r="DL42" s="22">
        <f t="shared" si="34"/>
        <v>0</v>
      </c>
      <c r="DM42" s="22">
        <f t="shared" si="35"/>
        <v>0</v>
      </c>
      <c r="DN42" s="22">
        <f t="shared" si="36"/>
        <v>0</v>
      </c>
      <c r="DO42" s="22">
        <f t="shared" si="37"/>
        <v>0</v>
      </c>
      <c r="DP42" s="22">
        <f t="shared" si="38"/>
        <v>0</v>
      </c>
      <c r="DQ42" s="22">
        <f t="shared" si="39"/>
        <v>0</v>
      </c>
      <c r="DR42" s="22">
        <f t="shared" si="40"/>
        <v>0</v>
      </c>
    </row>
    <row r="43" spans="1:122" s="14" customFormat="1" ht="39.75" thickBot="1">
      <c r="A43" s="11" t="s">
        <v>158</v>
      </c>
      <c r="B43" s="12" t="s">
        <v>99</v>
      </c>
      <c r="C43" s="26">
        <v>1813634</v>
      </c>
      <c r="D43" s="26">
        <v>1626975</v>
      </c>
      <c r="E43" s="26" t="s">
        <v>55</v>
      </c>
      <c r="F43" s="26" t="s">
        <v>55</v>
      </c>
      <c r="G43" s="26">
        <v>186659</v>
      </c>
      <c r="H43" s="33">
        <v>2551938</v>
      </c>
      <c r="I43" s="33">
        <v>1630086</v>
      </c>
      <c r="J43" s="33">
        <v>489076</v>
      </c>
      <c r="K43" s="33">
        <v>115449</v>
      </c>
      <c r="L43" s="33">
        <v>156</v>
      </c>
      <c r="M43" s="33">
        <v>317171</v>
      </c>
      <c r="N43" s="33">
        <v>-738304</v>
      </c>
      <c r="O43" s="40">
        <v>16240537</v>
      </c>
      <c r="P43" s="40" t="s">
        <v>55</v>
      </c>
      <c r="Q43" s="40" t="s">
        <v>55</v>
      </c>
      <c r="R43" s="40">
        <v>82771</v>
      </c>
      <c r="S43" s="40">
        <v>64</v>
      </c>
      <c r="T43" s="40">
        <v>16157702</v>
      </c>
      <c r="U43" s="47">
        <v>16813852</v>
      </c>
      <c r="V43" s="48">
        <v>483043</v>
      </c>
      <c r="W43" s="48">
        <v>25887</v>
      </c>
      <c r="X43" s="48">
        <v>87232</v>
      </c>
      <c r="Y43" s="48" t="s">
        <v>55</v>
      </c>
      <c r="Z43" s="48">
        <v>16217690</v>
      </c>
      <c r="AA43" s="48">
        <v>-573315</v>
      </c>
      <c r="AB43" s="55">
        <v>1565296</v>
      </c>
      <c r="AC43" s="55">
        <v>1013461</v>
      </c>
      <c r="AD43" s="55">
        <v>551835</v>
      </c>
      <c r="AE43" s="55" t="s">
        <v>55</v>
      </c>
      <c r="AF43" s="55" t="s">
        <v>55</v>
      </c>
      <c r="AG43" s="62">
        <v>255249</v>
      </c>
      <c r="AH43" s="62" t="s">
        <v>55</v>
      </c>
      <c r="AI43" s="62" t="s">
        <v>55</v>
      </c>
      <c r="AJ43" s="62">
        <v>255249</v>
      </c>
      <c r="AK43" s="62" t="s">
        <v>55</v>
      </c>
      <c r="AL43" s="62">
        <v>1310047</v>
      </c>
      <c r="AM43" s="13">
        <v>-1572</v>
      </c>
      <c r="AN43" s="13" t="s">
        <v>55</v>
      </c>
      <c r="AO43" s="13">
        <v>19619467</v>
      </c>
      <c r="AP43" s="13">
        <v>19621039</v>
      </c>
      <c r="AQ43" s="15">
        <v>1813634</v>
      </c>
      <c r="AR43" s="21">
        <v>1626975</v>
      </c>
      <c r="AS43" s="21" t="s">
        <v>55</v>
      </c>
      <c r="AT43" s="21" t="s">
        <v>55</v>
      </c>
      <c r="AU43" s="21">
        <v>186659</v>
      </c>
      <c r="AV43" s="17">
        <v>2551938</v>
      </c>
      <c r="AW43" s="18">
        <v>1630086</v>
      </c>
      <c r="AX43" s="18">
        <v>489076</v>
      </c>
      <c r="AY43" s="18">
        <v>115449</v>
      </c>
      <c r="AZ43" s="18">
        <v>156</v>
      </c>
      <c r="BA43" s="18">
        <v>317171</v>
      </c>
      <c r="BB43" s="18">
        <v>-738304</v>
      </c>
      <c r="BC43" s="68">
        <v>16240537</v>
      </c>
      <c r="BD43" s="69" t="s">
        <v>55</v>
      </c>
      <c r="BE43" s="69" t="s">
        <v>55</v>
      </c>
      <c r="BF43" s="69">
        <v>82771</v>
      </c>
      <c r="BG43" s="69">
        <v>64</v>
      </c>
      <c r="BH43" s="69">
        <v>16157702</v>
      </c>
      <c r="BI43" s="133">
        <v>16813852</v>
      </c>
      <c r="BJ43" s="134">
        <v>483043</v>
      </c>
      <c r="BK43" s="134">
        <v>25887</v>
      </c>
      <c r="BL43" s="134">
        <v>87232</v>
      </c>
      <c r="BM43" s="134" t="s">
        <v>55</v>
      </c>
      <c r="BN43" s="134">
        <v>16217690</v>
      </c>
      <c r="BO43" s="134">
        <v>-573315</v>
      </c>
      <c r="BP43" s="139">
        <v>1565296</v>
      </c>
      <c r="BQ43" s="140">
        <v>1013461</v>
      </c>
      <c r="BR43" s="140">
        <v>551835</v>
      </c>
      <c r="BS43" s="140" t="s">
        <v>55</v>
      </c>
      <c r="BT43" s="140" t="s">
        <v>55</v>
      </c>
      <c r="BU43" s="143">
        <v>255249</v>
      </c>
      <c r="BV43" s="144" t="s">
        <v>55</v>
      </c>
      <c r="BW43" s="144" t="s">
        <v>55</v>
      </c>
      <c r="BX43" s="144">
        <v>255249</v>
      </c>
      <c r="BY43" s="144" t="s">
        <v>55</v>
      </c>
      <c r="BZ43" s="144">
        <v>1310047</v>
      </c>
      <c r="CA43" s="17">
        <v>-1572</v>
      </c>
      <c r="CB43" s="18" t="s">
        <v>55</v>
      </c>
      <c r="CC43" s="18">
        <v>19619467</v>
      </c>
      <c r="CD43" s="18">
        <v>19621039</v>
      </c>
      <c r="CE43" s="22">
        <f t="shared" si="1"/>
        <v>0</v>
      </c>
      <c r="CF43" s="22">
        <f t="shared" si="2"/>
        <v>0</v>
      </c>
      <c r="CG43" s="22" t="e">
        <f t="shared" si="3"/>
        <v>#VALUE!</v>
      </c>
      <c r="CH43" s="22" t="e">
        <f t="shared" si="4"/>
        <v>#VALUE!</v>
      </c>
      <c r="CI43" s="22">
        <f t="shared" si="5"/>
        <v>0</v>
      </c>
      <c r="CJ43" s="22">
        <f t="shared" si="6"/>
        <v>0</v>
      </c>
      <c r="CK43" s="22">
        <f t="shared" si="7"/>
        <v>0</v>
      </c>
      <c r="CL43" s="22">
        <f t="shared" si="8"/>
        <v>0</v>
      </c>
      <c r="CM43" s="22">
        <f t="shared" si="9"/>
        <v>0</v>
      </c>
      <c r="CN43" s="22">
        <f t="shared" si="10"/>
        <v>0</v>
      </c>
      <c r="CO43" s="22">
        <f t="shared" si="11"/>
        <v>0</v>
      </c>
      <c r="CP43" s="22">
        <f t="shared" si="12"/>
        <v>0</v>
      </c>
      <c r="CQ43" s="22">
        <f t="shared" si="13"/>
        <v>0</v>
      </c>
      <c r="CR43" s="22" t="e">
        <f t="shared" si="14"/>
        <v>#VALUE!</v>
      </c>
      <c r="CS43" s="22" t="e">
        <f t="shared" si="15"/>
        <v>#VALUE!</v>
      </c>
      <c r="CT43" s="22">
        <f t="shared" si="16"/>
        <v>0</v>
      </c>
      <c r="CU43" s="22">
        <f t="shared" si="17"/>
        <v>0</v>
      </c>
      <c r="CV43" s="22">
        <f t="shared" si="18"/>
        <v>0</v>
      </c>
      <c r="CW43" s="22">
        <f t="shared" si="19"/>
        <v>0</v>
      </c>
      <c r="CX43" s="22">
        <f t="shared" si="20"/>
        <v>0</v>
      </c>
      <c r="CY43" s="22">
        <f t="shared" si="21"/>
        <v>0</v>
      </c>
      <c r="CZ43" s="22">
        <f t="shared" si="22"/>
        <v>0</v>
      </c>
      <c r="DA43" s="22" t="e">
        <f t="shared" si="23"/>
        <v>#VALUE!</v>
      </c>
      <c r="DB43" s="22">
        <f t="shared" si="24"/>
        <v>0</v>
      </c>
      <c r="DC43" s="22">
        <f t="shared" si="25"/>
        <v>0</v>
      </c>
      <c r="DD43" s="22">
        <f t="shared" si="26"/>
        <v>0</v>
      </c>
      <c r="DE43" s="22">
        <f t="shared" si="27"/>
        <v>0</v>
      </c>
      <c r="DF43" s="22">
        <f t="shared" si="28"/>
        <v>0</v>
      </c>
      <c r="DG43" s="22" t="e">
        <f t="shared" si="29"/>
        <v>#VALUE!</v>
      </c>
      <c r="DH43" s="22" t="e">
        <f t="shared" si="30"/>
        <v>#VALUE!</v>
      </c>
      <c r="DI43" s="22">
        <f t="shared" si="31"/>
        <v>0</v>
      </c>
      <c r="DJ43" s="22" t="e">
        <f t="shared" si="32"/>
        <v>#VALUE!</v>
      </c>
      <c r="DK43" s="22" t="e">
        <f t="shared" si="33"/>
        <v>#VALUE!</v>
      </c>
      <c r="DL43" s="22">
        <f t="shared" si="34"/>
        <v>0</v>
      </c>
      <c r="DM43" s="22" t="e">
        <f t="shared" si="35"/>
        <v>#VALUE!</v>
      </c>
      <c r="DN43" s="22">
        <f t="shared" si="36"/>
        <v>0</v>
      </c>
      <c r="DO43" s="22">
        <f t="shared" si="37"/>
        <v>0</v>
      </c>
      <c r="DP43" s="22" t="e">
        <f t="shared" si="38"/>
        <v>#VALUE!</v>
      </c>
      <c r="DQ43" s="22">
        <f t="shared" si="39"/>
        <v>0</v>
      </c>
      <c r="DR43" s="22">
        <f t="shared" si="40"/>
        <v>0</v>
      </c>
    </row>
    <row r="44" spans="1:122" ht="27" thickBot="1">
      <c r="A44" s="2" t="s">
        <v>100</v>
      </c>
      <c r="B44" s="3" t="s">
        <v>101</v>
      </c>
      <c r="C44" s="27">
        <v>1739031</v>
      </c>
      <c r="D44" s="27">
        <v>1554954</v>
      </c>
      <c r="E44" s="27" t="s">
        <v>55</v>
      </c>
      <c r="F44" s="27" t="s">
        <v>55</v>
      </c>
      <c r="G44" s="27">
        <v>184077</v>
      </c>
      <c r="H44" s="34">
        <v>2474122</v>
      </c>
      <c r="I44" s="34">
        <v>1592821</v>
      </c>
      <c r="J44" s="34">
        <v>481101</v>
      </c>
      <c r="K44" s="34">
        <v>115449</v>
      </c>
      <c r="L44" s="34">
        <v>156</v>
      </c>
      <c r="M44" s="34">
        <v>284595</v>
      </c>
      <c r="N44" s="34">
        <v>-735091</v>
      </c>
      <c r="O44" s="41">
        <v>16240537</v>
      </c>
      <c r="P44" s="41" t="s">
        <v>55</v>
      </c>
      <c r="Q44" s="41" t="s">
        <v>55</v>
      </c>
      <c r="R44" s="41">
        <v>82771</v>
      </c>
      <c r="S44" s="41">
        <v>64</v>
      </c>
      <c r="T44" s="41">
        <v>16157702</v>
      </c>
      <c r="U44" s="49">
        <v>16813852</v>
      </c>
      <c r="V44" s="50">
        <v>483043</v>
      </c>
      <c r="W44" s="50">
        <v>25887</v>
      </c>
      <c r="X44" s="50">
        <v>87232</v>
      </c>
      <c r="Y44" s="50" t="s">
        <v>55</v>
      </c>
      <c r="Z44" s="50">
        <v>16217690</v>
      </c>
      <c r="AA44" s="50">
        <v>-573315</v>
      </c>
      <c r="AB44" s="56">
        <v>1565296</v>
      </c>
      <c r="AC44" s="56">
        <v>1013461</v>
      </c>
      <c r="AD44" s="56">
        <v>551835</v>
      </c>
      <c r="AE44" s="56" t="s">
        <v>55</v>
      </c>
      <c r="AF44" s="56" t="s">
        <v>55</v>
      </c>
      <c r="AG44" s="63">
        <v>255249</v>
      </c>
      <c r="AH44" s="63" t="s">
        <v>55</v>
      </c>
      <c r="AI44" s="63" t="s">
        <v>55</v>
      </c>
      <c r="AJ44" s="63">
        <v>255249</v>
      </c>
      <c r="AK44" s="63" t="s">
        <v>55</v>
      </c>
      <c r="AL44" s="63">
        <v>1310047</v>
      </c>
      <c r="AM44" s="7">
        <v>1641</v>
      </c>
      <c r="AN44" s="7" t="s">
        <v>55</v>
      </c>
      <c r="AO44" s="7">
        <v>19544864</v>
      </c>
      <c r="AP44" s="7">
        <v>19543223</v>
      </c>
      <c r="AQ44" s="17">
        <v>1739031</v>
      </c>
      <c r="AR44" s="18">
        <v>1554954</v>
      </c>
      <c r="AS44" s="18" t="s">
        <v>55</v>
      </c>
      <c r="AT44" s="18" t="s">
        <v>55</v>
      </c>
      <c r="AU44" s="18">
        <v>184077</v>
      </c>
      <c r="AV44" s="17">
        <v>2474122</v>
      </c>
      <c r="AW44" s="18">
        <v>1592821</v>
      </c>
      <c r="AX44" s="18">
        <v>481101</v>
      </c>
      <c r="AY44" s="18">
        <v>115449</v>
      </c>
      <c r="AZ44" s="18">
        <v>156</v>
      </c>
      <c r="BA44" s="18">
        <v>284595</v>
      </c>
      <c r="BB44" s="18">
        <v>-735091</v>
      </c>
      <c r="BC44" s="68">
        <v>16240537</v>
      </c>
      <c r="BD44" s="69" t="s">
        <v>55</v>
      </c>
      <c r="BE44" s="69" t="s">
        <v>55</v>
      </c>
      <c r="BF44" s="69">
        <v>82771</v>
      </c>
      <c r="BG44" s="69">
        <v>64</v>
      </c>
      <c r="BH44" s="69">
        <v>16157702</v>
      </c>
      <c r="BI44" s="131">
        <v>16813852</v>
      </c>
      <c r="BJ44" s="132">
        <v>483043</v>
      </c>
      <c r="BK44" s="132">
        <v>25887</v>
      </c>
      <c r="BL44" s="132">
        <v>87232</v>
      </c>
      <c r="BM44" s="132" t="s">
        <v>55</v>
      </c>
      <c r="BN44" s="132">
        <v>16217690</v>
      </c>
      <c r="BO44" s="132">
        <v>-573315</v>
      </c>
      <c r="BP44" s="139">
        <v>1565296</v>
      </c>
      <c r="BQ44" s="140">
        <v>1013461</v>
      </c>
      <c r="BR44" s="140">
        <v>551835</v>
      </c>
      <c r="BS44" s="140" t="s">
        <v>55</v>
      </c>
      <c r="BT44" s="140" t="s">
        <v>55</v>
      </c>
      <c r="BU44" s="143">
        <v>255249</v>
      </c>
      <c r="BV44" s="144" t="s">
        <v>55</v>
      </c>
      <c r="BW44" s="144" t="s">
        <v>55</v>
      </c>
      <c r="BX44" s="144">
        <v>255249</v>
      </c>
      <c r="BY44" s="144" t="s">
        <v>55</v>
      </c>
      <c r="BZ44" s="144">
        <v>1310047</v>
      </c>
      <c r="CA44" s="17">
        <v>1641</v>
      </c>
      <c r="CB44" s="18" t="s">
        <v>55</v>
      </c>
      <c r="CC44" s="18">
        <v>19544864</v>
      </c>
      <c r="CD44" s="18">
        <v>19543223</v>
      </c>
      <c r="CE44" s="22">
        <f t="shared" si="1"/>
        <v>0</v>
      </c>
      <c r="CF44" s="22">
        <f t="shared" si="2"/>
        <v>0</v>
      </c>
      <c r="CG44" s="22" t="e">
        <f t="shared" si="3"/>
        <v>#VALUE!</v>
      </c>
      <c r="CH44" s="22" t="e">
        <f t="shared" si="4"/>
        <v>#VALUE!</v>
      </c>
      <c r="CI44" s="22">
        <f t="shared" si="5"/>
        <v>0</v>
      </c>
      <c r="CJ44" s="22">
        <f t="shared" si="6"/>
        <v>0</v>
      </c>
      <c r="CK44" s="22">
        <f t="shared" si="7"/>
        <v>0</v>
      </c>
      <c r="CL44" s="22">
        <f t="shared" si="8"/>
        <v>0</v>
      </c>
      <c r="CM44" s="22">
        <f t="shared" si="9"/>
        <v>0</v>
      </c>
      <c r="CN44" s="22">
        <f t="shared" si="10"/>
        <v>0</v>
      </c>
      <c r="CO44" s="22">
        <f t="shared" si="11"/>
        <v>0</v>
      </c>
      <c r="CP44" s="22">
        <f t="shared" si="12"/>
        <v>0</v>
      </c>
      <c r="CQ44" s="22">
        <f t="shared" si="13"/>
        <v>0</v>
      </c>
      <c r="CR44" s="22" t="e">
        <f t="shared" si="14"/>
        <v>#VALUE!</v>
      </c>
      <c r="CS44" s="22" t="e">
        <f t="shared" si="15"/>
        <v>#VALUE!</v>
      </c>
      <c r="CT44" s="22">
        <f t="shared" si="16"/>
        <v>0</v>
      </c>
      <c r="CU44" s="22">
        <f t="shared" si="17"/>
        <v>0</v>
      </c>
      <c r="CV44" s="22">
        <f t="shared" si="18"/>
        <v>0</v>
      </c>
      <c r="CW44" s="22">
        <f t="shared" si="19"/>
        <v>0</v>
      </c>
      <c r="CX44" s="22">
        <f t="shared" si="20"/>
        <v>0</v>
      </c>
      <c r="CY44" s="22">
        <f t="shared" si="21"/>
        <v>0</v>
      </c>
      <c r="CZ44" s="22">
        <f t="shared" si="22"/>
        <v>0</v>
      </c>
      <c r="DA44" s="22" t="e">
        <f t="shared" si="23"/>
        <v>#VALUE!</v>
      </c>
      <c r="DB44" s="22">
        <f t="shared" si="24"/>
        <v>0</v>
      </c>
      <c r="DC44" s="22">
        <f t="shared" si="25"/>
        <v>0</v>
      </c>
      <c r="DD44" s="22">
        <f t="shared" si="26"/>
        <v>0</v>
      </c>
      <c r="DE44" s="22">
        <f t="shared" si="27"/>
        <v>0</v>
      </c>
      <c r="DF44" s="22">
        <f t="shared" si="28"/>
        <v>0</v>
      </c>
      <c r="DG44" s="22" t="e">
        <f t="shared" si="29"/>
        <v>#VALUE!</v>
      </c>
      <c r="DH44" s="22" t="e">
        <f t="shared" si="30"/>
        <v>#VALUE!</v>
      </c>
      <c r="DI44" s="22">
        <f t="shared" si="31"/>
        <v>0</v>
      </c>
      <c r="DJ44" s="22" t="e">
        <f t="shared" si="32"/>
        <v>#VALUE!</v>
      </c>
      <c r="DK44" s="22" t="e">
        <f t="shared" si="33"/>
        <v>#VALUE!</v>
      </c>
      <c r="DL44" s="22">
        <f t="shared" si="34"/>
        <v>0</v>
      </c>
      <c r="DM44" s="22" t="e">
        <f t="shared" si="35"/>
        <v>#VALUE!</v>
      </c>
      <c r="DN44" s="22">
        <f t="shared" si="36"/>
        <v>0</v>
      </c>
      <c r="DO44" s="22">
        <f t="shared" si="37"/>
        <v>0</v>
      </c>
      <c r="DP44" s="22" t="e">
        <f t="shared" si="38"/>
        <v>#VALUE!</v>
      </c>
      <c r="DQ44" s="22">
        <f t="shared" si="39"/>
        <v>0</v>
      </c>
      <c r="DR44" s="22">
        <f t="shared" si="40"/>
        <v>0</v>
      </c>
    </row>
    <row r="45" spans="1:122" s="14" customFormat="1" ht="27" thickBot="1">
      <c r="A45" s="2" t="s">
        <v>102</v>
      </c>
      <c r="B45" s="3" t="s">
        <v>103</v>
      </c>
      <c r="C45" s="27">
        <v>74603</v>
      </c>
      <c r="D45" s="27">
        <v>72021</v>
      </c>
      <c r="E45" s="27" t="s">
        <v>55</v>
      </c>
      <c r="F45" s="27" t="s">
        <v>55</v>
      </c>
      <c r="G45" s="27">
        <v>2582</v>
      </c>
      <c r="H45" s="34">
        <v>77816</v>
      </c>
      <c r="I45" s="34">
        <v>37265</v>
      </c>
      <c r="J45" s="34">
        <v>7975</v>
      </c>
      <c r="K45" s="34" t="s">
        <v>55</v>
      </c>
      <c r="L45" s="34" t="s">
        <v>55</v>
      </c>
      <c r="M45" s="34">
        <v>32576</v>
      </c>
      <c r="N45" s="34">
        <v>-3213</v>
      </c>
      <c r="O45" s="41" t="s">
        <v>55</v>
      </c>
      <c r="P45" s="41" t="s">
        <v>55</v>
      </c>
      <c r="Q45" s="41" t="s">
        <v>55</v>
      </c>
      <c r="R45" s="41" t="s">
        <v>55</v>
      </c>
      <c r="S45" s="41" t="s">
        <v>55</v>
      </c>
      <c r="T45" s="41" t="s">
        <v>55</v>
      </c>
      <c r="U45" s="49" t="s">
        <v>55</v>
      </c>
      <c r="V45" s="50" t="s">
        <v>55</v>
      </c>
      <c r="W45" s="50" t="s">
        <v>55</v>
      </c>
      <c r="X45" s="50" t="s">
        <v>55</v>
      </c>
      <c r="Y45" s="50" t="s">
        <v>55</v>
      </c>
      <c r="Z45" s="50" t="s">
        <v>55</v>
      </c>
      <c r="AA45" s="50" t="s">
        <v>55</v>
      </c>
      <c r="AB45" s="56" t="s">
        <v>55</v>
      </c>
      <c r="AC45" s="56" t="s">
        <v>55</v>
      </c>
      <c r="AD45" s="56" t="s">
        <v>55</v>
      </c>
      <c r="AE45" s="56" t="s">
        <v>55</v>
      </c>
      <c r="AF45" s="56" t="s">
        <v>55</v>
      </c>
      <c r="AG45" s="63" t="s">
        <v>55</v>
      </c>
      <c r="AH45" s="63" t="s">
        <v>55</v>
      </c>
      <c r="AI45" s="63" t="s">
        <v>55</v>
      </c>
      <c r="AJ45" s="63" t="s">
        <v>55</v>
      </c>
      <c r="AK45" s="63" t="s">
        <v>55</v>
      </c>
      <c r="AL45" s="63" t="s">
        <v>55</v>
      </c>
      <c r="AM45" s="7">
        <v>-3213</v>
      </c>
      <c r="AN45" s="7" t="s">
        <v>55</v>
      </c>
      <c r="AO45" s="7">
        <v>74603</v>
      </c>
      <c r="AP45" s="7">
        <v>77816</v>
      </c>
      <c r="AQ45" s="17">
        <v>74603</v>
      </c>
      <c r="AR45" s="18">
        <v>72021</v>
      </c>
      <c r="AS45" s="18" t="s">
        <v>55</v>
      </c>
      <c r="AT45" s="18" t="s">
        <v>55</v>
      </c>
      <c r="AU45" s="18">
        <v>2582</v>
      </c>
      <c r="AV45" s="17">
        <v>77816</v>
      </c>
      <c r="AW45" s="18">
        <v>37265</v>
      </c>
      <c r="AX45" s="18">
        <v>7975</v>
      </c>
      <c r="AY45" s="18" t="s">
        <v>55</v>
      </c>
      <c r="AZ45" s="18" t="s">
        <v>55</v>
      </c>
      <c r="BA45" s="18">
        <v>32576</v>
      </c>
      <c r="BB45" s="18">
        <v>-3213</v>
      </c>
      <c r="BC45" s="68"/>
      <c r="BD45" s="69"/>
      <c r="BE45" s="69"/>
      <c r="BF45" s="69"/>
      <c r="BG45" s="69"/>
      <c r="BH45" s="69"/>
      <c r="BI45" s="133"/>
      <c r="BJ45" s="134"/>
      <c r="BK45" s="134"/>
      <c r="BL45" s="134"/>
      <c r="BM45" s="134"/>
      <c r="BN45" s="134"/>
      <c r="BO45" s="134"/>
      <c r="BP45" s="139"/>
      <c r="BQ45" s="140"/>
      <c r="BR45" s="140"/>
      <c r="BS45" s="140"/>
      <c r="BT45" s="140"/>
      <c r="BU45" s="141"/>
      <c r="BV45" s="142"/>
      <c r="BW45" s="142"/>
      <c r="BX45" s="142"/>
      <c r="BY45" s="142"/>
      <c r="BZ45" s="142"/>
      <c r="CA45" s="17">
        <v>-3213</v>
      </c>
      <c r="CB45" s="18" t="s">
        <v>55</v>
      </c>
      <c r="CC45" s="18">
        <v>74603</v>
      </c>
      <c r="CD45" s="18">
        <v>77816</v>
      </c>
      <c r="CE45" s="22">
        <f t="shared" si="1"/>
        <v>0</v>
      </c>
      <c r="CF45" s="22">
        <f t="shared" si="2"/>
        <v>0</v>
      </c>
      <c r="CG45" s="22" t="e">
        <f t="shared" si="3"/>
        <v>#VALUE!</v>
      </c>
      <c r="CH45" s="22" t="e">
        <f t="shared" si="4"/>
        <v>#VALUE!</v>
      </c>
      <c r="CI45" s="22">
        <f t="shared" si="5"/>
        <v>0</v>
      </c>
      <c r="CJ45" s="22">
        <f t="shared" si="6"/>
        <v>0</v>
      </c>
      <c r="CK45" s="22">
        <f t="shared" si="7"/>
        <v>0</v>
      </c>
      <c r="CL45" s="22">
        <f t="shared" si="8"/>
        <v>0</v>
      </c>
      <c r="CM45" s="22" t="e">
        <f t="shared" si="9"/>
        <v>#VALUE!</v>
      </c>
      <c r="CN45" s="22" t="e">
        <f t="shared" si="10"/>
        <v>#VALUE!</v>
      </c>
      <c r="CO45" s="22">
        <f t="shared" si="11"/>
        <v>0</v>
      </c>
      <c r="CP45" s="22">
        <f t="shared" si="12"/>
        <v>0</v>
      </c>
      <c r="CQ45" s="22" t="e">
        <f t="shared" si="13"/>
        <v>#VALUE!</v>
      </c>
      <c r="CR45" s="22" t="e">
        <f t="shared" si="14"/>
        <v>#VALUE!</v>
      </c>
      <c r="CS45" s="22" t="e">
        <f t="shared" si="15"/>
        <v>#VALUE!</v>
      </c>
      <c r="CT45" s="22" t="e">
        <f t="shared" si="16"/>
        <v>#VALUE!</v>
      </c>
      <c r="CU45" s="22" t="e">
        <f t="shared" si="17"/>
        <v>#VALUE!</v>
      </c>
      <c r="CV45" s="22" t="e">
        <f t="shared" si="18"/>
        <v>#VALUE!</v>
      </c>
      <c r="CW45" s="22" t="e">
        <f t="shared" si="19"/>
        <v>#VALUE!</v>
      </c>
      <c r="CX45" s="22" t="e">
        <f t="shared" si="20"/>
        <v>#VALUE!</v>
      </c>
      <c r="CY45" s="22" t="e">
        <f t="shared" si="21"/>
        <v>#VALUE!</v>
      </c>
      <c r="CZ45" s="22" t="e">
        <f t="shared" si="22"/>
        <v>#VALUE!</v>
      </c>
      <c r="DA45" s="22" t="e">
        <f t="shared" si="23"/>
        <v>#VALUE!</v>
      </c>
      <c r="DB45" s="22" t="e">
        <f t="shared" si="24"/>
        <v>#VALUE!</v>
      </c>
      <c r="DC45" s="22" t="e">
        <f t="shared" si="25"/>
        <v>#VALUE!</v>
      </c>
      <c r="DD45" s="22" t="e">
        <f t="shared" si="26"/>
        <v>#VALUE!</v>
      </c>
      <c r="DE45" s="22" t="e">
        <f t="shared" si="27"/>
        <v>#VALUE!</v>
      </c>
      <c r="DF45" s="22" t="e">
        <f t="shared" si="28"/>
        <v>#VALUE!</v>
      </c>
      <c r="DG45" s="22" t="e">
        <f t="shared" si="29"/>
        <v>#VALUE!</v>
      </c>
      <c r="DH45" s="22" t="e">
        <f t="shared" si="30"/>
        <v>#VALUE!</v>
      </c>
      <c r="DI45" s="22" t="e">
        <f t="shared" si="31"/>
        <v>#VALUE!</v>
      </c>
      <c r="DJ45" s="22" t="e">
        <f t="shared" si="32"/>
        <v>#VALUE!</v>
      </c>
      <c r="DK45" s="22" t="e">
        <f t="shared" si="33"/>
        <v>#VALUE!</v>
      </c>
      <c r="DL45" s="22" t="e">
        <f t="shared" si="34"/>
        <v>#VALUE!</v>
      </c>
      <c r="DM45" s="22" t="e">
        <f t="shared" si="35"/>
        <v>#VALUE!</v>
      </c>
      <c r="DN45" s="22" t="e">
        <f t="shared" si="36"/>
        <v>#VALUE!</v>
      </c>
      <c r="DO45" s="22">
        <f t="shared" si="37"/>
        <v>0</v>
      </c>
      <c r="DP45" s="22" t="e">
        <f t="shared" si="38"/>
        <v>#VALUE!</v>
      </c>
      <c r="DQ45" s="22">
        <f t="shared" si="39"/>
        <v>0</v>
      </c>
      <c r="DR45" s="22">
        <f t="shared" si="40"/>
        <v>0</v>
      </c>
    </row>
    <row r="46" spans="1:122" ht="26.25">
      <c r="A46" s="11" t="s">
        <v>159</v>
      </c>
      <c r="B46" s="12" t="s">
        <v>104</v>
      </c>
      <c r="C46" s="26">
        <v>140</v>
      </c>
      <c r="D46" s="26" t="s">
        <v>55</v>
      </c>
      <c r="E46" s="26" t="s">
        <v>55</v>
      </c>
      <c r="F46" s="26" t="s">
        <v>55</v>
      </c>
      <c r="G46" s="26">
        <v>140</v>
      </c>
      <c r="H46" s="33">
        <v>28671</v>
      </c>
      <c r="I46" s="33">
        <v>6471</v>
      </c>
      <c r="J46" s="33">
        <v>10401</v>
      </c>
      <c r="K46" s="33" t="s">
        <v>55</v>
      </c>
      <c r="L46" s="33" t="s">
        <v>55</v>
      </c>
      <c r="M46" s="33">
        <v>11799</v>
      </c>
      <c r="N46" s="33">
        <v>-28531</v>
      </c>
      <c r="O46" s="40" t="s">
        <v>55</v>
      </c>
      <c r="P46" s="40" t="s">
        <v>55</v>
      </c>
      <c r="Q46" s="40" t="s">
        <v>55</v>
      </c>
      <c r="R46" s="40" t="s">
        <v>55</v>
      </c>
      <c r="S46" s="40" t="s">
        <v>55</v>
      </c>
      <c r="T46" s="40" t="s">
        <v>55</v>
      </c>
      <c r="U46" s="47" t="s">
        <v>55</v>
      </c>
      <c r="V46" s="48" t="s">
        <v>55</v>
      </c>
      <c r="W46" s="48" t="s">
        <v>55</v>
      </c>
      <c r="X46" s="48" t="s">
        <v>55</v>
      </c>
      <c r="Y46" s="48" t="s">
        <v>55</v>
      </c>
      <c r="Z46" s="48" t="s">
        <v>55</v>
      </c>
      <c r="AA46" s="48" t="s">
        <v>55</v>
      </c>
      <c r="AB46" s="55" t="s">
        <v>55</v>
      </c>
      <c r="AC46" s="55" t="s">
        <v>55</v>
      </c>
      <c r="AD46" s="55" t="s">
        <v>55</v>
      </c>
      <c r="AE46" s="55" t="s">
        <v>55</v>
      </c>
      <c r="AF46" s="55" t="s">
        <v>55</v>
      </c>
      <c r="AG46" s="62" t="s">
        <v>55</v>
      </c>
      <c r="AH46" s="62" t="s">
        <v>55</v>
      </c>
      <c r="AI46" s="62" t="s">
        <v>55</v>
      </c>
      <c r="AJ46" s="62" t="s">
        <v>55</v>
      </c>
      <c r="AK46" s="62" t="s">
        <v>55</v>
      </c>
      <c r="AL46" s="62" t="s">
        <v>55</v>
      </c>
      <c r="AM46" s="13">
        <v>-28531</v>
      </c>
      <c r="AN46" s="13" t="s">
        <v>55</v>
      </c>
      <c r="AO46" s="13">
        <v>140</v>
      </c>
      <c r="AP46" s="13">
        <v>28671</v>
      </c>
      <c r="AQ46" s="17">
        <v>140</v>
      </c>
      <c r="AR46" s="18" t="s">
        <v>55</v>
      </c>
      <c r="AS46" s="18" t="s">
        <v>55</v>
      </c>
      <c r="AT46" s="18" t="s">
        <v>55</v>
      </c>
      <c r="AU46" s="18">
        <v>140</v>
      </c>
      <c r="AV46" s="17">
        <v>28671</v>
      </c>
      <c r="AW46" s="18">
        <v>6471</v>
      </c>
      <c r="AX46" s="18">
        <v>10401</v>
      </c>
      <c r="AY46" s="18" t="s">
        <v>55</v>
      </c>
      <c r="AZ46" s="18" t="s">
        <v>55</v>
      </c>
      <c r="BA46" s="18">
        <v>11799</v>
      </c>
      <c r="BB46" s="18">
        <v>-28531</v>
      </c>
      <c r="BC46" s="66"/>
      <c r="BD46" s="67"/>
      <c r="BE46" s="67"/>
      <c r="BF46" s="67"/>
      <c r="BG46" s="67"/>
      <c r="BH46" s="67"/>
      <c r="BI46" s="133"/>
      <c r="BJ46" s="134"/>
      <c r="BK46" s="134"/>
      <c r="BL46" s="134"/>
      <c r="BM46" s="134"/>
      <c r="BN46" s="134"/>
      <c r="BO46" s="134"/>
      <c r="BP46" s="139"/>
      <c r="BQ46" s="140"/>
      <c r="BR46" s="140"/>
      <c r="BS46" s="140"/>
      <c r="BT46" s="140"/>
      <c r="BU46" s="143"/>
      <c r="BV46" s="144"/>
      <c r="BW46" s="144"/>
      <c r="BX46" s="144"/>
      <c r="BY46" s="144"/>
      <c r="BZ46" s="144"/>
      <c r="CA46" s="17">
        <v>-28531</v>
      </c>
      <c r="CB46" s="18" t="s">
        <v>55</v>
      </c>
      <c r="CC46" s="18">
        <v>140</v>
      </c>
      <c r="CD46" s="18">
        <v>28671</v>
      </c>
      <c r="CE46" s="22">
        <f t="shared" si="1"/>
        <v>0</v>
      </c>
      <c r="CF46" s="22" t="e">
        <f t="shared" si="2"/>
        <v>#VALUE!</v>
      </c>
      <c r="CG46" s="22" t="e">
        <f t="shared" si="3"/>
        <v>#VALUE!</v>
      </c>
      <c r="CH46" s="22" t="e">
        <f t="shared" si="4"/>
        <v>#VALUE!</v>
      </c>
      <c r="CI46" s="22">
        <f t="shared" si="5"/>
        <v>0</v>
      </c>
      <c r="CJ46" s="22">
        <f t="shared" si="6"/>
        <v>0</v>
      </c>
      <c r="CK46" s="22">
        <f t="shared" si="7"/>
        <v>0</v>
      </c>
      <c r="CL46" s="22">
        <f t="shared" si="8"/>
        <v>0</v>
      </c>
      <c r="CM46" s="22" t="e">
        <f t="shared" si="9"/>
        <v>#VALUE!</v>
      </c>
      <c r="CN46" s="22" t="e">
        <f t="shared" si="10"/>
        <v>#VALUE!</v>
      </c>
      <c r="CO46" s="22">
        <f t="shared" si="11"/>
        <v>0</v>
      </c>
      <c r="CP46" s="22">
        <f t="shared" si="12"/>
        <v>0</v>
      </c>
      <c r="CQ46" s="22" t="e">
        <f t="shared" si="13"/>
        <v>#VALUE!</v>
      </c>
      <c r="CR46" s="22" t="e">
        <f t="shared" si="14"/>
        <v>#VALUE!</v>
      </c>
      <c r="CS46" s="22" t="e">
        <f t="shared" si="15"/>
        <v>#VALUE!</v>
      </c>
      <c r="CT46" s="22" t="e">
        <f t="shared" si="16"/>
        <v>#VALUE!</v>
      </c>
      <c r="CU46" s="22" t="e">
        <f t="shared" si="17"/>
        <v>#VALUE!</v>
      </c>
      <c r="CV46" s="22" t="e">
        <f t="shared" si="18"/>
        <v>#VALUE!</v>
      </c>
      <c r="CW46" s="22" t="e">
        <f t="shared" si="19"/>
        <v>#VALUE!</v>
      </c>
      <c r="CX46" s="22" t="e">
        <f t="shared" si="20"/>
        <v>#VALUE!</v>
      </c>
      <c r="CY46" s="22" t="e">
        <f t="shared" si="21"/>
        <v>#VALUE!</v>
      </c>
      <c r="CZ46" s="22" t="e">
        <f t="shared" si="22"/>
        <v>#VALUE!</v>
      </c>
      <c r="DA46" s="22" t="e">
        <f t="shared" si="23"/>
        <v>#VALUE!</v>
      </c>
      <c r="DB46" s="22" t="e">
        <f t="shared" si="24"/>
        <v>#VALUE!</v>
      </c>
      <c r="DC46" s="22" t="e">
        <f t="shared" si="25"/>
        <v>#VALUE!</v>
      </c>
      <c r="DD46" s="22" t="e">
        <f t="shared" si="26"/>
        <v>#VALUE!</v>
      </c>
      <c r="DE46" s="22" t="e">
        <f t="shared" si="27"/>
        <v>#VALUE!</v>
      </c>
      <c r="DF46" s="22" t="e">
        <f t="shared" si="28"/>
        <v>#VALUE!</v>
      </c>
      <c r="DG46" s="22" t="e">
        <f t="shared" si="29"/>
        <v>#VALUE!</v>
      </c>
      <c r="DH46" s="22" t="e">
        <f t="shared" si="30"/>
        <v>#VALUE!</v>
      </c>
      <c r="DI46" s="22" t="e">
        <f t="shared" si="31"/>
        <v>#VALUE!</v>
      </c>
      <c r="DJ46" s="22" t="e">
        <f t="shared" si="32"/>
        <v>#VALUE!</v>
      </c>
      <c r="DK46" s="22" t="e">
        <f t="shared" si="33"/>
        <v>#VALUE!</v>
      </c>
      <c r="DL46" s="22" t="e">
        <f t="shared" si="34"/>
        <v>#VALUE!</v>
      </c>
      <c r="DM46" s="22" t="e">
        <f t="shared" si="35"/>
        <v>#VALUE!</v>
      </c>
      <c r="DN46" s="22" t="e">
        <f t="shared" si="36"/>
        <v>#VALUE!</v>
      </c>
      <c r="DO46" s="22">
        <f t="shared" si="37"/>
        <v>0</v>
      </c>
      <c r="DP46" s="22" t="e">
        <f t="shared" si="38"/>
        <v>#VALUE!</v>
      </c>
      <c r="DQ46" s="22">
        <f t="shared" si="39"/>
        <v>0</v>
      </c>
      <c r="DR46" s="22">
        <f t="shared" si="40"/>
        <v>0</v>
      </c>
    </row>
    <row r="47" spans="1:122" s="14" customFormat="1" ht="26.25">
      <c r="A47" s="2" t="s">
        <v>105</v>
      </c>
      <c r="B47" s="3" t="s">
        <v>106</v>
      </c>
      <c r="C47" s="27">
        <v>140</v>
      </c>
      <c r="D47" s="27" t="s">
        <v>55</v>
      </c>
      <c r="E47" s="27" t="s">
        <v>55</v>
      </c>
      <c r="F47" s="27" t="s">
        <v>55</v>
      </c>
      <c r="G47" s="27">
        <v>140</v>
      </c>
      <c r="H47" s="34">
        <v>28671</v>
      </c>
      <c r="I47" s="34">
        <v>6471</v>
      </c>
      <c r="J47" s="34">
        <v>10401</v>
      </c>
      <c r="K47" s="34" t="s">
        <v>55</v>
      </c>
      <c r="L47" s="34" t="s">
        <v>55</v>
      </c>
      <c r="M47" s="34">
        <v>11799</v>
      </c>
      <c r="N47" s="34">
        <v>-28531</v>
      </c>
      <c r="O47" s="41" t="s">
        <v>55</v>
      </c>
      <c r="P47" s="41" t="s">
        <v>55</v>
      </c>
      <c r="Q47" s="41" t="s">
        <v>55</v>
      </c>
      <c r="R47" s="41" t="s">
        <v>55</v>
      </c>
      <c r="S47" s="41" t="s">
        <v>55</v>
      </c>
      <c r="T47" s="41" t="s">
        <v>55</v>
      </c>
      <c r="U47" s="49" t="s">
        <v>55</v>
      </c>
      <c r="V47" s="50" t="s">
        <v>55</v>
      </c>
      <c r="W47" s="50" t="s">
        <v>55</v>
      </c>
      <c r="X47" s="50" t="s">
        <v>55</v>
      </c>
      <c r="Y47" s="50" t="s">
        <v>55</v>
      </c>
      <c r="Z47" s="50" t="s">
        <v>55</v>
      </c>
      <c r="AA47" s="50" t="s">
        <v>55</v>
      </c>
      <c r="AB47" s="56" t="s">
        <v>55</v>
      </c>
      <c r="AC47" s="56" t="s">
        <v>55</v>
      </c>
      <c r="AD47" s="56" t="s">
        <v>55</v>
      </c>
      <c r="AE47" s="56" t="s">
        <v>55</v>
      </c>
      <c r="AF47" s="56" t="s">
        <v>55</v>
      </c>
      <c r="AG47" s="63" t="s">
        <v>55</v>
      </c>
      <c r="AH47" s="63" t="s">
        <v>55</v>
      </c>
      <c r="AI47" s="63" t="s">
        <v>55</v>
      </c>
      <c r="AJ47" s="63" t="s">
        <v>55</v>
      </c>
      <c r="AK47" s="63" t="s">
        <v>55</v>
      </c>
      <c r="AL47" s="63" t="s">
        <v>55</v>
      </c>
      <c r="AM47" s="7">
        <v>-28531</v>
      </c>
      <c r="AN47" s="7" t="s">
        <v>55</v>
      </c>
      <c r="AO47" s="7">
        <v>140</v>
      </c>
      <c r="AP47" s="7">
        <v>28671</v>
      </c>
      <c r="AQ47" s="17">
        <v>140</v>
      </c>
      <c r="AR47" s="18" t="s">
        <v>55</v>
      </c>
      <c r="AS47" s="18" t="s">
        <v>55</v>
      </c>
      <c r="AT47" s="18" t="s">
        <v>55</v>
      </c>
      <c r="AU47" s="18">
        <v>140</v>
      </c>
      <c r="AV47" s="17">
        <v>28671</v>
      </c>
      <c r="AW47" s="18">
        <v>6471</v>
      </c>
      <c r="AX47" s="18">
        <v>10401</v>
      </c>
      <c r="AY47" s="18" t="s">
        <v>55</v>
      </c>
      <c r="AZ47" s="18" t="s">
        <v>55</v>
      </c>
      <c r="BA47" s="18">
        <v>11799</v>
      </c>
      <c r="BB47" s="18">
        <v>-28531</v>
      </c>
      <c r="BC47" s="68"/>
      <c r="BD47" s="69"/>
      <c r="BE47" s="69"/>
      <c r="BF47" s="69"/>
      <c r="BG47" s="69"/>
      <c r="BH47" s="69"/>
      <c r="BI47" s="133"/>
      <c r="BJ47" s="134"/>
      <c r="BK47" s="134"/>
      <c r="BL47" s="134"/>
      <c r="BM47" s="134"/>
      <c r="BN47" s="134"/>
      <c r="BO47" s="134"/>
      <c r="BP47" s="139"/>
      <c r="BQ47" s="140"/>
      <c r="BR47" s="140"/>
      <c r="BS47" s="140"/>
      <c r="BT47" s="140"/>
      <c r="BU47" s="143"/>
      <c r="BV47" s="144"/>
      <c r="BW47" s="144"/>
      <c r="BX47" s="144"/>
      <c r="BY47" s="144"/>
      <c r="BZ47" s="144"/>
      <c r="CA47" s="17">
        <v>-28531</v>
      </c>
      <c r="CB47" s="18" t="s">
        <v>55</v>
      </c>
      <c r="CC47" s="18">
        <v>140</v>
      </c>
      <c r="CD47" s="18">
        <v>28671</v>
      </c>
      <c r="CE47" s="22">
        <f t="shared" si="1"/>
        <v>0</v>
      </c>
      <c r="CF47" s="22" t="e">
        <f t="shared" si="2"/>
        <v>#VALUE!</v>
      </c>
      <c r="CG47" s="22" t="e">
        <f t="shared" si="3"/>
        <v>#VALUE!</v>
      </c>
      <c r="CH47" s="22" t="e">
        <f t="shared" si="4"/>
        <v>#VALUE!</v>
      </c>
      <c r="CI47" s="22">
        <f t="shared" si="5"/>
        <v>0</v>
      </c>
      <c r="CJ47" s="22">
        <f t="shared" si="6"/>
        <v>0</v>
      </c>
      <c r="CK47" s="22">
        <f t="shared" si="7"/>
        <v>0</v>
      </c>
      <c r="CL47" s="22">
        <f t="shared" si="8"/>
        <v>0</v>
      </c>
      <c r="CM47" s="22" t="e">
        <f t="shared" si="9"/>
        <v>#VALUE!</v>
      </c>
      <c r="CN47" s="22" t="e">
        <f t="shared" si="10"/>
        <v>#VALUE!</v>
      </c>
      <c r="CO47" s="22">
        <f t="shared" si="11"/>
        <v>0</v>
      </c>
      <c r="CP47" s="22">
        <f t="shared" si="12"/>
        <v>0</v>
      </c>
      <c r="CQ47" s="22" t="e">
        <f t="shared" si="13"/>
        <v>#VALUE!</v>
      </c>
      <c r="CR47" s="22" t="e">
        <f t="shared" si="14"/>
        <v>#VALUE!</v>
      </c>
      <c r="CS47" s="22" t="e">
        <f t="shared" si="15"/>
        <v>#VALUE!</v>
      </c>
      <c r="CT47" s="22" t="e">
        <f t="shared" si="16"/>
        <v>#VALUE!</v>
      </c>
      <c r="CU47" s="22" t="e">
        <f t="shared" si="17"/>
        <v>#VALUE!</v>
      </c>
      <c r="CV47" s="22" t="e">
        <f t="shared" si="18"/>
        <v>#VALUE!</v>
      </c>
      <c r="CW47" s="22" t="e">
        <f t="shared" si="19"/>
        <v>#VALUE!</v>
      </c>
      <c r="CX47" s="22" t="e">
        <f t="shared" si="20"/>
        <v>#VALUE!</v>
      </c>
      <c r="CY47" s="22" t="e">
        <f t="shared" si="21"/>
        <v>#VALUE!</v>
      </c>
      <c r="CZ47" s="22" t="e">
        <f t="shared" si="22"/>
        <v>#VALUE!</v>
      </c>
      <c r="DA47" s="22" t="e">
        <f t="shared" si="23"/>
        <v>#VALUE!</v>
      </c>
      <c r="DB47" s="22" t="e">
        <f t="shared" si="24"/>
        <v>#VALUE!</v>
      </c>
      <c r="DC47" s="22" t="e">
        <f t="shared" si="25"/>
        <v>#VALUE!</v>
      </c>
      <c r="DD47" s="22" t="e">
        <f t="shared" si="26"/>
        <v>#VALUE!</v>
      </c>
      <c r="DE47" s="22" t="e">
        <f t="shared" si="27"/>
        <v>#VALUE!</v>
      </c>
      <c r="DF47" s="22" t="e">
        <f t="shared" si="28"/>
        <v>#VALUE!</v>
      </c>
      <c r="DG47" s="22" t="e">
        <f t="shared" si="29"/>
        <v>#VALUE!</v>
      </c>
      <c r="DH47" s="22" t="e">
        <f t="shared" si="30"/>
        <v>#VALUE!</v>
      </c>
      <c r="DI47" s="22" t="e">
        <f t="shared" si="31"/>
        <v>#VALUE!</v>
      </c>
      <c r="DJ47" s="22" t="e">
        <f t="shared" si="32"/>
        <v>#VALUE!</v>
      </c>
      <c r="DK47" s="22" t="e">
        <f t="shared" si="33"/>
        <v>#VALUE!</v>
      </c>
      <c r="DL47" s="22" t="e">
        <f t="shared" si="34"/>
        <v>#VALUE!</v>
      </c>
      <c r="DM47" s="22" t="e">
        <f t="shared" si="35"/>
        <v>#VALUE!</v>
      </c>
      <c r="DN47" s="22" t="e">
        <f t="shared" si="36"/>
        <v>#VALUE!</v>
      </c>
      <c r="DO47" s="22">
        <f t="shared" si="37"/>
        <v>0</v>
      </c>
      <c r="DP47" s="22" t="e">
        <f t="shared" si="38"/>
        <v>#VALUE!</v>
      </c>
      <c r="DQ47" s="22">
        <f t="shared" si="39"/>
        <v>0</v>
      </c>
      <c r="DR47" s="22">
        <f t="shared" si="40"/>
        <v>0</v>
      </c>
    </row>
    <row r="48" spans="1:122" ht="27" thickBot="1">
      <c r="A48" s="11" t="s">
        <v>160</v>
      </c>
      <c r="B48" s="12" t="s">
        <v>107</v>
      </c>
      <c r="C48" s="26">
        <v>6301524</v>
      </c>
      <c r="D48" s="26">
        <v>691</v>
      </c>
      <c r="E48" s="26" t="s">
        <v>55</v>
      </c>
      <c r="F48" s="26" t="s">
        <v>55</v>
      </c>
      <c r="G48" s="26">
        <v>6300833</v>
      </c>
      <c r="H48" s="33">
        <v>9816155</v>
      </c>
      <c r="I48" s="33">
        <v>1196712</v>
      </c>
      <c r="J48" s="33">
        <v>126997</v>
      </c>
      <c r="K48" s="33">
        <v>1950550</v>
      </c>
      <c r="L48" s="33">
        <v>31642</v>
      </c>
      <c r="M48" s="33">
        <v>6510254</v>
      </c>
      <c r="N48" s="33">
        <v>-3514631</v>
      </c>
      <c r="O48" s="40">
        <v>68314909</v>
      </c>
      <c r="P48" s="40" t="s">
        <v>55</v>
      </c>
      <c r="Q48" s="40" t="s">
        <v>55</v>
      </c>
      <c r="R48" s="40">
        <v>64034041</v>
      </c>
      <c r="S48" s="40">
        <v>4280868</v>
      </c>
      <c r="T48" s="40" t="s">
        <v>55</v>
      </c>
      <c r="U48" s="47">
        <v>75162820</v>
      </c>
      <c r="V48" s="48">
        <v>57549</v>
      </c>
      <c r="W48" s="48" t="s">
        <v>55</v>
      </c>
      <c r="X48" s="48">
        <v>75105271</v>
      </c>
      <c r="Y48" s="48" t="s">
        <v>55</v>
      </c>
      <c r="Z48" s="48" t="s">
        <v>55</v>
      </c>
      <c r="AA48" s="48">
        <v>-6847911</v>
      </c>
      <c r="AB48" s="55">
        <v>98370462</v>
      </c>
      <c r="AC48" s="55">
        <v>98370462</v>
      </c>
      <c r="AD48" s="55" t="s">
        <v>55</v>
      </c>
      <c r="AE48" s="55" t="s">
        <v>55</v>
      </c>
      <c r="AF48" s="55" t="s">
        <v>55</v>
      </c>
      <c r="AG48" s="62">
        <v>5190537</v>
      </c>
      <c r="AH48" s="62" t="s">
        <v>55</v>
      </c>
      <c r="AI48" s="62">
        <v>700000</v>
      </c>
      <c r="AJ48" s="62">
        <v>4490537</v>
      </c>
      <c r="AK48" s="62" t="s">
        <v>55</v>
      </c>
      <c r="AL48" s="62">
        <v>93179925</v>
      </c>
      <c r="AM48" s="13">
        <v>82817383</v>
      </c>
      <c r="AN48" s="13">
        <v>1259179</v>
      </c>
      <c r="AO48" s="13">
        <v>172986895</v>
      </c>
      <c r="AP48" s="13">
        <v>90169512</v>
      </c>
      <c r="AQ48" s="17">
        <v>6301524</v>
      </c>
      <c r="AR48" s="18">
        <v>691</v>
      </c>
      <c r="AS48" s="18" t="s">
        <v>55</v>
      </c>
      <c r="AT48" s="18" t="s">
        <v>55</v>
      </c>
      <c r="AU48" s="18">
        <v>6300833</v>
      </c>
      <c r="AV48" s="17">
        <v>9816155</v>
      </c>
      <c r="AW48" s="18">
        <v>1196712</v>
      </c>
      <c r="AX48" s="18">
        <v>126997</v>
      </c>
      <c r="AY48" s="18">
        <v>1950550</v>
      </c>
      <c r="AZ48" s="18">
        <v>31642</v>
      </c>
      <c r="BA48" s="18">
        <v>6510254</v>
      </c>
      <c r="BB48" s="18">
        <v>-3514631</v>
      </c>
      <c r="BC48" s="68">
        <v>68314909</v>
      </c>
      <c r="BD48" s="69" t="s">
        <v>55</v>
      </c>
      <c r="BE48" s="69" t="s">
        <v>55</v>
      </c>
      <c r="BF48" s="69">
        <v>64034041</v>
      </c>
      <c r="BG48" s="69">
        <v>4280868</v>
      </c>
      <c r="BH48" s="69" t="s">
        <v>55</v>
      </c>
      <c r="BI48" s="133">
        <v>75162820</v>
      </c>
      <c r="BJ48" s="134">
        <v>57549</v>
      </c>
      <c r="BK48" s="134" t="s">
        <v>55</v>
      </c>
      <c r="BL48" s="134">
        <v>75105271</v>
      </c>
      <c r="BM48" s="134" t="s">
        <v>55</v>
      </c>
      <c r="BN48" s="134" t="s">
        <v>55</v>
      </c>
      <c r="BO48" s="134">
        <v>-6847911</v>
      </c>
      <c r="BP48" s="139">
        <v>98370462</v>
      </c>
      <c r="BQ48" s="140">
        <v>98370462</v>
      </c>
      <c r="BR48" s="140" t="s">
        <v>55</v>
      </c>
      <c r="BS48" s="140" t="s">
        <v>55</v>
      </c>
      <c r="BT48" s="140" t="s">
        <v>55</v>
      </c>
      <c r="BU48" s="143">
        <v>5190537</v>
      </c>
      <c r="BV48" s="144" t="s">
        <v>55</v>
      </c>
      <c r="BW48" s="144">
        <v>700000</v>
      </c>
      <c r="BX48" s="144">
        <v>4490537</v>
      </c>
      <c r="BY48" s="144" t="s">
        <v>55</v>
      </c>
      <c r="BZ48" s="144">
        <v>93179925</v>
      </c>
      <c r="CA48" s="17">
        <v>82817383</v>
      </c>
      <c r="CB48" s="18">
        <v>1259179</v>
      </c>
      <c r="CC48" s="18">
        <v>172986895</v>
      </c>
      <c r="CD48" s="18">
        <v>90169512</v>
      </c>
      <c r="CE48" s="22">
        <f t="shared" si="1"/>
        <v>0</v>
      </c>
      <c r="CF48" s="22">
        <f t="shared" si="2"/>
        <v>0</v>
      </c>
      <c r="CG48" s="22" t="e">
        <f t="shared" si="3"/>
        <v>#VALUE!</v>
      </c>
      <c r="CH48" s="22" t="e">
        <f t="shared" si="4"/>
        <v>#VALUE!</v>
      </c>
      <c r="CI48" s="22">
        <f t="shared" si="5"/>
        <v>0</v>
      </c>
      <c r="CJ48" s="22">
        <f t="shared" si="6"/>
        <v>0</v>
      </c>
      <c r="CK48" s="22">
        <f t="shared" si="7"/>
        <v>0</v>
      </c>
      <c r="CL48" s="22">
        <f t="shared" si="8"/>
        <v>0</v>
      </c>
      <c r="CM48" s="22">
        <f t="shared" si="9"/>
        <v>0</v>
      </c>
      <c r="CN48" s="22">
        <f t="shared" si="10"/>
        <v>0</v>
      </c>
      <c r="CO48" s="22">
        <f t="shared" si="11"/>
        <v>0</v>
      </c>
      <c r="CP48" s="22">
        <f t="shared" si="12"/>
        <v>0</v>
      </c>
      <c r="CQ48" s="22">
        <f t="shared" si="13"/>
        <v>0</v>
      </c>
      <c r="CR48" s="22" t="e">
        <f t="shared" si="14"/>
        <v>#VALUE!</v>
      </c>
      <c r="CS48" s="22" t="e">
        <f t="shared" si="15"/>
        <v>#VALUE!</v>
      </c>
      <c r="CT48" s="22">
        <f t="shared" si="16"/>
        <v>0</v>
      </c>
      <c r="CU48" s="22">
        <f t="shared" si="17"/>
        <v>0</v>
      </c>
      <c r="CV48" s="22" t="e">
        <f t="shared" si="18"/>
        <v>#VALUE!</v>
      </c>
      <c r="CW48" s="22">
        <f t="shared" si="19"/>
        <v>0</v>
      </c>
      <c r="CX48" s="22">
        <f t="shared" si="20"/>
        <v>0</v>
      </c>
      <c r="CY48" s="22" t="e">
        <f t="shared" si="21"/>
        <v>#VALUE!</v>
      </c>
      <c r="CZ48" s="22">
        <f t="shared" si="22"/>
        <v>0</v>
      </c>
      <c r="DA48" s="22" t="e">
        <f t="shared" si="23"/>
        <v>#VALUE!</v>
      </c>
      <c r="DB48" s="22" t="e">
        <f t="shared" si="24"/>
        <v>#VALUE!</v>
      </c>
      <c r="DC48" s="22">
        <f t="shared" si="25"/>
        <v>0</v>
      </c>
      <c r="DD48" s="22">
        <f t="shared" si="26"/>
        <v>0</v>
      </c>
      <c r="DE48" s="22">
        <f t="shared" si="27"/>
        <v>0</v>
      </c>
      <c r="DF48" s="22" t="e">
        <f t="shared" si="28"/>
        <v>#VALUE!</v>
      </c>
      <c r="DG48" s="22" t="e">
        <f t="shared" si="29"/>
        <v>#VALUE!</v>
      </c>
      <c r="DH48" s="22" t="e">
        <f t="shared" si="30"/>
        <v>#VALUE!</v>
      </c>
      <c r="DI48" s="22">
        <f t="shared" si="31"/>
        <v>0</v>
      </c>
      <c r="DJ48" s="22" t="e">
        <f t="shared" si="32"/>
        <v>#VALUE!</v>
      </c>
      <c r="DK48" s="22">
        <f t="shared" si="33"/>
        <v>0</v>
      </c>
      <c r="DL48" s="22">
        <f t="shared" si="34"/>
        <v>0</v>
      </c>
      <c r="DM48" s="22" t="e">
        <f t="shared" si="35"/>
        <v>#VALUE!</v>
      </c>
      <c r="DN48" s="22">
        <f t="shared" si="36"/>
        <v>0</v>
      </c>
      <c r="DO48" s="22">
        <f t="shared" si="37"/>
        <v>0</v>
      </c>
      <c r="DP48" s="22">
        <f t="shared" si="38"/>
        <v>0</v>
      </c>
      <c r="DQ48" s="22">
        <f t="shared" si="39"/>
        <v>0</v>
      </c>
      <c r="DR48" s="22">
        <f t="shared" si="40"/>
        <v>0</v>
      </c>
    </row>
    <row r="49" spans="1:122" ht="51.75">
      <c r="A49" s="2" t="s">
        <v>108</v>
      </c>
      <c r="B49" s="3" t="s">
        <v>109</v>
      </c>
      <c r="C49" s="27">
        <v>6301524</v>
      </c>
      <c r="D49" s="27">
        <v>691</v>
      </c>
      <c r="E49" s="27" t="s">
        <v>55</v>
      </c>
      <c r="F49" s="27" t="s">
        <v>55</v>
      </c>
      <c r="G49" s="27">
        <v>6300833</v>
      </c>
      <c r="H49" s="34">
        <v>9816155</v>
      </c>
      <c r="I49" s="34">
        <v>1196712</v>
      </c>
      <c r="J49" s="34">
        <v>126997</v>
      </c>
      <c r="K49" s="34">
        <v>1950550</v>
      </c>
      <c r="L49" s="34">
        <v>31642</v>
      </c>
      <c r="M49" s="34">
        <v>6510254</v>
      </c>
      <c r="N49" s="34">
        <v>-3514631</v>
      </c>
      <c r="O49" s="41">
        <v>68314909</v>
      </c>
      <c r="P49" s="41" t="s">
        <v>55</v>
      </c>
      <c r="Q49" s="41" t="s">
        <v>55</v>
      </c>
      <c r="R49" s="41">
        <v>64034041</v>
      </c>
      <c r="S49" s="41">
        <v>4280868</v>
      </c>
      <c r="T49" s="41" t="s">
        <v>55</v>
      </c>
      <c r="U49" s="49">
        <v>75162820</v>
      </c>
      <c r="V49" s="50">
        <v>57549</v>
      </c>
      <c r="W49" s="50" t="s">
        <v>55</v>
      </c>
      <c r="X49" s="50">
        <v>75105271</v>
      </c>
      <c r="Y49" s="50" t="s">
        <v>55</v>
      </c>
      <c r="Z49" s="50" t="s">
        <v>55</v>
      </c>
      <c r="AA49" s="50">
        <v>-6847911</v>
      </c>
      <c r="AB49" s="56">
        <v>98370462</v>
      </c>
      <c r="AC49" s="56">
        <v>98370462</v>
      </c>
      <c r="AD49" s="56" t="s">
        <v>55</v>
      </c>
      <c r="AE49" s="56" t="s">
        <v>55</v>
      </c>
      <c r="AF49" s="56" t="s">
        <v>55</v>
      </c>
      <c r="AG49" s="63">
        <v>5190537</v>
      </c>
      <c r="AH49" s="63" t="s">
        <v>55</v>
      </c>
      <c r="AI49" s="63">
        <v>700000</v>
      </c>
      <c r="AJ49" s="63">
        <v>4490537</v>
      </c>
      <c r="AK49" s="63" t="s">
        <v>55</v>
      </c>
      <c r="AL49" s="63">
        <v>93179925</v>
      </c>
      <c r="AM49" s="7">
        <v>82817383</v>
      </c>
      <c r="AN49" s="7">
        <v>1259179</v>
      </c>
      <c r="AO49" s="7">
        <v>172986895</v>
      </c>
      <c r="AP49" s="7">
        <v>90169512</v>
      </c>
      <c r="AQ49" s="17">
        <v>6301524</v>
      </c>
      <c r="AR49" s="18">
        <v>691</v>
      </c>
      <c r="AS49" s="18" t="s">
        <v>55</v>
      </c>
      <c r="AT49" s="18" t="s">
        <v>55</v>
      </c>
      <c r="AU49" s="18">
        <v>6300833</v>
      </c>
      <c r="AV49" s="15">
        <v>9816155</v>
      </c>
      <c r="AW49" s="21">
        <v>1196712</v>
      </c>
      <c r="AX49" s="21">
        <v>126997</v>
      </c>
      <c r="AY49" s="21">
        <v>1950550</v>
      </c>
      <c r="AZ49" s="21">
        <v>31642</v>
      </c>
      <c r="BA49" s="21">
        <v>6510254</v>
      </c>
      <c r="BB49" s="21">
        <v>-3514631</v>
      </c>
      <c r="BC49" s="68">
        <v>68314909</v>
      </c>
      <c r="BD49" s="69" t="s">
        <v>55</v>
      </c>
      <c r="BE49" s="69" t="s">
        <v>55</v>
      </c>
      <c r="BF49" s="69">
        <v>64034041</v>
      </c>
      <c r="BG49" s="69">
        <v>4280868</v>
      </c>
      <c r="BH49" s="69" t="s">
        <v>55</v>
      </c>
      <c r="BI49" s="15">
        <v>75162820</v>
      </c>
      <c r="BJ49" s="21">
        <v>57549</v>
      </c>
      <c r="BK49" s="21" t="s">
        <v>55</v>
      </c>
      <c r="BL49" s="21">
        <v>75105271</v>
      </c>
      <c r="BM49" s="21" t="s">
        <v>55</v>
      </c>
      <c r="BN49" s="21" t="s">
        <v>55</v>
      </c>
      <c r="BO49" s="21">
        <v>-6847911</v>
      </c>
      <c r="BP49" s="139">
        <v>98370462</v>
      </c>
      <c r="BQ49" s="140">
        <v>98370462</v>
      </c>
      <c r="BR49" s="140" t="s">
        <v>55</v>
      </c>
      <c r="BS49" s="140" t="s">
        <v>55</v>
      </c>
      <c r="BT49" s="140" t="s">
        <v>55</v>
      </c>
      <c r="BU49" s="143">
        <v>5190537</v>
      </c>
      <c r="BV49" s="144" t="s">
        <v>55</v>
      </c>
      <c r="BW49" s="144">
        <v>700000</v>
      </c>
      <c r="BX49" s="144">
        <v>4490537</v>
      </c>
      <c r="BY49" s="144" t="s">
        <v>55</v>
      </c>
      <c r="BZ49" s="144">
        <v>93179925</v>
      </c>
      <c r="CA49" s="17">
        <v>82817383</v>
      </c>
      <c r="CB49" s="18">
        <v>1259179</v>
      </c>
      <c r="CC49" s="18">
        <v>172986895</v>
      </c>
      <c r="CD49" s="18">
        <v>90169512</v>
      </c>
      <c r="CE49" s="22">
        <f t="shared" si="1"/>
        <v>0</v>
      </c>
      <c r="CF49" s="22">
        <f t="shared" si="2"/>
        <v>0</v>
      </c>
      <c r="CG49" s="22" t="e">
        <f t="shared" si="3"/>
        <v>#VALUE!</v>
      </c>
      <c r="CH49" s="22" t="e">
        <f t="shared" si="4"/>
        <v>#VALUE!</v>
      </c>
      <c r="CI49" s="22">
        <f t="shared" si="5"/>
        <v>0</v>
      </c>
      <c r="CJ49" s="22">
        <f t="shared" si="6"/>
        <v>0</v>
      </c>
      <c r="CK49" s="22">
        <f t="shared" si="7"/>
        <v>0</v>
      </c>
      <c r="CL49" s="22">
        <f t="shared" si="8"/>
        <v>0</v>
      </c>
      <c r="CM49" s="22">
        <f t="shared" si="9"/>
        <v>0</v>
      </c>
      <c r="CN49" s="22">
        <f t="shared" si="10"/>
        <v>0</v>
      </c>
      <c r="CO49" s="22">
        <f t="shared" si="11"/>
        <v>0</v>
      </c>
      <c r="CP49" s="22">
        <f t="shared" si="12"/>
        <v>0</v>
      </c>
      <c r="CQ49" s="22">
        <f t="shared" si="13"/>
        <v>0</v>
      </c>
      <c r="CR49" s="22" t="e">
        <f t="shared" si="14"/>
        <v>#VALUE!</v>
      </c>
      <c r="CS49" s="22" t="e">
        <f t="shared" si="15"/>
        <v>#VALUE!</v>
      </c>
      <c r="CT49" s="22">
        <f t="shared" si="16"/>
        <v>0</v>
      </c>
      <c r="CU49" s="22">
        <f t="shared" si="17"/>
        <v>0</v>
      </c>
      <c r="CV49" s="22" t="e">
        <f t="shared" si="18"/>
        <v>#VALUE!</v>
      </c>
      <c r="CW49" s="22">
        <f t="shared" si="19"/>
        <v>0</v>
      </c>
      <c r="CX49" s="22">
        <f t="shared" si="20"/>
        <v>0</v>
      </c>
      <c r="CY49" s="22" t="e">
        <f t="shared" si="21"/>
        <v>#VALUE!</v>
      </c>
      <c r="CZ49" s="22">
        <f t="shared" si="22"/>
        <v>0</v>
      </c>
      <c r="DA49" s="22" t="e">
        <f t="shared" si="23"/>
        <v>#VALUE!</v>
      </c>
      <c r="DB49" s="22" t="e">
        <f t="shared" si="24"/>
        <v>#VALUE!</v>
      </c>
      <c r="DC49" s="22">
        <f t="shared" si="25"/>
        <v>0</v>
      </c>
      <c r="DD49" s="22">
        <f t="shared" si="26"/>
        <v>0</v>
      </c>
      <c r="DE49" s="22">
        <f t="shared" si="27"/>
        <v>0</v>
      </c>
      <c r="DF49" s="22" t="e">
        <f t="shared" si="28"/>
        <v>#VALUE!</v>
      </c>
      <c r="DG49" s="22" t="e">
        <f t="shared" si="29"/>
        <v>#VALUE!</v>
      </c>
      <c r="DH49" s="22" t="e">
        <f t="shared" si="30"/>
        <v>#VALUE!</v>
      </c>
      <c r="DI49" s="22">
        <f t="shared" si="31"/>
        <v>0</v>
      </c>
      <c r="DJ49" s="22" t="e">
        <f t="shared" si="32"/>
        <v>#VALUE!</v>
      </c>
      <c r="DK49" s="22">
        <f t="shared" si="33"/>
        <v>0</v>
      </c>
      <c r="DL49" s="22">
        <f t="shared" si="34"/>
        <v>0</v>
      </c>
      <c r="DM49" s="22" t="e">
        <f t="shared" si="35"/>
        <v>#VALUE!</v>
      </c>
      <c r="DN49" s="22">
        <f t="shared" si="36"/>
        <v>0</v>
      </c>
      <c r="DO49" s="22">
        <f t="shared" si="37"/>
        <v>0</v>
      </c>
      <c r="DP49" s="22">
        <f t="shared" si="38"/>
        <v>0</v>
      </c>
      <c r="DQ49" s="22">
        <f t="shared" si="39"/>
        <v>0</v>
      </c>
      <c r="DR49" s="22">
        <f t="shared" si="40"/>
        <v>0</v>
      </c>
    </row>
    <row r="50" spans="1:122" ht="39.75" thickBot="1">
      <c r="A50" s="11" t="s">
        <v>162</v>
      </c>
      <c r="B50" s="12" t="s">
        <v>113</v>
      </c>
      <c r="C50" s="26">
        <v>1851448</v>
      </c>
      <c r="D50" s="26">
        <v>603280</v>
      </c>
      <c r="E50" s="26">
        <v>42144</v>
      </c>
      <c r="F50" s="26" t="s">
        <v>55</v>
      </c>
      <c r="G50" s="26">
        <v>1206024</v>
      </c>
      <c r="H50" s="33">
        <v>6368025</v>
      </c>
      <c r="I50" s="33">
        <v>1486375</v>
      </c>
      <c r="J50" s="33">
        <v>3544876</v>
      </c>
      <c r="K50" s="33" t="s">
        <v>55</v>
      </c>
      <c r="L50" s="33">
        <v>6055</v>
      </c>
      <c r="M50" s="33">
        <v>1330719</v>
      </c>
      <c r="N50" s="33">
        <v>-4516577</v>
      </c>
      <c r="O50" s="40">
        <v>3494</v>
      </c>
      <c r="P50" s="40" t="s">
        <v>55</v>
      </c>
      <c r="Q50" s="40" t="s">
        <v>55</v>
      </c>
      <c r="R50" s="40">
        <v>31300</v>
      </c>
      <c r="S50" s="40">
        <v>3640</v>
      </c>
      <c r="T50" s="40" t="s">
        <v>55</v>
      </c>
      <c r="U50" s="47">
        <v>14749187</v>
      </c>
      <c r="V50" s="48">
        <v>12712627</v>
      </c>
      <c r="W50" s="48" t="s">
        <v>55</v>
      </c>
      <c r="X50" s="48">
        <v>132100</v>
      </c>
      <c r="Y50" s="48">
        <v>1887394</v>
      </c>
      <c r="Z50" s="48">
        <v>17066</v>
      </c>
      <c r="AA50" s="48">
        <v>-14714247</v>
      </c>
      <c r="AB50" s="55">
        <v>34924952</v>
      </c>
      <c r="AC50" s="55">
        <v>33686406</v>
      </c>
      <c r="AD50" s="55" t="s">
        <v>55</v>
      </c>
      <c r="AE50" s="55">
        <v>1096497</v>
      </c>
      <c r="AF50" s="55">
        <v>142049</v>
      </c>
      <c r="AG50" s="62">
        <v>14137463</v>
      </c>
      <c r="AH50" s="62" t="s">
        <v>55</v>
      </c>
      <c r="AI50" s="62">
        <v>92</v>
      </c>
      <c r="AJ50" s="62">
        <v>13818108</v>
      </c>
      <c r="AK50" s="62">
        <v>319263</v>
      </c>
      <c r="AL50" s="62">
        <v>20787489</v>
      </c>
      <c r="AM50" s="13">
        <v>1556665</v>
      </c>
      <c r="AN50" s="13" t="s">
        <v>55</v>
      </c>
      <c r="AO50" s="13">
        <v>36811340</v>
      </c>
      <c r="AP50" s="13">
        <v>35254675</v>
      </c>
      <c r="AQ50" s="17">
        <v>1851448</v>
      </c>
      <c r="AR50" s="18">
        <v>603280</v>
      </c>
      <c r="AS50" s="18">
        <v>42144</v>
      </c>
      <c r="AT50" s="18" t="s">
        <v>55</v>
      </c>
      <c r="AU50" s="18">
        <v>1206024</v>
      </c>
      <c r="AV50" s="17">
        <v>6368025</v>
      </c>
      <c r="AW50" s="18">
        <v>1486375</v>
      </c>
      <c r="AX50" s="18">
        <v>3544876</v>
      </c>
      <c r="AY50" s="18" t="s">
        <v>55</v>
      </c>
      <c r="AZ50" s="18">
        <v>6055</v>
      </c>
      <c r="BA50" s="18">
        <v>1330719</v>
      </c>
      <c r="BB50" s="18">
        <v>-4516577</v>
      </c>
      <c r="BC50" s="68">
        <v>34940</v>
      </c>
      <c r="BD50" s="69" t="s">
        <v>55</v>
      </c>
      <c r="BE50" s="69" t="s">
        <v>55</v>
      </c>
      <c r="BF50" s="69">
        <v>31300</v>
      </c>
      <c r="BG50" s="69">
        <v>3640</v>
      </c>
      <c r="BH50" s="69" t="s">
        <v>55</v>
      </c>
      <c r="BI50" s="133">
        <v>14749187</v>
      </c>
      <c r="BJ50" s="134">
        <v>12712627</v>
      </c>
      <c r="BK50" s="134" t="s">
        <v>55</v>
      </c>
      <c r="BL50" s="134">
        <v>132100</v>
      </c>
      <c r="BM50" s="134">
        <v>1887394</v>
      </c>
      <c r="BN50" s="134">
        <v>17066</v>
      </c>
      <c r="BO50" s="134">
        <v>-14714247</v>
      </c>
      <c r="BP50" s="139">
        <v>34924952</v>
      </c>
      <c r="BQ50" s="140">
        <v>33686406</v>
      </c>
      <c r="BR50" s="140" t="s">
        <v>55</v>
      </c>
      <c r="BS50" s="140">
        <v>1096497</v>
      </c>
      <c r="BT50" s="140">
        <v>142049</v>
      </c>
      <c r="BU50" s="143">
        <v>14137463</v>
      </c>
      <c r="BV50" s="144" t="s">
        <v>55</v>
      </c>
      <c r="BW50" s="144">
        <v>92</v>
      </c>
      <c r="BX50" s="144">
        <v>13818108</v>
      </c>
      <c r="BY50" s="144">
        <v>319263</v>
      </c>
      <c r="BZ50" s="144">
        <v>20787489</v>
      </c>
      <c r="CA50" s="17">
        <v>1556665</v>
      </c>
      <c r="CB50" s="18" t="s">
        <v>55</v>
      </c>
      <c r="CC50" s="18">
        <v>36811340</v>
      </c>
      <c r="CD50" s="18">
        <v>35254675</v>
      </c>
      <c r="CE50" s="22">
        <f t="shared" si="1"/>
        <v>0</v>
      </c>
      <c r="CF50" s="22">
        <f t="shared" si="2"/>
        <v>0</v>
      </c>
      <c r="CG50" s="22">
        <f t="shared" si="3"/>
        <v>0</v>
      </c>
      <c r="CH50" s="22" t="e">
        <f t="shared" si="4"/>
        <v>#VALUE!</v>
      </c>
      <c r="CI50" s="22">
        <f t="shared" si="5"/>
        <v>0</v>
      </c>
      <c r="CJ50" s="22">
        <f t="shared" si="6"/>
        <v>0</v>
      </c>
      <c r="CK50" s="22">
        <f t="shared" si="7"/>
        <v>0</v>
      </c>
      <c r="CL50" s="22">
        <f t="shared" si="8"/>
        <v>0</v>
      </c>
      <c r="CM50" s="22" t="e">
        <f t="shared" si="9"/>
        <v>#VALUE!</v>
      </c>
      <c r="CN50" s="22">
        <f t="shared" si="10"/>
        <v>0</v>
      </c>
      <c r="CO50" s="22">
        <f t="shared" si="11"/>
        <v>0</v>
      </c>
      <c r="CP50" s="22">
        <f t="shared" si="12"/>
        <v>0</v>
      </c>
      <c r="CQ50" s="22">
        <f t="shared" si="13"/>
        <v>-31446</v>
      </c>
      <c r="CR50" s="22" t="e">
        <f t="shared" si="14"/>
        <v>#VALUE!</v>
      </c>
      <c r="CS50" s="22" t="e">
        <f t="shared" si="15"/>
        <v>#VALUE!</v>
      </c>
      <c r="CT50" s="22">
        <f t="shared" si="16"/>
        <v>0</v>
      </c>
      <c r="CU50" s="22">
        <f t="shared" si="17"/>
        <v>0</v>
      </c>
      <c r="CV50" s="22" t="e">
        <f t="shared" si="18"/>
        <v>#VALUE!</v>
      </c>
      <c r="CW50" s="22">
        <f t="shared" si="19"/>
        <v>0</v>
      </c>
      <c r="CX50" s="22">
        <f t="shared" si="20"/>
        <v>0</v>
      </c>
      <c r="CY50" s="22" t="e">
        <f t="shared" si="21"/>
        <v>#VALUE!</v>
      </c>
      <c r="CZ50" s="22">
        <f t="shared" si="22"/>
        <v>0</v>
      </c>
      <c r="DA50" s="22">
        <f t="shared" si="23"/>
        <v>0</v>
      </c>
      <c r="DB50" s="22">
        <f t="shared" si="24"/>
        <v>0</v>
      </c>
      <c r="DC50" s="22">
        <f t="shared" si="25"/>
        <v>0</v>
      </c>
      <c r="DD50" s="22">
        <f t="shared" si="26"/>
        <v>0</v>
      </c>
      <c r="DE50" s="22">
        <f t="shared" si="27"/>
        <v>0</v>
      </c>
      <c r="DF50" s="22" t="e">
        <f t="shared" si="28"/>
        <v>#VALUE!</v>
      </c>
      <c r="DG50" s="22">
        <f t="shared" si="29"/>
        <v>0</v>
      </c>
      <c r="DH50" s="22">
        <f t="shared" si="30"/>
        <v>0</v>
      </c>
      <c r="DI50" s="22">
        <f t="shared" si="31"/>
        <v>0</v>
      </c>
      <c r="DJ50" s="22" t="e">
        <f t="shared" si="32"/>
        <v>#VALUE!</v>
      </c>
      <c r="DK50" s="22">
        <f t="shared" si="33"/>
        <v>0</v>
      </c>
      <c r="DL50" s="22">
        <f t="shared" si="34"/>
        <v>0</v>
      </c>
      <c r="DM50" s="22">
        <f t="shared" si="35"/>
        <v>0</v>
      </c>
      <c r="DN50" s="22">
        <f t="shared" si="36"/>
        <v>0</v>
      </c>
      <c r="DO50" s="22">
        <f t="shared" si="37"/>
        <v>0</v>
      </c>
      <c r="DP50" s="22" t="e">
        <f t="shared" si="38"/>
        <v>#VALUE!</v>
      </c>
      <c r="DQ50" s="22">
        <f t="shared" si="39"/>
        <v>0</v>
      </c>
      <c r="DR50" s="22">
        <f t="shared" si="40"/>
        <v>0</v>
      </c>
    </row>
    <row r="51" spans="1:122" ht="27" thickBot="1">
      <c r="A51" s="2" t="s">
        <v>114</v>
      </c>
      <c r="B51" s="3" t="s">
        <v>115</v>
      </c>
      <c r="C51" s="27">
        <v>565</v>
      </c>
      <c r="D51" s="27">
        <v>394</v>
      </c>
      <c r="E51" s="27" t="s">
        <v>55</v>
      </c>
      <c r="F51" s="27" t="s">
        <v>55</v>
      </c>
      <c r="G51" s="27">
        <v>171</v>
      </c>
      <c r="H51" s="34">
        <v>530</v>
      </c>
      <c r="I51" s="34">
        <v>67</v>
      </c>
      <c r="J51" s="34">
        <v>21</v>
      </c>
      <c r="K51" s="34" t="s">
        <v>55</v>
      </c>
      <c r="L51" s="34" t="s">
        <v>55</v>
      </c>
      <c r="M51" s="34">
        <v>442</v>
      </c>
      <c r="N51" s="34">
        <v>35</v>
      </c>
      <c r="O51" s="41" t="s">
        <v>55</v>
      </c>
      <c r="P51" s="41" t="s">
        <v>55</v>
      </c>
      <c r="Q51" s="41" t="s">
        <v>55</v>
      </c>
      <c r="R51" s="41" t="s">
        <v>55</v>
      </c>
      <c r="S51" s="41" t="s">
        <v>55</v>
      </c>
      <c r="T51" s="41" t="s">
        <v>55</v>
      </c>
      <c r="U51" s="49" t="s">
        <v>55</v>
      </c>
      <c r="V51" s="50" t="s">
        <v>55</v>
      </c>
      <c r="W51" s="50" t="s">
        <v>55</v>
      </c>
      <c r="X51" s="50" t="s">
        <v>55</v>
      </c>
      <c r="Y51" s="50" t="s">
        <v>55</v>
      </c>
      <c r="Z51" s="50" t="s">
        <v>55</v>
      </c>
      <c r="AA51" s="50" t="s">
        <v>55</v>
      </c>
      <c r="AB51" s="56" t="s">
        <v>55</v>
      </c>
      <c r="AC51" s="56" t="s">
        <v>55</v>
      </c>
      <c r="AD51" s="56" t="s">
        <v>55</v>
      </c>
      <c r="AE51" s="56" t="s">
        <v>55</v>
      </c>
      <c r="AF51" s="56" t="s">
        <v>55</v>
      </c>
      <c r="AG51" s="63" t="s">
        <v>55</v>
      </c>
      <c r="AH51" s="63" t="s">
        <v>55</v>
      </c>
      <c r="AI51" s="63" t="s">
        <v>55</v>
      </c>
      <c r="AJ51" s="63" t="s">
        <v>55</v>
      </c>
      <c r="AK51" s="63" t="s">
        <v>55</v>
      </c>
      <c r="AL51" s="63" t="s">
        <v>55</v>
      </c>
      <c r="AM51" s="7">
        <v>35</v>
      </c>
      <c r="AN51" s="7" t="s">
        <v>55</v>
      </c>
      <c r="AO51" s="7">
        <v>565</v>
      </c>
      <c r="AP51" s="7">
        <v>530</v>
      </c>
      <c r="AQ51" s="17">
        <v>565</v>
      </c>
      <c r="AR51" s="18">
        <v>394</v>
      </c>
      <c r="AS51" s="18" t="s">
        <v>55</v>
      </c>
      <c r="AT51" s="18" t="s">
        <v>55</v>
      </c>
      <c r="AU51" s="18">
        <v>171</v>
      </c>
      <c r="AV51" s="17">
        <v>530</v>
      </c>
      <c r="AW51" s="18">
        <v>67</v>
      </c>
      <c r="AX51" s="18">
        <v>21</v>
      </c>
      <c r="AY51" s="18" t="s">
        <v>55</v>
      </c>
      <c r="AZ51" s="18" t="s">
        <v>55</v>
      </c>
      <c r="BA51" s="18">
        <v>442</v>
      </c>
      <c r="BB51" s="18">
        <v>35</v>
      </c>
      <c r="BC51" s="68"/>
      <c r="BD51" s="69"/>
      <c r="BE51" s="69"/>
      <c r="BF51" s="69"/>
      <c r="BG51" s="69"/>
      <c r="BH51" s="69"/>
      <c r="BI51" s="133"/>
      <c r="BJ51" s="134"/>
      <c r="BK51" s="134"/>
      <c r="BL51" s="134"/>
      <c r="BM51" s="134"/>
      <c r="BN51" s="134"/>
      <c r="BO51" s="134"/>
      <c r="BP51" s="137"/>
      <c r="BQ51" s="138"/>
      <c r="BR51" s="138"/>
      <c r="BS51" s="138"/>
      <c r="BT51" s="138"/>
      <c r="BU51" s="143"/>
      <c r="BV51" s="144"/>
      <c r="BW51" s="144"/>
      <c r="BX51" s="144"/>
      <c r="BY51" s="144"/>
      <c r="BZ51" s="144"/>
      <c r="CA51" s="15">
        <v>35</v>
      </c>
      <c r="CB51" s="21" t="s">
        <v>55</v>
      </c>
      <c r="CC51" s="21">
        <v>565</v>
      </c>
      <c r="CD51" s="21">
        <v>530</v>
      </c>
      <c r="CE51" s="22">
        <f t="shared" si="1"/>
        <v>0</v>
      </c>
      <c r="CF51" s="22">
        <f t="shared" si="2"/>
        <v>0</v>
      </c>
      <c r="CG51" s="22" t="e">
        <f t="shared" si="3"/>
        <v>#VALUE!</v>
      </c>
      <c r="CH51" s="22" t="e">
        <f t="shared" si="4"/>
        <v>#VALUE!</v>
      </c>
      <c r="CI51" s="22">
        <f t="shared" si="5"/>
        <v>0</v>
      </c>
      <c r="CJ51" s="22">
        <f t="shared" si="6"/>
        <v>0</v>
      </c>
      <c r="CK51" s="22">
        <f t="shared" si="7"/>
        <v>0</v>
      </c>
      <c r="CL51" s="22">
        <f t="shared" si="8"/>
        <v>0</v>
      </c>
      <c r="CM51" s="22" t="e">
        <f t="shared" si="9"/>
        <v>#VALUE!</v>
      </c>
      <c r="CN51" s="22" t="e">
        <f t="shared" si="10"/>
        <v>#VALUE!</v>
      </c>
      <c r="CO51" s="22">
        <f t="shared" si="11"/>
        <v>0</v>
      </c>
      <c r="CP51" s="22">
        <f t="shared" si="12"/>
        <v>0</v>
      </c>
      <c r="CQ51" s="22" t="e">
        <f t="shared" si="13"/>
        <v>#VALUE!</v>
      </c>
      <c r="CR51" s="22" t="e">
        <f t="shared" si="14"/>
        <v>#VALUE!</v>
      </c>
      <c r="CS51" s="22" t="e">
        <f t="shared" si="15"/>
        <v>#VALUE!</v>
      </c>
      <c r="CT51" s="22" t="e">
        <f t="shared" si="16"/>
        <v>#VALUE!</v>
      </c>
      <c r="CU51" s="22" t="e">
        <f t="shared" si="17"/>
        <v>#VALUE!</v>
      </c>
      <c r="CV51" s="22" t="e">
        <f t="shared" si="18"/>
        <v>#VALUE!</v>
      </c>
      <c r="CW51" s="22" t="e">
        <f t="shared" si="19"/>
        <v>#VALUE!</v>
      </c>
      <c r="CX51" s="22" t="e">
        <f t="shared" si="20"/>
        <v>#VALUE!</v>
      </c>
      <c r="CY51" s="22" t="e">
        <f t="shared" si="21"/>
        <v>#VALUE!</v>
      </c>
      <c r="CZ51" s="22" t="e">
        <f t="shared" si="22"/>
        <v>#VALUE!</v>
      </c>
      <c r="DA51" s="22" t="e">
        <f t="shared" si="23"/>
        <v>#VALUE!</v>
      </c>
      <c r="DB51" s="22" t="e">
        <f t="shared" si="24"/>
        <v>#VALUE!</v>
      </c>
      <c r="DC51" s="22" t="e">
        <f t="shared" si="25"/>
        <v>#VALUE!</v>
      </c>
      <c r="DD51" s="22" t="e">
        <f t="shared" si="26"/>
        <v>#VALUE!</v>
      </c>
      <c r="DE51" s="22" t="e">
        <f t="shared" si="27"/>
        <v>#VALUE!</v>
      </c>
      <c r="DF51" s="22" t="e">
        <f t="shared" si="28"/>
        <v>#VALUE!</v>
      </c>
      <c r="DG51" s="22" t="e">
        <f t="shared" si="29"/>
        <v>#VALUE!</v>
      </c>
      <c r="DH51" s="22" t="e">
        <f t="shared" si="30"/>
        <v>#VALUE!</v>
      </c>
      <c r="DI51" s="22" t="e">
        <f t="shared" si="31"/>
        <v>#VALUE!</v>
      </c>
      <c r="DJ51" s="22" t="e">
        <f t="shared" si="32"/>
        <v>#VALUE!</v>
      </c>
      <c r="DK51" s="22" t="e">
        <f t="shared" si="33"/>
        <v>#VALUE!</v>
      </c>
      <c r="DL51" s="22" t="e">
        <f t="shared" si="34"/>
        <v>#VALUE!</v>
      </c>
      <c r="DM51" s="22" t="e">
        <f t="shared" si="35"/>
        <v>#VALUE!</v>
      </c>
      <c r="DN51" s="22" t="e">
        <f t="shared" si="36"/>
        <v>#VALUE!</v>
      </c>
      <c r="DO51" s="22">
        <f t="shared" si="37"/>
        <v>0</v>
      </c>
      <c r="DP51" s="22" t="e">
        <f t="shared" si="38"/>
        <v>#VALUE!</v>
      </c>
      <c r="DQ51" s="22">
        <f t="shared" si="39"/>
        <v>0</v>
      </c>
      <c r="DR51" s="22">
        <f t="shared" si="40"/>
        <v>0</v>
      </c>
    </row>
    <row r="52" spans="1:122" s="14" customFormat="1" ht="39.75" thickBot="1">
      <c r="A52" s="2" t="s">
        <v>116</v>
      </c>
      <c r="B52" s="3" t="s">
        <v>117</v>
      </c>
      <c r="C52" s="27">
        <v>1130463</v>
      </c>
      <c r="D52" s="27">
        <v>143706</v>
      </c>
      <c r="E52" s="27">
        <v>19882</v>
      </c>
      <c r="F52" s="27" t="s">
        <v>55</v>
      </c>
      <c r="G52" s="27">
        <v>966875</v>
      </c>
      <c r="H52" s="34">
        <v>1728175</v>
      </c>
      <c r="I52" s="34">
        <v>868683</v>
      </c>
      <c r="J52" s="34">
        <v>365352</v>
      </c>
      <c r="K52" s="34" t="s">
        <v>55</v>
      </c>
      <c r="L52" s="34">
        <v>5690</v>
      </c>
      <c r="M52" s="34">
        <v>488450</v>
      </c>
      <c r="N52" s="34">
        <v>-597712</v>
      </c>
      <c r="O52" s="41">
        <v>23790</v>
      </c>
      <c r="P52" s="41" t="s">
        <v>55</v>
      </c>
      <c r="Q52" s="41" t="s">
        <v>55</v>
      </c>
      <c r="R52" s="41">
        <v>20150</v>
      </c>
      <c r="S52" s="41">
        <v>3640</v>
      </c>
      <c r="T52" s="41" t="s">
        <v>55</v>
      </c>
      <c r="U52" s="49">
        <v>819962</v>
      </c>
      <c r="V52" s="50">
        <v>751296</v>
      </c>
      <c r="W52" s="50" t="s">
        <v>55</v>
      </c>
      <c r="X52" s="50">
        <v>51600</v>
      </c>
      <c r="Y52" s="50" t="s">
        <v>55</v>
      </c>
      <c r="Z52" s="50">
        <v>17066</v>
      </c>
      <c r="AA52" s="50">
        <v>-796172</v>
      </c>
      <c r="AB52" s="56">
        <v>1237286</v>
      </c>
      <c r="AC52" s="56" t="s">
        <v>55</v>
      </c>
      <c r="AD52" s="56" t="s">
        <v>55</v>
      </c>
      <c r="AE52" s="56">
        <v>1096137</v>
      </c>
      <c r="AF52" s="56">
        <v>141149</v>
      </c>
      <c r="AG52" s="63" t="s">
        <v>55</v>
      </c>
      <c r="AH52" s="63" t="s">
        <v>55</v>
      </c>
      <c r="AI52" s="63" t="s">
        <v>55</v>
      </c>
      <c r="AJ52" s="63" t="s">
        <v>55</v>
      </c>
      <c r="AK52" s="63" t="s">
        <v>55</v>
      </c>
      <c r="AL52" s="63">
        <v>1237286</v>
      </c>
      <c r="AM52" s="7">
        <v>-156598</v>
      </c>
      <c r="AN52" s="7" t="s">
        <v>55</v>
      </c>
      <c r="AO52" s="7">
        <v>2391539</v>
      </c>
      <c r="AP52" s="7">
        <v>2548137</v>
      </c>
      <c r="AQ52" s="17">
        <v>1130463</v>
      </c>
      <c r="AR52" s="18">
        <v>143706</v>
      </c>
      <c r="AS52" s="18">
        <v>19882</v>
      </c>
      <c r="AT52" s="18" t="s">
        <v>55</v>
      </c>
      <c r="AU52" s="18">
        <v>966875</v>
      </c>
      <c r="AV52" s="17">
        <v>1728175</v>
      </c>
      <c r="AW52" s="18">
        <v>868683</v>
      </c>
      <c r="AX52" s="18">
        <v>365352</v>
      </c>
      <c r="AY52" s="18" t="s">
        <v>55</v>
      </c>
      <c r="AZ52" s="18">
        <v>5690</v>
      </c>
      <c r="BA52" s="18">
        <v>488450</v>
      </c>
      <c r="BB52" s="18">
        <v>-597712</v>
      </c>
      <c r="BC52" s="68">
        <v>23790</v>
      </c>
      <c r="BD52" s="69" t="s">
        <v>55</v>
      </c>
      <c r="BE52" s="69" t="s">
        <v>55</v>
      </c>
      <c r="BF52" s="69">
        <v>20150</v>
      </c>
      <c r="BG52" s="69">
        <v>3640</v>
      </c>
      <c r="BH52" s="69" t="s">
        <v>55</v>
      </c>
      <c r="BI52" s="133">
        <v>819962</v>
      </c>
      <c r="BJ52" s="134">
        <v>751296</v>
      </c>
      <c r="BK52" s="134" t="s">
        <v>55</v>
      </c>
      <c r="BL52" s="134">
        <v>51600</v>
      </c>
      <c r="BM52" s="134" t="s">
        <v>55</v>
      </c>
      <c r="BN52" s="134">
        <v>17066</v>
      </c>
      <c r="BO52" s="134">
        <v>-796172</v>
      </c>
      <c r="BP52" s="139">
        <v>1237286</v>
      </c>
      <c r="BQ52" s="140" t="s">
        <v>55</v>
      </c>
      <c r="BR52" s="140" t="s">
        <v>55</v>
      </c>
      <c r="BS52" s="140">
        <v>1096137</v>
      </c>
      <c r="BT52" s="140">
        <v>141149</v>
      </c>
      <c r="BU52" s="141" t="s">
        <v>55</v>
      </c>
      <c r="BV52" s="142" t="s">
        <v>55</v>
      </c>
      <c r="BW52" s="142" t="s">
        <v>55</v>
      </c>
      <c r="BX52" s="142" t="s">
        <v>55</v>
      </c>
      <c r="BY52" s="142" t="s">
        <v>55</v>
      </c>
      <c r="BZ52" s="142">
        <v>1237286</v>
      </c>
      <c r="CA52" s="17">
        <v>-156598</v>
      </c>
      <c r="CB52" s="18" t="s">
        <v>55</v>
      </c>
      <c r="CC52" s="18">
        <v>2391539</v>
      </c>
      <c r="CD52" s="18">
        <v>2548137</v>
      </c>
      <c r="CE52" s="22">
        <f t="shared" si="1"/>
        <v>0</v>
      </c>
      <c r="CF52" s="22">
        <f t="shared" si="2"/>
        <v>0</v>
      </c>
      <c r="CG52" s="22">
        <f t="shared" si="3"/>
        <v>0</v>
      </c>
      <c r="CH52" s="22" t="e">
        <f t="shared" si="4"/>
        <v>#VALUE!</v>
      </c>
      <c r="CI52" s="22">
        <f t="shared" si="5"/>
        <v>0</v>
      </c>
      <c r="CJ52" s="22">
        <f t="shared" si="6"/>
        <v>0</v>
      </c>
      <c r="CK52" s="22">
        <f t="shared" si="7"/>
        <v>0</v>
      </c>
      <c r="CL52" s="22">
        <f t="shared" si="8"/>
        <v>0</v>
      </c>
      <c r="CM52" s="22" t="e">
        <f t="shared" si="9"/>
        <v>#VALUE!</v>
      </c>
      <c r="CN52" s="22">
        <f t="shared" si="10"/>
        <v>0</v>
      </c>
      <c r="CO52" s="22">
        <f t="shared" si="11"/>
        <v>0</v>
      </c>
      <c r="CP52" s="22">
        <f t="shared" si="12"/>
        <v>0</v>
      </c>
      <c r="CQ52" s="22">
        <f t="shared" si="13"/>
        <v>0</v>
      </c>
      <c r="CR52" s="22" t="e">
        <f t="shared" si="14"/>
        <v>#VALUE!</v>
      </c>
      <c r="CS52" s="22" t="e">
        <f t="shared" si="15"/>
        <v>#VALUE!</v>
      </c>
      <c r="CT52" s="22">
        <f t="shared" si="16"/>
        <v>0</v>
      </c>
      <c r="CU52" s="22">
        <f t="shared" si="17"/>
        <v>0</v>
      </c>
      <c r="CV52" s="22" t="e">
        <f t="shared" si="18"/>
        <v>#VALUE!</v>
      </c>
      <c r="CW52" s="22">
        <f t="shared" si="19"/>
        <v>0</v>
      </c>
      <c r="CX52" s="22">
        <f t="shared" si="20"/>
        <v>0</v>
      </c>
      <c r="CY52" s="22" t="e">
        <f t="shared" si="21"/>
        <v>#VALUE!</v>
      </c>
      <c r="CZ52" s="22">
        <f t="shared" si="22"/>
        <v>0</v>
      </c>
      <c r="DA52" s="22" t="e">
        <f t="shared" si="23"/>
        <v>#VALUE!</v>
      </c>
      <c r="DB52" s="22">
        <f t="shared" si="24"/>
        <v>0</v>
      </c>
      <c r="DC52" s="22">
        <f t="shared" si="25"/>
        <v>0</v>
      </c>
      <c r="DD52" s="22">
        <f t="shared" si="26"/>
        <v>0</v>
      </c>
      <c r="DE52" s="22" t="e">
        <f t="shared" si="27"/>
        <v>#VALUE!</v>
      </c>
      <c r="DF52" s="22" t="e">
        <f t="shared" si="28"/>
        <v>#VALUE!</v>
      </c>
      <c r="DG52" s="22">
        <f t="shared" si="29"/>
        <v>0</v>
      </c>
      <c r="DH52" s="22">
        <f t="shared" si="30"/>
        <v>0</v>
      </c>
      <c r="DI52" s="22" t="e">
        <f t="shared" si="31"/>
        <v>#VALUE!</v>
      </c>
      <c r="DJ52" s="22" t="e">
        <f t="shared" si="32"/>
        <v>#VALUE!</v>
      </c>
      <c r="DK52" s="22" t="e">
        <f t="shared" si="33"/>
        <v>#VALUE!</v>
      </c>
      <c r="DL52" s="22" t="e">
        <f t="shared" si="34"/>
        <v>#VALUE!</v>
      </c>
      <c r="DM52" s="22" t="e">
        <f t="shared" si="35"/>
        <v>#VALUE!</v>
      </c>
      <c r="DN52" s="22">
        <f t="shared" si="36"/>
        <v>0</v>
      </c>
      <c r="DO52" s="22">
        <f t="shared" si="37"/>
        <v>0</v>
      </c>
      <c r="DP52" s="22" t="e">
        <f t="shared" si="38"/>
        <v>#VALUE!</v>
      </c>
      <c r="DQ52" s="22">
        <f t="shared" si="39"/>
        <v>0</v>
      </c>
      <c r="DR52" s="22">
        <f t="shared" si="40"/>
        <v>0</v>
      </c>
    </row>
    <row r="53" spans="1:122" ht="52.5" thickBot="1">
      <c r="A53" s="2" t="s">
        <v>118</v>
      </c>
      <c r="B53" s="3" t="s">
        <v>119</v>
      </c>
      <c r="C53" s="27">
        <v>703947</v>
      </c>
      <c r="D53" s="27">
        <v>442772</v>
      </c>
      <c r="E53" s="27">
        <v>22260</v>
      </c>
      <c r="F53" s="27" t="s">
        <v>55</v>
      </c>
      <c r="G53" s="27">
        <v>238915</v>
      </c>
      <c r="H53" s="34">
        <v>4622816</v>
      </c>
      <c r="I53" s="34">
        <v>615027</v>
      </c>
      <c r="J53" s="34">
        <v>3166262</v>
      </c>
      <c r="K53" s="34" t="s">
        <v>55</v>
      </c>
      <c r="L53" s="34" t="s">
        <v>55</v>
      </c>
      <c r="M53" s="34">
        <v>841527</v>
      </c>
      <c r="N53" s="34">
        <v>-3918869</v>
      </c>
      <c r="O53" s="41">
        <v>11150</v>
      </c>
      <c r="P53" s="41" t="s">
        <v>55</v>
      </c>
      <c r="Q53" s="41" t="s">
        <v>55</v>
      </c>
      <c r="R53" s="41">
        <v>11150</v>
      </c>
      <c r="S53" s="41" t="s">
        <v>55</v>
      </c>
      <c r="T53" s="41" t="s">
        <v>55</v>
      </c>
      <c r="U53" s="49">
        <v>13929225</v>
      </c>
      <c r="V53" s="50">
        <v>11961331</v>
      </c>
      <c r="W53" s="50" t="s">
        <v>55</v>
      </c>
      <c r="X53" s="50">
        <v>80500</v>
      </c>
      <c r="Y53" s="50">
        <v>1887394</v>
      </c>
      <c r="Z53" s="50" t="s">
        <v>55</v>
      </c>
      <c r="AA53" s="50">
        <v>-13918075</v>
      </c>
      <c r="AB53" s="56">
        <v>33685066</v>
      </c>
      <c r="AC53" s="56">
        <v>33683806</v>
      </c>
      <c r="AD53" s="56" t="s">
        <v>55</v>
      </c>
      <c r="AE53" s="56">
        <v>360</v>
      </c>
      <c r="AF53" s="56">
        <v>900</v>
      </c>
      <c r="AG53" s="63">
        <v>14134863</v>
      </c>
      <c r="AH53" s="63" t="s">
        <v>55</v>
      </c>
      <c r="AI53" s="63">
        <v>92</v>
      </c>
      <c r="AJ53" s="63">
        <v>13818108</v>
      </c>
      <c r="AK53" s="63">
        <v>316663</v>
      </c>
      <c r="AL53" s="63">
        <v>19550203</v>
      </c>
      <c r="AM53" s="7">
        <v>1713259</v>
      </c>
      <c r="AN53" s="7" t="s">
        <v>55</v>
      </c>
      <c r="AO53" s="7">
        <v>34400163</v>
      </c>
      <c r="AP53" s="7">
        <v>32686904</v>
      </c>
      <c r="AQ53" s="15">
        <v>703947</v>
      </c>
      <c r="AR53" s="21">
        <v>442772</v>
      </c>
      <c r="AS53" s="21">
        <v>22260</v>
      </c>
      <c r="AT53" s="21" t="s">
        <v>55</v>
      </c>
      <c r="AU53" s="21">
        <v>238915</v>
      </c>
      <c r="AV53" s="17">
        <v>4622816</v>
      </c>
      <c r="AW53" s="18">
        <v>615027</v>
      </c>
      <c r="AX53" s="18">
        <v>3166262</v>
      </c>
      <c r="AY53" s="18" t="s">
        <v>55</v>
      </c>
      <c r="AZ53" s="18" t="s">
        <v>55</v>
      </c>
      <c r="BA53" s="18">
        <v>841527</v>
      </c>
      <c r="BB53" s="18">
        <v>-3918869</v>
      </c>
      <c r="BC53" s="68">
        <v>11150</v>
      </c>
      <c r="BD53" s="69" t="s">
        <v>55</v>
      </c>
      <c r="BE53" s="69" t="s">
        <v>55</v>
      </c>
      <c r="BF53" s="69">
        <v>11150</v>
      </c>
      <c r="BG53" s="69" t="s">
        <v>55</v>
      </c>
      <c r="BH53" s="69" t="s">
        <v>55</v>
      </c>
      <c r="BI53" s="131">
        <v>13929225</v>
      </c>
      <c r="BJ53" s="132">
        <v>11961331</v>
      </c>
      <c r="BK53" s="132" t="s">
        <v>55</v>
      </c>
      <c r="BL53" s="132">
        <v>80500</v>
      </c>
      <c r="BM53" s="132">
        <v>1887394</v>
      </c>
      <c r="BN53" s="132" t="s">
        <v>55</v>
      </c>
      <c r="BO53" s="132">
        <v>-13918075</v>
      </c>
      <c r="BP53" s="139">
        <v>33685066</v>
      </c>
      <c r="BQ53" s="140">
        <v>33683806</v>
      </c>
      <c r="BR53" s="140" t="s">
        <v>55</v>
      </c>
      <c r="BS53" s="140">
        <v>360</v>
      </c>
      <c r="BT53" s="140">
        <v>900</v>
      </c>
      <c r="BU53" s="143">
        <v>14134863</v>
      </c>
      <c r="BV53" s="144" t="s">
        <v>55</v>
      </c>
      <c r="BW53" s="144">
        <v>92</v>
      </c>
      <c r="BX53" s="144">
        <v>13818108</v>
      </c>
      <c r="BY53" s="144">
        <v>316663</v>
      </c>
      <c r="BZ53" s="144">
        <v>19550203</v>
      </c>
      <c r="CA53" s="17">
        <v>1713259</v>
      </c>
      <c r="CB53" s="18" t="s">
        <v>55</v>
      </c>
      <c r="CC53" s="18">
        <v>34400163</v>
      </c>
      <c r="CD53" s="18">
        <v>32686904</v>
      </c>
      <c r="CE53" s="22">
        <f t="shared" si="1"/>
        <v>0</v>
      </c>
      <c r="CF53" s="22">
        <f t="shared" si="2"/>
        <v>0</v>
      </c>
      <c r="CG53" s="22">
        <f t="shared" si="3"/>
        <v>0</v>
      </c>
      <c r="CH53" s="22" t="e">
        <f t="shared" si="4"/>
        <v>#VALUE!</v>
      </c>
      <c r="CI53" s="22">
        <f t="shared" si="5"/>
        <v>0</v>
      </c>
      <c r="CJ53" s="22">
        <f t="shared" si="6"/>
        <v>0</v>
      </c>
      <c r="CK53" s="22">
        <f t="shared" si="7"/>
        <v>0</v>
      </c>
      <c r="CL53" s="22">
        <f t="shared" si="8"/>
        <v>0</v>
      </c>
      <c r="CM53" s="22" t="e">
        <f t="shared" si="9"/>
        <v>#VALUE!</v>
      </c>
      <c r="CN53" s="22" t="e">
        <f t="shared" si="10"/>
        <v>#VALUE!</v>
      </c>
      <c r="CO53" s="22">
        <f t="shared" si="11"/>
        <v>0</v>
      </c>
      <c r="CP53" s="22">
        <f t="shared" si="12"/>
        <v>0</v>
      </c>
      <c r="CQ53" s="22">
        <f t="shared" si="13"/>
        <v>0</v>
      </c>
      <c r="CR53" s="22" t="e">
        <f t="shared" si="14"/>
        <v>#VALUE!</v>
      </c>
      <c r="CS53" s="22" t="e">
        <f t="shared" si="15"/>
        <v>#VALUE!</v>
      </c>
      <c r="CT53" s="22">
        <f t="shared" si="16"/>
        <v>0</v>
      </c>
      <c r="CU53" s="22" t="e">
        <f t="shared" si="17"/>
        <v>#VALUE!</v>
      </c>
      <c r="CV53" s="22" t="e">
        <f t="shared" si="18"/>
        <v>#VALUE!</v>
      </c>
      <c r="CW53" s="22">
        <f t="shared" si="19"/>
        <v>0</v>
      </c>
      <c r="CX53" s="22">
        <f t="shared" si="20"/>
        <v>0</v>
      </c>
      <c r="CY53" s="22" t="e">
        <f t="shared" si="21"/>
        <v>#VALUE!</v>
      </c>
      <c r="CZ53" s="22">
        <f t="shared" si="22"/>
        <v>0</v>
      </c>
      <c r="DA53" s="22">
        <f t="shared" si="23"/>
        <v>0</v>
      </c>
      <c r="DB53" s="22" t="e">
        <f t="shared" si="24"/>
        <v>#VALUE!</v>
      </c>
      <c r="DC53" s="22">
        <f t="shared" si="25"/>
        <v>0</v>
      </c>
      <c r="DD53" s="22">
        <f t="shared" si="26"/>
        <v>0</v>
      </c>
      <c r="DE53" s="22">
        <f t="shared" si="27"/>
        <v>0</v>
      </c>
      <c r="DF53" s="22" t="e">
        <f t="shared" si="28"/>
        <v>#VALUE!</v>
      </c>
      <c r="DG53" s="22">
        <f t="shared" si="29"/>
        <v>0</v>
      </c>
      <c r="DH53" s="22">
        <f t="shared" si="30"/>
        <v>0</v>
      </c>
      <c r="DI53" s="22">
        <f t="shared" si="31"/>
        <v>0</v>
      </c>
      <c r="DJ53" s="22" t="e">
        <f t="shared" si="32"/>
        <v>#VALUE!</v>
      </c>
      <c r="DK53" s="22">
        <f t="shared" si="33"/>
        <v>0</v>
      </c>
      <c r="DL53" s="22">
        <f t="shared" si="34"/>
        <v>0</v>
      </c>
      <c r="DM53" s="22">
        <f t="shared" si="35"/>
        <v>0</v>
      </c>
      <c r="DN53" s="22">
        <f t="shared" si="36"/>
        <v>0</v>
      </c>
      <c r="DO53" s="22">
        <f t="shared" si="37"/>
        <v>0</v>
      </c>
      <c r="DP53" s="22" t="e">
        <f t="shared" si="38"/>
        <v>#VALUE!</v>
      </c>
      <c r="DQ53" s="22">
        <f t="shared" si="39"/>
        <v>0</v>
      </c>
      <c r="DR53" s="22">
        <f t="shared" si="40"/>
        <v>0</v>
      </c>
    </row>
    <row r="54" spans="1:122" ht="26.25">
      <c r="A54" s="2" t="s">
        <v>120</v>
      </c>
      <c r="B54" s="3" t="s">
        <v>121</v>
      </c>
      <c r="C54" s="27">
        <v>16473</v>
      </c>
      <c r="D54" s="27">
        <v>16408</v>
      </c>
      <c r="E54" s="27">
        <v>2</v>
      </c>
      <c r="F54" s="27" t="s">
        <v>55</v>
      </c>
      <c r="G54" s="27">
        <v>63</v>
      </c>
      <c r="H54" s="34">
        <v>16504</v>
      </c>
      <c r="I54" s="34">
        <v>2598</v>
      </c>
      <c r="J54" s="34">
        <v>13241</v>
      </c>
      <c r="K54" s="34" t="s">
        <v>55</v>
      </c>
      <c r="L54" s="34">
        <v>365</v>
      </c>
      <c r="M54" s="34">
        <v>300</v>
      </c>
      <c r="N54" s="34">
        <v>-31</v>
      </c>
      <c r="O54" s="41" t="s">
        <v>55</v>
      </c>
      <c r="P54" s="41" t="s">
        <v>55</v>
      </c>
      <c r="Q54" s="41" t="s">
        <v>55</v>
      </c>
      <c r="R54" s="41" t="s">
        <v>55</v>
      </c>
      <c r="S54" s="41" t="s">
        <v>55</v>
      </c>
      <c r="T54" s="41" t="s">
        <v>55</v>
      </c>
      <c r="U54" s="49" t="s">
        <v>55</v>
      </c>
      <c r="V54" s="50" t="s">
        <v>55</v>
      </c>
      <c r="W54" s="50" t="s">
        <v>55</v>
      </c>
      <c r="X54" s="50" t="s">
        <v>55</v>
      </c>
      <c r="Y54" s="50" t="s">
        <v>55</v>
      </c>
      <c r="Z54" s="50" t="s">
        <v>55</v>
      </c>
      <c r="AA54" s="50" t="s">
        <v>55</v>
      </c>
      <c r="AB54" s="56">
        <v>2600</v>
      </c>
      <c r="AC54" s="56">
        <v>2600</v>
      </c>
      <c r="AD54" s="56" t="s">
        <v>55</v>
      </c>
      <c r="AE54" s="56" t="s">
        <v>55</v>
      </c>
      <c r="AF54" s="56" t="s">
        <v>55</v>
      </c>
      <c r="AG54" s="63">
        <v>2600</v>
      </c>
      <c r="AH54" s="63" t="s">
        <v>55</v>
      </c>
      <c r="AI54" s="63" t="s">
        <v>55</v>
      </c>
      <c r="AJ54" s="63" t="s">
        <v>55</v>
      </c>
      <c r="AK54" s="63">
        <v>2600</v>
      </c>
      <c r="AL54" s="63" t="s">
        <v>55</v>
      </c>
      <c r="AM54" s="7">
        <v>-31</v>
      </c>
      <c r="AN54" s="7" t="s">
        <v>55</v>
      </c>
      <c r="AO54" s="7">
        <v>19073</v>
      </c>
      <c r="AP54" s="7">
        <v>19104</v>
      </c>
      <c r="AQ54" s="17">
        <v>16473</v>
      </c>
      <c r="AR54" s="18">
        <v>16408</v>
      </c>
      <c r="AS54" s="18">
        <v>2</v>
      </c>
      <c r="AT54" s="18" t="s">
        <v>55</v>
      </c>
      <c r="AU54" s="18">
        <v>63</v>
      </c>
      <c r="AV54" s="17">
        <v>16504</v>
      </c>
      <c r="AW54" s="18">
        <v>2598</v>
      </c>
      <c r="AX54" s="18">
        <v>13241</v>
      </c>
      <c r="AY54" s="18" t="s">
        <v>55</v>
      </c>
      <c r="AZ54" s="18">
        <v>365</v>
      </c>
      <c r="BA54" s="18">
        <v>300</v>
      </c>
      <c r="BB54" s="18">
        <v>-31</v>
      </c>
      <c r="BC54" s="66"/>
      <c r="BD54" s="67"/>
      <c r="BE54" s="67"/>
      <c r="BF54" s="67"/>
      <c r="BG54" s="67"/>
      <c r="BH54" s="67"/>
      <c r="BI54" s="133"/>
      <c r="BJ54" s="134"/>
      <c r="BK54" s="134"/>
      <c r="BL54" s="134"/>
      <c r="BM54" s="134"/>
      <c r="BN54" s="134"/>
      <c r="BO54" s="134"/>
      <c r="BP54" s="139">
        <v>2600</v>
      </c>
      <c r="BQ54" s="140">
        <v>2600</v>
      </c>
      <c r="BR54" s="140" t="s">
        <v>55</v>
      </c>
      <c r="BS54" s="140" t="s">
        <v>55</v>
      </c>
      <c r="BT54" s="140" t="s">
        <v>55</v>
      </c>
      <c r="BU54" s="143">
        <v>2600</v>
      </c>
      <c r="BV54" s="144" t="s">
        <v>55</v>
      </c>
      <c r="BW54" s="144" t="s">
        <v>55</v>
      </c>
      <c r="BX54" s="144" t="s">
        <v>55</v>
      </c>
      <c r="BY54" s="144">
        <v>2600</v>
      </c>
      <c r="BZ54" s="144" t="s">
        <v>55</v>
      </c>
      <c r="CA54" s="17">
        <v>-31</v>
      </c>
      <c r="CB54" s="18" t="s">
        <v>55</v>
      </c>
      <c r="CC54" s="18">
        <v>19073</v>
      </c>
      <c r="CD54" s="18">
        <v>19104</v>
      </c>
      <c r="CE54" s="22">
        <f t="shared" si="1"/>
        <v>0</v>
      </c>
      <c r="CF54" s="22">
        <f t="shared" si="2"/>
        <v>0</v>
      </c>
      <c r="CG54" s="22">
        <f t="shared" si="3"/>
        <v>0</v>
      </c>
      <c r="CH54" s="22" t="e">
        <f t="shared" si="4"/>
        <v>#VALUE!</v>
      </c>
      <c r="CI54" s="22">
        <f t="shared" si="5"/>
        <v>0</v>
      </c>
      <c r="CJ54" s="22">
        <f t="shared" si="6"/>
        <v>0</v>
      </c>
      <c r="CK54" s="22">
        <f t="shared" si="7"/>
        <v>0</v>
      </c>
      <c r="CL54" s="22">
        <f t="shared" si="8"/>
        <v>0</v>
      </c>
      <c r="CM54" s="22" t="e">
        <f t="shared" si="9"/>
        <v>#VALUE!</v>
      </c>
      <c r="CN54" s="22">
        <f t="shared" si="10"/>
        <v>0</v>
      </c>
      <c r="CO54" s="22">
        <f t="shared" si="11"/>
        <v>0</v>
      </c>
      <c r="CP54" s="22">
        <f t="shared" si="12"/>
        <v>0</v>
      </c>
      <c r="CQ54" s="22" t="e">
        <f t="shared" si="13"/>
        <v>#VALUE!</v>
      </c>
      <c r="CR54" s="22" t="e">
        <f t="shared" si="14"/>
        <v>#VALUE!</v>
      </c>
      <c r="CS54" s="22" t="e">
        <f t="shared" si="15"/>
        <v>#VALUE!</v>
      </c>
      <c r="CT54" s="22" t="e">
        <f t="shared" si="16"/>
        <v>#VALUE!</v>
      </c>
      <c r="CU54" s="22" t="e">
        <f t="shared" si="17"/>
        <v>#VALUE!</v>
      </c>
      <c r="CV54" s="22" t="e">
        <f t="shared" si="18"/>
        <v>#VALUE!</v>
      </c>
      <c r="CW54" s="22" t="e">
        <f t="shared" si="19"/>
        <v>#VALUE!</v>
      </c>
      <c r="CX54" s="22" t="e">
        <f t="shared" si="20"/>
        <v>#VALUE!</v>
      </c>
      <c r="CY54" s="22" t="e">
        <f t="shared" si="21"/>
        <v>#VALUE!</v>
      </c>
      <c r="CZ54" s="22" t="e">
        <f t="shared" si="22"/>
        <v>#VALUE!</v>
      </c>
      <c r="DA54" s="22" t="e">
        <f t="shared" si="23"/>
        <v>#VALUE!</v>
      </c>
      <c r="DB54" s="22" t="e">
        <f t="shared" si="24"/>
        <v>#VALUE!</v>
      </c>
      <c r="DC54" s="22" t="e">
        <f t="shared" si="25"/>
        <v>#VALUE!</v>
      </c>
      <c r="DD54" s="22">
        <f t="shared" si="26"/>
        <v>0</v>
      </c>
      <c r="DE54" s="22">
        <f t="shared" si="27"/>
        <v>0</v>
      </c>
      <c r="DF54" s="22" t="e">
        <f t="shared" si="28"/>
        <v>#VALUE!</v>
      </c>
      <c r="DG54" s="22" t="e">
        <f t="shared" si="29"/>
        <v>#VALUE!</v>
      </c>
      <c r="DH54" s="22" t="e">
        <f t="shared" si="30"/>
        <v>#VALUE!</v>
      </c>
      <c r="DI54" s="22">
        <f t="shared" si="31"/>
        <v>0</v>
      </c>
      <c r="DJ54" s="22" t="e">
        <f t="shared" si="32"/>
        <v>#VALUE!</v>
      </c>
      <c r="DK54" s="22" t="e">
        <f t="shared" si="33"/>
        <v>#VALUE!</v>
      </c>
      <c r="DL54" s="22" t="e">
        <f t="shared" si="34"/>
        <v>#VALUE!</v>
      </c>
      <c r="DM54" s="22">
        <f t="shared" si="35"/>
        <v>0</v>
      </c>
      <c r="DN54" s="22" t="e">
        <f t="shared" si="36"/>
        <v>#VALUE!</v>
      </c>
      <c r="DO54" s="22">
        <f t="shared" si="37"/>
        <v>0</v>
      </c>
      <c r="DP54" s="22" t="e">
        <f t="shared" si="38"/>
        <v>#VALUE!</v>
      </c>
      <c r="DQ54" s="22">
        <f t="shared" si="39"/>
        <v>0</v>
      </c>
      <c r="DR54" s="22">
        <f t="shared" si="40"/>
        <v>0</v>
      </c>
    </row>
    <row r="55" spans="1:122" ht="27" thickBot="1">
      <c r="A55" s="2" t="s">
        <v>127</v>
      </c>
      <c r="B55" s="3" t="s">
        <v>128</v>
      </c>
      <c r="C55" s="27">
        <v>786387</v>
      </c>
      <c r="D55" s="27">
        <v>779042</v>
      </c>
      <c r="E55" s="27" t="s">
        <v>55</v>
      </c>
      <c r="F55" s="27" t="s">
        <v>55</v>
      </c>
      <c r="G55" s="27">
        <v>7345</v>
      </c>
      <c r="H55" s="34">
        <v>784469</v>
      </c>
      <c r="I55" s="34">
        <v>92531</v>
      </c>
      <c r="J55" s="34">
        <v>316356</v>
      </c>
      <c r="K55" s="34">
        <v>11720</v>
      </c>
      <c r="L55" s="34" t="s">
        <v>55</v>
      </c>
      <c r="M55" s="34">
        <v>363862</v>
      </c>
      <c r="N55" s="34">
        <v>1918</v>
      </c>
      <c r="O55" s="41" t="s">
        <v>55</v>
      </c>
      <c r="P55" s="41" t="s">
        <v>55</v>
      </c>
      <c r="Q55" s="41" t="s">
        <v>55</v>
      </c>
      <c r="R55" s="41" t="s">
        <v>55</v>
      </c>
      <c r="S55" s="41" t="s">
        <v>55</v>
      </c>
      <c r="T55" s="41" t="s">
        <v>55</v>
      </c>
      <c r="U55" s="49" t="s">
        <v>55</v>
      </c>
      <c r="V55" s="50" t="s">
        <v>55</v>
      </c>
      <c r="W55" s="50" t="s">
        <v>55</v>
      </c>
      <c r="X55" s="50" t="s">
        <v>55</v>
      </c>
      <c r="Y55" s="50" t="s">
        <v>55</v>
      </c>
      <c r="Z55" s="50" t="s">
        <v>55</v>
      </c>
      <c r="AA55" s="50" t="s">
        <v>55</v>
      </c>
      <c r="AB55" s="145">
        <v>20000</v>
      </c>
      <c r="AC55" s="56" t="s">
        <v>55</v>
      </c>
      <c r="AD55" s="56" t="s">
        <v>55</v>
      </c>
      <c r="AE55" s="56" t="s">
        <v>55</v>
      </c>
      <c r="AF55" s="56">
        <v>200000</v>
      </c>
      <c r="AG55" s="63">
        <v>200000</v>
      </c>
      <c r="AH55" s="63" t="s">
        <v>55</v>
      </c>
      <c r="AI55" s="63" t="s">
        <v>55</v>
      </c>
      <c r="AJ55" s="63" t="s">
        <v>55</v>
      </c>
      <c r="AK55" s="63">
        <v>200000</v>
      </c>
      <c r="AL55" s="63" t="s">
        <v>55</v>
      </c>
      <c r="AM55" s="7">
        <v>1918</v>
      </c>
      <c r="AN55" s="7" t="s">
        <v>55</v>
      </c>
      <c r="AO55" s="7">
        <v>986387</v>
      </c>
      <c r="AP55" s="7">
        <v>984469</v>
      </c>
      <c r="AQ55" s="17">
        <v>786387</v>
      </c>
      <c r="AR55" s="18">
        <v>779042</v>
      </c>
      <c r="AS55" s="18" t="s">
        <v>55</v>
      </c>
      <c r="AT55" s="18" t="s">
        <v>55</v>
      </c>
      <c r="AU55" s="18">
        <v>7345</v>
      </c>
      <c r="AV55" s="17">
        <v>784469</v>
      </c>
      <c r="AW55" s="18">
        <v>92531</v>
      </c>
      <c r="AX55" s="18">
        <v>316356</v>
      </c>
      <c r="AY55" s="18">
        <v>11720</v>
      </c>
      <c r="AZ55" s="18" t="s">
        <v>55</v>
      </c>
      <c r="BA55" s="18">
        <v>363862</v>
      </c>
      <c r="BB55" s="18">
        <v>1918</v>
      </c>
      <c r="BC55" s="68"/>
      <c r="BD55" s="69"/>
      <c r="BE55" s="69"/>
      <c r="BF55" s="69"/>
      <c r="BG55" s="69"/>
      <c r="BH55" s="69"/>
      <c r="BI55" s="133"/>
      <c r="BJ55" s="134"/>
      <c r="BK55" s="134"/>
      <c r="BL55" s="134"/>
      <c r="BM55" s="134"/>
      <c r="BN55" s="134"/>
      <c r="BO55" s="134"/>
      <c r="BP55" s="139">
        <v>200000</v>
      </c>
      <c r="BQ55" s="140" t="s">
        <v>55</v>
      </c>
      <c r="BR55" s="140" t="s">
        <v>55</v>
      </c>
      <c r="BS55" s="140" t="s">
        <v>55</v>
      </c>
      <c r="BT55" s="140">
        <v>200000</v>
      </c>
      <c r="BU55" s="143">
        <v>200000</v>
      </c>
      <c r="BV55" s="144" t="s">
        <v>55</v>
      </c>
      <c r="BW55" s="144" t="s">
        <v>55</v>
      </c>
      <c r="BX55" s="144" t="s">
        <v>55</v>
      </c>
      <c r="BY55" s="144">
        <v>200000</v>
      </c>
      <c r="BZ55" s="144" t="s">
        <v>55</v>
      </c>
      <c r="CA55" s="17">
        <v>1918</v>
      </c>
      <c r="CB55" s="18" t="s">
        <v>55</v>
      </c>
      <c r="CC55" s="18">
        <v>986387</v>
      </c>
      <c r="CD55" s="18">
        <v>984469</v>
      </c>
      <c r="CE55" s="22">
        <f t="shared" si="1"/>
        <v>0</v>
      </c>
      <c r="CF55" s="22">
        <f t="shared" si="2"/>
        <v>0</v>
      </c>
      <c r="CG55" s="22" t="e">
        <f t="shared" si="3"/>
        <v>#VALUE!</v>
      </c>
      <c r="CH55" s="22" t="e">
        <f t="shared" si="4"/>
        <v>#VALUE!</v>
      </c>
      <c r="CI55" s="22">
        <f t="shared" si="5"/>
        <v>0</v>
      </c>
      <c r="CJ55" s="22">
        <f t="shared" si="6"/>
        <v>0</v>
      </c>
      <c r="CK55" s="22">
        <f t="shared" si="7"/>
        <v>0</v>
      </c>
      <c r="CL55" s="22">
        <f t="shared" si="8"/>
        <v>0</v>
      </c>
      <c r="CM55" s="22">
        <f t="shared" si="9"/>
        <v>0</v>
      </c>
      <c r="CN55" s="22" t="e">
        <f t="shared" si="10"/>
        <v>#VALUE!</v>
      </c>
      <c r="CO55" s="22">
        <f t="shared" si="11"/>
        <v>0</v>
      </c>
      <c r="CP55" s="22">
        <f t="shared" si="12"/>
        <v>0</v>
      </c>
      <c r="CQ55" s="22" t="e">
        <f t="shared" si="13"/>
        <v>#VALUE!</v>
      </c>
      <c r="CR55" s="22" t="e">
        <f t="shared" si="14"/>
        <v>#VALUE!</v>
      </c>
      <c r="CS55" s="22" t="e">
        <f t="shared" si="15"/>
        <v>#VALUE!</v>
      </c>
      <c r="CT55" s="22" t="e">
        <f t="shared" si="16"/>
        <v>#VALUE!</v>
      </c>
      <c r="CU55" s="22" t="e">
        <f t="shared" si="17"/>
        <v>#VALUE!</v>
      </c>
      <c r="CV55" s="22" t="e">
        <f t="shared" si="18"/>
        <v>#VALUE!</v>
      </c>
      <c r="CW55" s="22" t="e">
        <f t="shared" si="19"/>
        <v>#VALUE!</v>
      </c>
      <c r="CX55" s="22" t="e">
        <f t="shared" si="20"/>
        <v>#VALUE!</v>
      </c>
      <c r="CY55" s="22" t="e">
        <f t="shared" si="21"/>
        <v>#VALUE!</v>
      </c>
      <c r="CZ55" s="22" t="e">
        <f t="shared" si="22"/>
        <v>#VALUE!</v>
      </c>
      <c r="DA55" s="22" t="e">
        <f t="shared" si="23"/>
        <v>#VALUE!</v>
      </c>
      <c r="DB55" s="22" t="e">
        <f t="shared" si="24"/>
        <v>#VALUE!</v>
      </c>
      <c r="DC55" s="22" t="e">
        <f t="shared" si="25"/>
        <v>#VALUE!</v>
      </c>
      <c r="DD55" s="22">
        <f t="shared" si="26"/>
        <v>-180000</v>
      </c>
      <c r="DE55" s="22" t="e">
        <f t="shared" si="27"/>
        <v>#VALUE!</v>
      </c>
      <c r="DF55" s="22" t="e">
        <f t="shared" si="28"/>
        <v>#VALUE!</v>
      </c>
      <c r="DG55" s="22" t="e">
        <f t="shared" si="29"/>
        <v>#VALUE!</v>
      </c>
      <c r="DH55" s="22">
        <f t="shared" si="30"/>
        <v>0</v>
      </c>
      <c r="DI55" s="22">
        <f t="shared" si="31"/>
        <v>0</v>
      </c>
      <c r="DJ55" s="22" t="e">
        <f t="shared" si="32"/>
        <v>#VALUE!</v>
      </c>
      <c r="DK55" s="22" t="e">
        <f t="shared" si="33"/>
        <v>#VALUE!</v>
      </c>
      <c r="DL55" s="22" t="e">
        <f t="shared" si="34"/>
        <v>#VALUE!</v>
      </c>
      <c r="DM55" s="22">
        <f t="shared" si="35"/>
        <v>0</v>
      </c>
      <c r="DN55" s="22" t="e">
        <f t="shared" si="36"/>
        <v>#VALUE!</v>
      </c>
      <c r="DO55" s="22">
        <f t="shared" si="37"/>
        <v>0</v>
      </c>
      <c r="DP55" s="22" t="e">
        <f t="shared" si="38"/>
        <v>#VALUE!</v>
      </c>
      <c r="DQ55" s="22">
        <f t="shared" si="39"/>
        <v>0</v>
      </c>
      <c r="DR55" s="22">
        <f t="shared" si="40"/>
        <v>0</v>
      </c>
    </row>
    <row r="56" spans="1:122" ht="77.25">
      <c r="A56" s="2" t="s">
        <v>129</v>
      </c>
      <c r="B56" s="3" t="s">
        <v>130</v>
      </c>
      <c r="C56" s="27">
        <v>12455</v>
      </c>
      <c r="D56" s="27">
        <v>12455</v>
      </c>
      <c r="E56" s="27" t="s">
        <v>55</v>
      </c>
      <c r="F56" s="27" t="s">
        <v>55</v>
      </c>
      <c r="G56" s="27" t="s">
        <v>55</v>
      </c>
      <c r="H56" s="34">
        <v>11837</v>
      </c>
      <c r="I56" s="34">
        <v>6768</v>
      </c>
      <c r="J56" s="34">
        <v>2436</v>
      </c>
      <c r="K56" s="34" t="s">
        <v>55</v>
      </c>
      <c r="L56" s="34">
        <v>263</v>
      </c>
      <c r="M56" s="34">
        <v>2370</v>
      </c>
      <c r="N56" s="34">
        <v>618</v>
      </c>
      <c r="O56" s="41" t="s">
        <v>55</v>
      </c>
      <c r="P56" s="41" t="s">
        <v>55</v>
      </c>
      <c r="Q56" s="41" t="s">
        <v>55</v>
      </c>
      <c r="R56" s="41" t="s">
        <v>55</v>
      </c>
      <c r="S56" s="41" t="s">
        <v>55</v>
      </c>
      <c r="T56" s="41" t="s">
        <v>55</v>
      </c>
      <c r="U56" s="49" t="s">
        <v>55</v>
      </c>
      <c r="V56" s="50" t="s">
        <v>55</v>
      </c>
      <c r="W56" s="50" t="s">
        <v>55</v>
      </c>
      <c r="X56" s="50" t="s">
        <v>55</v>
      </c>
      <c r="Y56" s="50" t="s">
        <v>55</v>
      </c>
      <c r="Z56" s="50" t="s">
        <v>55</v>
      </c>
      <c r="AA56" s="50" t="s">
        <v>55</v>
      </c>
      <c r="AB56" s="56" t="s">
        <v>55</v>
      </c>
      <c r="AC56" s="56" t="s">
        <v>55</v>
      </c>
      <c r="AD56" s="56" t="s">
        <v>55</v>
      </c>
      <c r="AE56" s="56" t="s">
        <v>55</v>
      </c>
      <c r="AF56" s="56" t="s">
        <v>55</v>
      </c>
      <c r="AG56" s="63" t="s">
        <v>55</v>
      </c>
      <c r="AH56" s="63" t="s">
        <v>55</v>
      </c>
      <c r="AI56" s="63" t="s">
        <v>55</v>
      </c>
      <c r="AJ56" s="63" t="s">
        <v>55</v>
      </c>
      <c r="AK56" s="63" t="s">
        <v>55</v>
      </c>
      <c r="AL56" s="63" t="s">
        <v>55</v>
      </c>
      <c r="AM56" s="7">
        <v>618</v>
      </c>
      <c r="AN56" s="7" t="s">
        <v>55</v>
      </c>
      <c r="AO56" s="7">
        <v>12455</v>
      </c>
      <c r="AP56" s="7">
        <v>11837</v>
      </c>
      <c r="AQ56" s="17">
        <v>12455</v>
      </c>
      <c r="AR56" s="18">
        <v>12455</v>
      </c>
      <c r="AS56" s="18" t="s">
        <v>55</v>
      </c>
      <c r="AT56" s="18" t="s">
        <v>55</v>
      </c>
      <c r="AU56" s="18" t="s">
        <v>55</v>
      </c>
      <c r="AV56" s="15">
        <v>11837</v>
      </c>
      <c r="AW56" s="16">
        <v>6768</v>
      </c>
      <c r="AX56" s="16">
        <v>2436</v>
      </c>
      <c r="AY56" s="16" t="s">
        <v>55</v>
      </c>
      <c r="AZ56" s="16">
        <v>263</v>
      </c>
      <c r="BA56" s="16">
        <v>2370</v>
      </c>
      <c r="BB56" s="16">
        <v>618</v>
      </c>
      <c r="BC56" s="68"/>
      <c r="BD56" s="69"/>
      <c r="BE56" s="69"/>
      <c r="BF56" s="69"/>
      <c r="BG56" s="69"/>
      <c r="BH56" s="69"/>
      <c r="BI56" s="133"/>
      <c r="BJ56" s="134"/>
      <c r="BK56" s="134"/>
      <c r="BL56" s="134"/>
      <c r="BM56" s="134"/>
      <c r="BN56" s="134"/>
      <c r="BO56" s="134"/>
      <c r="BP56" s="139"/>
      <c r="BQ56" s="140"/>
      <c r="BR56" s="140"/>
      <c r="BS56" s="140"/>
      <c r="BT56" s="140"/>
      <c r="BU56" s="143"/>
      <c r="BV56" s="144"/>
      <c r="BW56" s="144"/>
      <c r="BX56" s="144"/>
      <c r="BY56" s="144"/>
      <c r="BZ56" s="144"/>
      <c r="CA56" s="17">
        <v>618</v>
      </c>
      <c r="CB56" s="18" t="s">
        <v>55</v>
      </c>
      <c r="CC56" s="18">
        <v>12455</v>
      </c>
      <c r="CD56" s="18">
        <v>11837</v>
      </c>
      <c r="CE56" s="22">
        <f t="shared" si="1"/>
        <v>0</v>
      </c>
      <c r="CF56" s="22">
        <f t="shared" si="2"/>
        <v>0</v>
      </c>
      <c r="CG56" s="22" t="e">
        <f t="shared" si="3"/>
        <v>#VALUE!</v>
      </c>
      <c r="CH56" s="22" t="e">
        <f t="shared" si="4"/>
        <v>#VALUE!</v>
      </c>
      <c r="CI56" s="22" t="e">
        <f t="shared" si="5"/>
        <v>#VALUE!</v>
      </c>
      <c r="CJ56" s="22">
        <f t="shared" si="6"/>
        <v>0</v>
      </c>
      <c r="CK56" s="22">
        <f t="shared" si="7"/>
        <v>0</v>
      </c>
      <c r="CL56" s="22">
        <f t="shared" si="8"/>
        <v>0</v>
      </c>
      <c r="CM56" s="22" t="e">
        <f t="shared" si="9"/>
        <v>#VALUE!</v>
      </c>
      <c r="CN56" s="22">
        <f t="shared" si="10"/>
        <v>0</v>
      </c>
      <c r="CO56" s="22">
        <f t="shared" si="11"/>
        <v>0</v>
      </c>
      <c r="CP56" s="22">
        <f t="shared" si="12"/>
        <v>0</v>
      </c>
      <c r="CQ56" s="22" t="e">
        <f t="shared" si="13"/>
        <v>#VALUE!</v>
      </c>
      <c r="CR56" s="22" t="e">
        <f t="shared" si="14"/>
        <v>#VALUE!</v>
      </c>
      <c r="CS56" s="22" t="e">
        <f t="shared" si="15"/>
        <v>#VALUE!</v>
      </c>
      <c r="CT56" s="22" t="e">
        <f t="shared" si="16"/>
        <v>#VALUE!</v>
      </c>
      <c r="CU56" s="22" t="e">
        <f t="shared" si="17"/>
        <v>#VALUE!</v>
      </c>
      <c r="CV56" s="22" t="e">
        <f t="shared" si="18"/>
        <v>#VALUE!</v>
      </c>
      <c r="CW56" s="22" t="e">
        <f t="shared" si="19"/>
        <v>#VALUE!</v>
      </c>
      <c r="CX56" s="22" t="e">
        <f t="shared" si="20"/>
        <v>#VALUE!</v>
      </c>
      <c r="CY56" s="22" t="e">
        <f t="shared" si="21"/>
        <v>#VALUE!</v>
      </c>
      <c r="CZ56" s="22" t="e">
        <f t="shared" si="22"/>
        <v>#VALUE!</v>
      </c>
      <c r="DA56" s="22" t="e">
        <f t="shared" si="23"/>
        <v>#VALUE!</v>
      </c>
      <c r="DB56" s="22" t="e">
        <f t="shared" si="24"/>
        <v>#VALUE!</v>
      </c>
      <c r="DC56" s="22" t="e">
        <f t="shared" si="25"/>
        <v>#VALUE!</v>
      </c>
      <c r="DD56" s="22" t="e">
        <f t="shared" si="26"/>
        <v>#VALUE!</v>
      </c>
      <c r="DE56" s="22" t="e">
        <f t="shared" si="27"/>
        <v>#VALUE!</v>
      </c>
      <c r="DF56" s="22" t="e">
        <f t="shared" si="28"/>
        <v>#VALUE!</v>
      </c>
      <c r="DG56" s="22" t="e">
        <f t="shared" si="29"/>
        <v>#VALUE!</v>
      </c>
      <c r="DH56" s="22" t="e">
        <f t="shared" si="30"/>
        <v>#VALUE!</v>
      </c>
      <c r="DI56" s="22" t="e">
        <f t="shared" si="31"/>
        <v>#VALUE!</v>
      </c>
      <c r="DJ56" s="22" t="e">
        <f t="shared" si="32"/>
        <v>#VALUE!</v>
      </c>
      <c r="DK56" s="22" t="e">
        <f t="shared" si="33"/>
        <v>#VALUE!</v>
      </c>
      <c r="DL56" s="22" t="e">
        <f t="shared" si="34"/>
        <v>#VALUE!</v>
      </c>
      <c r="DM56" s="22" t="e">
        <f t="shared" si="35"/>
        <v>#VALUE!</v>
      </c>
      <c r="DN56" s="22" t="e">
        <f t="shared" si="36"/>
        <v>#VALUE!</v>
      </c>
      <c r="DO56" s="22">
        <f t="shared" si="37"/>
        <v>0</v>
      </c>
      <c r="DP56" s="22" t="e">
        <f t="shared" si="38"/>
        <v>#VALUE!</v>
      </c>
      <c r="DQ56" s="22">
        <f t="shared" si="39"/>
        <v>0</v>
      </c>
      <c r="DR56" s="22">
        <f t="shared" si="40"/>
        <v>0</v>
      </c>
    </row>
    <row r="57" spans="1:122" s="14" customFormat="1" ht="51.75">
      <c r="A57" s="11" t="s">
        <v>164</v>
      </c>
      <c r="B57" s="12" t="s">
        <v>131</v>
      </c>
      <c r="C57" s="26">
        <v>10</v>
      </c>
      <c r="D57" s="26">
        <v>10</v>
      </c>
      <c r="E57" s="26" t="s">
        <v>55</v>
      </c>
      <c r="F57" s="26" t="s">
        <v>55</v>
      </c>
      <c r="G57" s="26" t="s">
        <v>55</v>
      </c>
      <c r="H57" s="33">
        <v>551</v>
      </c>
      <c r="I57" s="33" t="s">
        <v>55</v>
      </c>
      <c r="J57" s="33" t="s">
        <v>55</v>
      </c>
      <c r="K57" s="33" t="s">
        <v>55</v>
      </c>
      <c r="L57" s="33">
        <v>551</v>
      </c>
      <c r="M57" s="33" t="s">
        <v>55</v>
      </c>
      <c r="N57" s="33">
        <v>-541</v>
      </c>
      <c r="O57" s="40" t="s">
        <v>55</v>
      </c>
      <c r="P57" s="40" t="s">
        <v>55</v>
      </c>
      <c r="Q57" s="40" t="s">
        <v>55</v>
      </c>
      <c r="R57" s="40" t="s">
        <v>55</v>
      </c>
      <c r="S57" s="40" t="s">
        <v>55</v>
      </c>
      <c r="T57" s="40" t="s">
        <v>55</v>
      </c>
      <c r="U57" s="47" t="s">
        <v>55</v>
      </c>
      <c r="V57" s="48" t="s">
        <v>55</v>
      </c>
      <c r="W57" s="48" t="s">
        <v>55</v>
      </c>
      <c r="X57" s="48" t="s">
        <v>55</v>
      </c>
      <c r="Y57" s="48" t="s">
        <v>55</v>
      </c>
      <c r="Z57" s="48" t="s">
        <v>55</v>
      </c>
      <c r="AA57" s="48" t="s">
        <v>55</v>
      </c>
      <c r="AB57" s="55" t="s">
        <v>55</v>
      </c>
      <c r="AC57" s="55" t="s">
        <v>55</v>
      </c>
      <c r="AD57" s="55" t="s">
        <v>55</v>
      </c>
      <c r="AE57" s="55" t="s">
        <v>55</v>
      </c>
      <c r="AF57" s="55" t="s">
        <v>55</v>
      </c>
      <c r="AG57" s="62" t="s">
        <v>55</v>
      </c>
      <c r="AH57" s="62" t="s">
        <v>55</v>
      </c>
      <c r="AI57" s="62" t="s">
        <v>55</v>
      </c>
      <c r="AJ57" s="62" t="s">
        <v>55</v>
      </c>
      <c r="AK57" s="62" t="s">
        <v>55</v>
      </c>
      <c r="AL57" s="62" t="s">
        <v>55</v>
      </c>
      <c r="AM57" s="13">
        <v>-541</v>
      </c>
      <c r="AN57" s="13" t="s">
        <v>55</v>
      </c>
      <c r="AO57" s="13">
        <v>10</v>
      </c>
      <c r="AP57" s="13">
        <v>551</v>
      </c>
      <c r="AQ57" s="17">
        <v>10</v>
      </c>
      <c r="AR57" s="18">
        <v>10</v>
      </c>
      <c r="AS57" s="18" t="s">
        <v>55</v>
      </c>
      <c r="AT57" s="18" t="s">
        <v>55</v>
      </c>
      <c r="AU57" s="18" t="s">
        <v>55</v>
      </c>
      <c r="AV57" s="17">
        <v>551</v>
      </c>
      <c r="AW57" s="18" t="s">
        <v>55</v>
      </c>
      <c r="AX57" s="18" t="s">
        <v>55</v>
      </c>
      <c r="AY57" s="18" t="s">
        <v>55</v>
      </c>
      <c r="AZ57" s="18">
        <v>551</v>
      </c>
      <c r="BA57" s="18" t="s">
        <v>55</v>
      </c>
      <c r="BB57" s="18">
        <v>-541</v>
      </c>
      <c r="BC57" s="68"/>
      <c r="BD57" s="69"/>
      <c r="BE57" s="69"/>
      <c r="BF57" s="69"/>
      <c r="BG57" s="69"/>
      <c r="BH57" s="69"/>
      <c r="BI57" s="133"/>
      <c r="BJ57" s="134"/>
      <c r="BK57" s="134"/>
      <c r="BL57" s="134"/>
      <c r="BM57" s="134"/>
      <c r="BN57" s="134"/>
      <c r="BO57" s="134"/>
      <c r="BP57" s="139"/>
      <c r="BQ57" s="140"/>
      <c r="BR57" s="140"/>
      <c r="BS57" s="140"/>
      <c r="BT57" s="140"/>
      <c r="BU57" s="143"/>
      <c r="BV57" s="144"/>
      <c r="BW57" s="144"/>
      <c r="BX57" s="144"/>
      <c r="BY57" s="144"/>
      <c r="BZ57" s="144"/>
      <c r="CA57" s="17">
        <v>-541</v>
      </c>
      <c r="CB57" s="18" t="s">
        <v>55</v>
      </c>
      <c r="CC57" s="18">
        <v>10</v>
      </c>
      <c r="CD57" s="18">
        <v>551</v>
      </c>
      <c r="CE57" s="22">
        <f t="shared" si="1"/>
        <v>0</v>
      </c>
      <c r="CF57" s="22">
        <f t="shared" si="2"/>
        <v>0</v>
      </c>
      <c r="CG57" s="22" t="e">
        <f t="shared" si="3"/>
        <v>#VALUE!</v>
      </c>
      <c r="CH57" s="22" t="e">
        <f t="shared" si="4"/>
        <v>#VALUE!</v>
      </c>
      <c r="CI57" s="22" t="e">
        <f t="shared" si="5"/>
        <v>#VALUE!</v>
      </c>
      <c r="CJ57" s="22">
        <f t="shared" si="6"/>
        <v>0</v>
      </c>
      <c r="CK57" s="22" t="e">
        <f t="shared" si="7"/>
        <v>#VALUE!</v>
      </c>
      <c r="CL57" s="22" t="e">
        <f t="shared" si="8"/>
        <v>#VALUE!</v>
      </c>
      <c r="CM57" s="22" t="e">
        <f t="shared" si="9"/>
        <v>#VALUE!</v>
      </c>
      <c r="CN57" s="22">
        <f t="shared" si="10"/>
        <v>0</v>
      </c>
      <c r="CO57" s="22" t="e">
        <f t="shared" si="11"/>
        <v>#VALUE!</v>
      </c>
      <c r="CP57" s="22">
        <f t="shared" si="12"/>
        <v>0</v>
      </c>
      <c r="CQ57" s="22" t="e">
        <f t="shared" si="13"/>
        <v>#VALUE!</v>
      </c>
      <c r="CR57" s="22" t="e">
        <f t="shared" si="14"/>
        <v>#VALUE!</v>
      </c>
      <c r="CS57" s="22" t="e">
        <f t="shared" si="15"/>
        <v>#VALUE!</v>
      </c>
      <c r="CT57" s="22" t="e">
        <f t="shared" si="16"/>
        <v>#VALUE!</v>
      </c>
      <c r="CU57" s="22" t="e">
        <f t="shared" si="17"/>
        <v>#VALUE!</v>
      </c>
      <c r="CV57" s="22" t="e">
        <f t="shared" si="18"/>
        <v>#VALUE!</v>
      </c>
      <c r="CW57" s="22" t="e">
        <f t="shared" si="19"/>
        <v>#VALUE!</v>
      </c>
      <c r="CX57" s="22" t="e">
        <f t="shared" si="20"/>
        <v>#VALUE!</v>
      </c>
      <c r="CY57" s="22" t="e">
        <f t="shared" si="21"/>
        <v>#VALUE!</v>
      </c>
      <c r="CZ57" s="22" t="e">
        <f t="shared" si="22"/>
        <v>#VALUE!</v>
      </c>
      <c r="DA57" s="22" t="e">
        <f t="shared" si="23"/>
        <v>#VALUE!</v>
      </c>
      <c r="DB57" s="22" t="e">
        <f t="shared" si="24"/>
        <v>#VALUE!</v>
      </c>
      <c r="DC57" s="22" t="e">
        <f t="shared" si="25"/>
        <v>#VALUE!</v>
      </c>
      <c r="DD57" s="22" t="e">
        <f t="shared" si="26"/>
        <v>#VALUE!</v>
      </c>
      <c r="DE57" s="22" t="e">
        <f t="shared" si="27"/>
        <v>#VALUE!</v>
      </c>
      <c r="DF57" s="22" t="e">
        <f t="shared" si="28"/>
        <v>#VALUE!</v>
      </c>
      <c r="DG57" s="22" t="e">
        <f t="shared" si="29"/>
        <v>#VALUE!</v>
      </c>
      <c r="DH57" s="22" t="e">
        <f t="shared" si="30"/>
        <v>#VALUE!</v>
      </c>
      <c r="DI57" s="22" t="e">
        <f t="shared" si="31"/>
        <v>#VALUE!</v>
      </c>
      <c r="DJ57" s="22" t="e">
        <f t="shared" si="32"/>
        <v>#VALUE!</v>
      </c>
      <c r="DK57" s="22" t="e">
        <f t="shared" si="33"/>
        <v>#VALUE!</v>
      </c>
      <c r="DL57" s="22" t="e">
        <f t="shared" si="34"/>
        <v>#VALUE!</v>
      </c>
      <c r="DM57" s="22" t="e">
        <f t="shared" si="35"/>
        <v>#VALUE!</v>
      </c>
      <c r="DN57" s="22" t="e">
        <f t="shared" si="36"/>
        <v>#VALUE!</v>
      </c>
      <c r="DO57" s="22">
        <f t="shared" si="37"/>
        <v>0</v>
      </c>
      <c r="DP57" s="22" t="e">
        <f t="shared" si="38"/>
        <v>#VALUE!</v>
      </c>
      <c r="DQ57" s="22">
        <f t="shared" si="39"/>
        <v>0</v>
      </c>
      <c r="DR57" s="22">
        <f t="shared" si="40"/>
        <v>0</v>
      </c>
    </row>
    <row r="58" spans="1:122" ht="51.75">
      <c r="A58" s="2" t="s">
        <v>132</v>
      </c>
      <c r="B58" s="3" t="s">
        <v>133</v>
      </c>
      <c r="C58" s="27">
        <v>10</v>
      </c>
      <c r="D58" s="27">
        <v>10</v>
      </c>
      <c r="E58" s="27" t="s">
        <v>55</v>
      </c>
      <c r="F58" s="27" t="s">
        <v>55</v>
      </c>
      <c r="G58" s="27" t="s">
        <v>55</v>
      </c>
      <c r="H58" s="34">
        <v>551</v>
      </c>
      <c r="I58" s="34" t="s">
        <v>55</v>
      </c>
      <c r="J58" s="34" t="s">
        <v>55</v>
      </c>
      <c r="K58" s="34" t="s">
        <v>55</v>
      </c>
      <c r="L58" s="34">
        <v>551</v>
      </c>
      <c r="M58" s="34" t="s">
        <v>55</v>
      </c>
      <c r="N58" s="34">
        <v>-541</v>
      </c>
      <c r="O58" s="41" t="s">
        <v>55</v>
      </c>
      <c r="P58" s="41" t="s">
        <v>55</v>
      </c>
      <c r="Q58" s="41" t="s">
        <v>55</v>
      </c>
      <c r="R58" s="41" t="s">
        <v>55</v>
      </c>
      <c r="S58" s="41" t="s">
        <v>55</v>
      </c>
      <c r="T58" s="41" t="s">
        <v>55</v>
      </c>
      <c r="U58" s="49" t="s">
        <v>55</v>
      </c>
      <c r="V58" s="50" t="s">
        <v>55</v>
      </c>
      <c r="W58" s="50" t="s">
        <v>55</v>
      </c>
      <c r="X58" s="50" t="s">
        <v>55</v>
      </c>
      <c r="Y58" s="50" t="s">
        <v>55</v>
      </c>
      <c r="Z58" s="50" t="s">
        <v>55</v>
      </c>
      <c r="AA58" s="50" t="s">
        <v>55</v>
      </c>
      <c r="AB58" s="56" t="s">
        <v>55</v>
      </c>
      <c r="AC58" s="56" t="s">
        <v>55</v>
      </c>
      <c r="AD58" s="56" t="s">
        <v>55</v>
      </c>
      <c r="AE58" s="56" t="s">
        <v>55</v>
      </c>
      <c r="AF58" s="56" t="s">
        <v>55</v>
      </c>
      <c r="AG58" s="63" t="s">
        <v>55</v>
      </c>
      <c r="AH58" s="63" t="s">
        <v>55</v>
      </c>
      <c r="AI58" s="63" t="s">
        <v>55</v>
      </c>
      <c r="AJ58" s="63" t="s">
        <v>55</v>
      </c>
      <c r="AK58" s="63" t="s">
        <v>55</v>
      </c>
      <c r="AL58" s="63" t="s">
        <v>55</v>
      </c>
      <c r="AM58" s="7">
        <v>-541</v>
      </c>
      <c r="AN58" s="7" t="s">
        <v>55</v>
      </c>
      <c r="AO58" s="7">
        <v>10</v>
      </c>
      <c r="AP58" s="7">
        <v>551</v>
      </c>
      <c r="AQ58" s="17">
        <v>10</v>
      </c>
      <c r="AR58" s="18">
        <v>10</v>
      </c>
      <c r="AS58" s="18" t="s">
        <v>55</v>
      </c>
      <c r="AT58" s="18" t="s">
        <v>55</v>
      </c>
      <c r="AU58" s="18" t="s">
        <v>55</v>
      </c>
      <c r="AV58" s="17">
        <v>551</v>
      </c>
      <c r="AW58" s="18" t="s">
        <v>55</v>
      </c>
      <c r="AX58" s="18" t="s">
        <v>55</v>
      </c>
      <c r="AY58" s="18" t="s">
        <v>55</v>
      </c>
      <c r="AZ58" s="18">
        <v>551</v>
      </c>
      <c r="BA58" s="18" t="s">
        <v>55</v>
      </c>
      <c r="BB58" s="18">
        <v>-541</v>
      </c>
      <c r="BC58" s="68"/>
      <c r="BD58" s="69"/>
      <c r="BE58" s="69"/>
      <c r="BF58" s="69"/>
      <c r="BG58" s="69"/>
      <c r="BH58" s="69"/>
      <c r="BI58" s="133"/>
      <c r="BJ58" s="134"/>
      <c r="BK58" s="134"/>
      <c r="BL58" s="134"/>
      <c r="BM58" s="134"/>
      <c r="BN58" s="134"/>
      <c r="BO58" s="134"/>
      <c r="BP58" s="139"/>
      <c r="BQ58" s="140"/>
      <c r="BR58" s="140"/>
      <c r="BS58" s="140"/>
      <c r="BT58" s="140"/>
      <c r="BU58" s="143"/>
      <c r="BV58" s="144"/>
      <c r="BW58" s="144"/>
      <c r="BX58" s="144"/>
      <c r="BY58" s="144"/>
      <c r="BZ58" s="144"/>
      <c r="CA58" s="17">
        <v>-541</v>
      </c>
      <c r="CB58" s="18" t="s">
        <v>55</v>
      </c>
      <c r="CC58" s="18">
        <v>10</v>
      </c>
      <c r="CD58" s="18">
        <v>551</v>
      </c>
      <c r="CE58" s="22">
        <f t="shared" si="1"/>
        <v>0</v>
      </c>
      <c r="CF58" s="22">
        <f t="shared" si="2"/>
        <v>0</v>
      </c>
      <c r="CG58" s="22" t="e">
        <f t="shared" si="3"/>
        <v>#VALUE!</v>
      </c>
      <c r="CH58" s="22" t="e">
        <f t="shared" si="4"/>
        <v>#VALUE!</v>
      </c>
      <c r="CI58" s="22" t="e">
        <f t="shared" si="5"/>
        <v>#VALUE!</v>
      </c>
      <c r="CJ58" s="22">
        <f t="shared" si="6"/>
        <v>0</v>
      </c>
      <c r="CK58" s="22" t="e">
        <f t="shared" si="7"/>
        <v>#VALUE!</v>
      </c>
      <c r="CL58" s="22" t="e">
        <f t="shared" si="8"/>
        <v>#VALUE!</v>
      </c>
      <c r="CM58" s="22" t="e">
        <f t="shared" si="9"/>
        <v>#VALUE!</v>
      </c>
      <c r="CN58" s="22">
        <f t="shared" si="10"/>
        <v>0</v>
      </c>
      <c r="CO58" s="22" t="e">
        <f t="shared" si="11"/>
        <v>#VALUE!</v>
      </c>
      <c r="CP58" s="22">
        <f t="shared" si="12"/>
        <v>0</v>
      </c>
      <c r="CQ58" s="22" t="e">
        <f t="shared" si="13"/>
        <v>#VALUE!</v>
      </c>
      <c r="CR58" s="22" t="e">
        <f t="shared" si="14"/>
        <v>#VALUE!</v>
      </c>
      <c r="CS58" s="22" t="e">
        <f t="shared" si="15"/>
        <v>#VALUE!</v>
      </c>
      <c r="CT58" s="22" t="e">
        <f t="shared" si="16"/>
        <v>#VALUE!</v>
      </c>
      <c r="CU58" s="22" t="e">
        <f t="shared" si="17"/>
        <v>#VALUE!</v>
      </c>
      <c r="CV58" s="22" t="e">
        <f t="shared" si="18"/>
        <v>#VALUE!</v>
      </c>
      <c r="CW58" s="22" t="e">
        <f t="shared" si="19"/>
        <v>#VALUE!</v>
      </c>
      <c r="CX58" s="22" t="e">
        <f t="shared" si="20"/>
        <v>#VALUE!</v>
      </c>
      <c r="CY58" s="22" t="e">
        <f t="shared" si="21"/>
        <v>#VALUE!</v>
      </c>
      <c r="CZ58" s="22" t="e">
        <f t="shared" si="22"/>
        <v>#VALUE!</v>
      </c>
      <c r="DA58" s="22" t="e">
        <f t="shared" si="23"/>
        <v>#VALUE!</v>
      </c>
      <c r="DB58" s="22" t="e">
        <f t="shared" si="24"/>
        <v>#VALUE!</v>
      </c>
      <c r="DC58" s="22" t="e">
        <f t="shared" si="25"/>
        <v>#VALUE!</v>
      </c>
      <c r="DD58" s="22" t="e">
        <f t="shared" si="26"/>
        <v>#VALUE!</v>
      </c>
      <c r="DE58" s="22" t="e">
        <f t="shared" si="27"/>
        <v>#VALUE!</v>
      </c>
      <c r="DF58" s="22" t="e">
        <f t="shared" si="28"/>
        <v>#VALUE!</v>
      </c>
      <c r="DG58" s="22" t="e">
        <f t="shared" si="29"/>
        <v>#VALUE!</v>
      </c>
      <c r="DH58" s="22" t="e">
        <f t="shared" si="30"/>
        <v>#VALUE!</v>
      </c>
      <c r="DI58" s="22" t="e">
        <f t="shared" si="31"/>
        <v>#VALUE!</v>
      </c>
      <c r="DJ58" s="22" t="e">
        <f t="shared" si="32"/>
        <v>#VALUE!</v>
      </c>
      <c r="DK58" s="22" t="e">
        <f t="shared" si="33"/>
        <v>#VALUE!</v>
      </c>
      <c r="DL58" s="22" t="e">
        <f t="shared" si="34"/>
        <v>#VALUE!</v>
      </c>
      <c r="DM58" s="22" t="e">
        <f t="shared" si="35"/>
        <v>#VALUE!</v>
      </c>
      <c r="DN58" s="22" t="e">
        <f t="shared" si="36"/>
        <v>#VALUE!</v>
      </c>
      <c r="DO58" s="22">
        <f t="shared" si="37"/>
        <v>0</v>
      </c>
      <c r="DP58" s="22" t="e">
        <f t="shared" si="38"/>
        <v>#VALUE!</v>
      </c>
      <c r="DQ58" s="22">
        <f t="shared" si="39"/>
        <v>0</v>
      </c>
      <c r="DR58" s="22">
        <f t="shared" si="40"/>
        <v>0</v>
      </c>
    </row>
    <row r="59" spans="1:122" s="14" customFormat="1" ht="15.75">
      <c r="A59" s="11" t="s">
        <v>165</v>
      </c>
      <c r="B59" s="12" t="s">
        <v>134</v>
      </c>
      <c r="C59" s="26">
        <v>8779</v>
      </c>
      <c r="D59" s="26">
        <v>6437</v>
      </c>
      <c r="E59" s="26" t="s">
        <v>55</v>
      </c>
      <c r="F59" s="26" t="s">
        <v>55</v>
      </c>
      <c r="G59" s="26">
        <v>2342</v>
      </c>
      <c r="H59" s="33">
        <v>8924</v>
      </c>
      <c r="I59" s="33">
        <v>3878</v>
      </c>
      <c r="J59" s="33">
        <v>1170</v>
      </c>
      <c r="K59" s="33" t="s">
        <v>55</v>
      </c>
      <c r="L59" s="33" t="s">
        <v>55</v>
      </c>
      <c r="M59" s="33">
        <v>3876</v>
      </c>
      <c r="N59" s="33">
        <v>-145</v>
      </c>
      <c r="O59" s="40" t="s">
        <v>55</v>
      </c>
      <c r="P59" s="40" t="s">
        <v>55</v>
      </c>
      <c r="Q59" s="40" t="s">
        <v>55</v>
      </c>
      <c r="R59" s="40" t="s">
        <v>55</v>
      </c>
      <c r="S59" s="40" t="s">
        <v>55</v>
      </c>
      <c r="T59" s="40" t="s">
        <v>55</v>
      </c>
      <c r="U59" s="47" t="s">
        <v>55</v>
      </c>
      <c r="V59" s="48" t="s">
        <v>55</v>
      </c>
      <c r="W59" s="48" t="s">
        <v>55</v>
      </c>
      <c r="X59" s="48" t="s">
        <v>55</v>
      </c>
      <c r="Y59" s="48" t="s">
        <v>55</v>
      </c>
      <c r="Z59" s="48" t="s">
        <v>55</v>
      </c>
      <c r="AA59" s="48" t="s">
        <v>55</v>
      </c>
      <c r="AB59" s="55" t="s">
        <v>55</v>
      </c>
      <c r="AC59" s="55" t="s">
        <v>55</v>
      </c>
      <c r="AD59" s="55" t="s">
        <v>55</v>
      </c>
      <c r="AE59" s="55" t="s">
        <v>55</v>
      </c>
      <c r="AF59" s="55" t="s">
        <v>55</v>
      </c>
      <c r="AG59" s="62" t="s">
        <v>55</v>
      </c>
      <c r="AH59" s="62" t="s">
        <v>55</v>
      </c>
      <c r="AI59" s="62" t="s">
        <v>55</v>
      </c>
      <c r="AJ59" s="62" t="s">
        <v>55</v>
      </c>
      <c r="AK59" s="62" t="s">
        <v>55</v>
      </c>
      <c r="AL59" s="62" t="s">
        <v>55</v>
      </c>
      <c r="AM59" s="13">
        <v>-145</v>
      </c>
      <c r="AN59" s="13" t="s">
        <v>55</v>
      </c>
      <c r="AO59" s="13">
        <v>8779</v>
      </c>
      <c r="AP59" s="13">
        <v>8924</v>
      </c>
      <c r="AQ59" s="17">
        <v>8779</v>
      </c>
      <c r="AR59" s="18">
        <v>6437</v>
      </c>
      <c r="AS59" s="18" t="s">
        <v>55</v>
      </c>
      <c r="AT59" s="18" t="s">
        <v>55</v>
      </c>
      <c r="AU59" s="18">
        <v>2342</v>
      </c>
      <c r="AV59" s="17">
        <v>8924</v>
      </c>
      <c r="AW59" s="18">
        <v>3878</v>
      </c>
      <c r="AX59" s="18">
        <v>1170</v>
      </c>
      <c r="AY59" s="18" t="s">
        <v>55</v>
      </c>
      <c r="AZ59" s="18" t="s">
        <v>55</v>
      </c>
      <c r="BA59" s="18">
        <v>3876</v>
      </c>
      <c r="BB59" s="18">
        <v>-145</v>
      </c>
      <c r="BC59" s="68"/>
      <c r="BD59" s="69"/>
      <c r="BE59" s="69"/>
      <c r="BF59" s="69"/>
      <c r="BG59" s="69"/>
      <c r="BH59" s="69"/>
      <c r="BI59" s="133"/>
      <c r="BJ59" s="134"/>
      <c r="BK59" s="134"/>
      <c r="BL59" s="134"/>
      <c r="BM59" s="134"/>
      <c r="BN59" s="134"/>
      <c r="BO59" s="134"/>
      <c r="BP59" s="139"/>
      <c r="BQ59" s="140"/>
      <c r="BR59" s="140"/>
      <c r="BS59" s="140"/>
      <c r="BT59" s="140"/>
      <c r="BU59" s="143"/>
      <c r="BV59" s="144"/>
      <c r="BW59" s="144"/>
      <c r="BX59" s="144"/>
      <c r="BY59" s="144"/>
      <c r="BZ59" s="144"/>
      <c r="CA59" s="17">
        <v>-145</v>
      </c>
      <c r="CB59" s="18" t="s">
        <v>55</v>
      </c>
      <c r="CC59" s="18">
        <v>8779</v>
      </c>
      <c r="CD59" s="18">
        <v>8924</v>
      </c>
      <c r="CE59" s="22">
        <f t="shared" si="1"/>
        <v>0</v>
      </c>
      <c r="CF59" s="22">
        <f t="shared" si="2"/>
        <v>0</v>
      </c>
      <c r="CG59" s="22" t="e">
        <f t="shared" si="3"/>
        <v>#VALUE!</v>
      </c>
      <c r="CH59" s="22" t="e">
        <f t="shared" si="4"/>
        <v>#VALUE!</v>
      </c>
      <c r="CI59" s="22">
        <f t="shared" si="5"/>
        <v>0</v>
      </c>
      <c r="CJ59" s="22">
        <f t="shared" si="6"/>
        <v>0</v>
      </c>
      <c r="CK59" s="22">
        <f t="shared" si="7"/>
        <v>0</v>
      </c>
      <c r="CL59" s="22">
        <f t="shared" si="8"/>
        <v>0</v>
      </c>
      <c r="CM59" s="22" t="e">
        <f t="shared" si="9"/>
        <v>#VALUE!</v>
      </c>
      <c r="CN59" s="22" t="e">
        <f t="shared" si="10"/>
        <v>#VALUE!</v>
      </c>
      <c r="CO59" s="22">
        <f t="shared" si="11"/>
        <v>0</v>
      </c>
      <c r="CP59" s="22">
        <f t="shared" si="12"/>
        <v>0</v>
      </c>
      <c r="CQ59" s="22" t="e">
        <f t="shared" si="13"/>
        <v>#VALUE!</v>
      </c>
      <c r="CR59" s="22" t="e">
        <f t="shared" si="14"/>
        <v>#VALUE!</v>
      </c>
      <c r="CS59" s="22" t="e">
        <f t="shared" si="15"/>
        <v>#VALUE!</v>
      </c>
      <c r="CT59" s="22" t="e">
        <f t="shared" si="16"/>
        <v>#VALUE!</v>
      </c>
      <c r="CU59" s="22" t="e">
        <f t="shared" si="17"/>
        <v>#VALUE!</v>
      </c>
      <c r="CV59" s="22" t="e">
        <f t="shared" si="18"/>
        <v>#VALUE!</v>
      </c>
      <c r="CW59" s="22" t="e">
        <f t="shared" si="19"/>
        <v>#VALUE!</v>
      </c>
      <c r="CX59" s="22" t="e">
        <f t="shared" si="20"/>
        <v>#VALUE!</v>
      </c>
      <c r="CY59" s="22" t="e">
        <f t="shared" si="21"/>
        <v>#VALUE!</v>
      </c>
      <c r="CZ59" s="22" t="e">
        <f t="shared" si="22"/>
        <v>#VALUE!</v>
      </c>
      <c r="DA59" s="22" t="e">
        <f t="shared" si="23"/>
        <v>#VALUE!</v>
      </c>
      <c r="DB59" s="22" t="e">
        <f t="shared" si="24"/>
        <v>#VALUE!</v>
      </c>
      <c r="DC59" s="22" t="e">
        <f t="shared" si="25"/>
        <v>#VALUE!</v>
      </c>
      <c r="DD59" s="22" t="e">
        <f t="shared" si="26"/>
        <v>#VALUE!</v>
      </c>
      <c r="DE59" s="22" t="e">
        <f t="shared" si="27"/>
        <v>#VALUE!</v>
      </c>
      <c r="DF59" s="22" t="e">
        <f t="shared" si="28"/>
        <v>#VALUE!</v>
      </c>
      <c r="DG59" s="22" t="e">
        <f t="shared" si="29"/>
        <v>#VALUE!</v>
      </c>
      <c r="DH59" s="22" t="e">
        <f t="shared" si="30"/>
        <v>#VALUE!</v>
      </c>
      <c r="DI59" s="22" t="e">
        <f t="shared" si="31"/>
        <v>#VALUE!</v>
      </c>
      <c r="DJ59" s="22" t="e">
        <f t="shared" si="32"/>
        <v>#VALUE!</v>
      </c>
      <c r="DK59" s="22" t="e">
        <f t="shared" si="33"/>
        <v>#VALUE!</v>
      </c>
      <c r="DL59" s="22" t="e">
        <f t="shared" si="34"/>
        <v>#VALUE!</v>
      </c>
      <c r="DM59" s="22" t="e">
        <f t="shared" si="35"/>
        <v>#VALUE!</v>
      </c>
      <c r="DN59" s="22" t="e">
        <f t="shared" si="36"/>
        <v>#VALUE!</v>
      </c>
      <c r="DO59" s="22">
        <f t="shared" si="37"/>
        <v>0</v>
      </c>
      <c r="DP59" s="22" t="e">
        <f t="shared" si="38"/>
        <v>#VALUE!</v>
      </c>
      <c r="DQ59" s="22">
        <f t="shared" si="39"/>
        <v>0</v>
      </c>
      <c r="DR59" s="22">
        <f t="shared" si="40"/>
        <v>0</v>
      </c>
    </row>
    <row r="60" spans="1:122" ht="16.5" thickBot="1">
      <c r="A60" s="2" t="s">
        <v>135</v>
      </c>
      <c r="B60" s="3" t="s">
        <v>136</v>
      </c>
      <c r="C60" s="27">
        <v>8779</v>
      </c>
      <c r="D60" s="27">
        <v>6437</v>
      </c>
      <c r="E60" s="27" t="s">
        <v>55</v>
      </c>
      <c r="F60" s="27" t="s">
        <v>55</v>
      </c>
      <c r="G60" s="27">
        <v>2342</v>
      </c>
      <c r="H60" s="34">
        <v>8924</v>
      </c>
      <c r="I60" s="34">
        <v>3878</v>
      </c>
      <c r="J60" s="34">
        <v>1170</v>
      </c>
      <c r="K60" s="34" t="s">
        <v>55</v>
      </c>
      <c r="L60" s="34" t="s">
        <v>55</v>
      </c>
      <c r="M60" s="34">
        <v>3876</v>
      </c>
      <c r="N60" s="34">
        <v>-145</v>
      </c>
      <c r="O60" s="41" t="s">
        <v>55</v>
      </c>
      <c r="P60" s="41" t="s">
        <v>55</v>
      </c>
      <c r="Q60" s="41" t="s">
        <v>55</v>
      </c>
      <c r="R60" s="41" t="s">
        <v>55</v>
      </c>
      <c r="S60" s="41" t="s">
        <v>55</v>
      </c>
      <c r="T60" s="41" t="s">
        <v>55</v>
      </c>
      <c r="U60" s="49" t="s">
        <v>55</v>
      </c>
      <c r="V60" s="50" t="s">
        <v>55</v>
      </c>
      <c r="W60" s="50" t="s">
        <v>55</v>
      </c>
      <c r="X60" s="50" t="s">
        <v>55</v>
      </c>
      <c r="Y60" s="50" t="s">
        <v>55</v>
      </c>
      <c r="Z60" s="50" t="s">
        <v>55</v>
      </c>
      <c r="AA60" s="50" t="s">
        <v>55</v>
      </c>
      <c r="AB60" s="56" t="s">
        <v>55</v>
      </c>
      <c r="AC60" s="56" t="s">
        <v>55</v>
      </c>
      <c r="AD60" s="56" t="s">
        <v>55</v>
      </c>
      <c r="AE60" s="56" t="s">
        <v>55</v>
      </c>
      <c r="AF60" s="56" t="s">
        <v>55</v>
      </c>
      <c r="AG60" s="63" t="s">
        <v>55</v>
      </c>
      <c r="AH60" s="63" t="s">
        <v>55</v>
      </c>
      <c r="AI60" s="63" t="s">
        <v>55</v>
      </c>
      <c r="AJ60" s="63" t="s">
        <v>55</v>
      </c>
      <c r="AK60" s="63" t="s">
        <v>55</v>
      </c>
      <c r="AL60" s="63" t="s">
        <v>55</v>
      </c>
      <c r="AM60" s="7">
        <v>-145</v>
      </c>
      <c r="AN60" s="7" t="s">
        <v>55</v>
      </c>
      <c r="AO60" s="7">
        <v>8779</v>
      </c>
      <c r="AP60" s="7">
        <v>8924</v>
      </c>
      <c r="AQ60" s="17">
        <v>8779</v>
      </c>
      <c r="AR60" s="18">
        <v>6437</v>
      </c>
      <c r="AS60" s="18" t="s">
        <v>55</v>
      </c>
      <c r="AT60" s="18" t="s">
        <v>55</v>
      </c>
      <c r="AU60" s="18">
        <v>2342</v>
      </c>
      <c r="AV60" s="17">
        <v>8924</v>
      </c>
      <c r="AW60" s="18">
        <v>3878</v>
      </c>
      <c r="AX60" s="18">
        <v>1170</v>
      </c>
      <c r="AY60" s="18" t="s">
        <v>55</v>
      </c>
      <c r="AZ60" s="18" t="s">
        <v>55</v>
      </c>
      <c r="BA60" s="18">
        <v>3876</v>
      </c>
      <c r="BB60" s="18">
        <v>-145</v>
      </c>
      <c r="BC60" s="68"/>
      <c r="BD60" s="69"/>
      <c r="BE60" s="69"/>
      <c r="BF60" s="69"/>
      <c r="BG60" s="69"/>
      <c r="BH60" s="69"/>
      <c r="BI60" s="133"/>
      <c r="BJ60" s="134"/>
      <c r="BK60" s="134"/>
      <c r="BL60" s="134"/>
      <c r="BM60" s="134"/>
      <c r="BN60" s="134"/>
      <c r="BO60" s="134"/>
      <c r="BP60" s="139"/>
      <c r="BQ60" s="140"/>
      <c r="BR60" s="140"/>
      <c r="BS60" s="140"/>
      <c r="BT60" s="140"/>
      <c r="BU60" s="143"/>
      <c r="BV60" s="144"/>
      <c r="BW60" s="144"/>
      <c r="BX60" s="144"/>
      <c r="BY60" s="144"/>
      <c r="BZ60" s="144"/>
      <c r="CA60" s="17">
        <v>-145</v>
      </c>
      <c r="CB60" s="18" t="s">
        <v>55</v>
      </c>
      <c r="CC60" s="18">
        <v>8779</v>
      </c>
      <c r="CD60" s="18">
        <v>8924</v>
      </c>
      <c r="CE60" s="22">
        <f t="shared" si="1"/>
        <v>0</v>
      </c>
      <c r="CF60" s="22">
        <f t="shared" si="2"/>
        <v>0</v>
      </c>
      <c r="CG60" s="22" t="e">
        <f t="shared" si="3"/>
        <v>#VALUE!</v>
      </c>
      <c r="CH60" s="22" t="e">
        <f t="shared" si="4"/>
        <v>#VALUE!</v>
      </c>
      <c r="CI60" s="22">
        <f t="shared" si="5"/>
        <v>0</v>
      </c>
      <c r="CJ60" s="22">
        <f t="shared" si="6"/>
        <v>0</v>
      </c>
      <c r="CK60" s="22">
        <f t="shared" si="7"/>
        <v>0</v>
      </c>
      <c r="CL60" s="22">
        <f t="shared" si="8"/>
        <v>0</v>
      </c>
      <c r="CM60" s="22" t="e">
        <f t="shared" si="9"/>
        <v>#VALUE!</v>
      </c>
      <c r="CN60" s="22" t="e">
        <f t="shared" si="10"/>
        <v>#VALUE!</v>
      </c>
      <c r="CO60" s="22">
        <f t="shared" si="11"/>
        <v>0</v>
      </c>
      <c r="CP60" s="22">
        <f t="shared" si="12"/>
        <v>0</v>
      </c>
      <c r="CQ60" s="22" t="e">
        <f t="shared" si="13"/>
        <v>#VALUE!</v>
      </c>
      <c r="CR60" s="22" t="e">
        <f t="shared" si="14"/>
        <v>#VALUE!</v>
      </c>
      <c r="CS60" s="22" t="e">
        <f t="shared" si="15"/>
        <v>#VALUE!</v>
      </c>
      <c r="CT60" s="22" t="e">
        <f t="shared" si="16"/>
        <v>#VALUE!</v>
      </c>
      <c r="CU60" s="22" t="e">
        <f t="shared" si="17"/>
        <v>#VALUE!</v>
      </c>
      <c r="CV60" s="22" t="e">
        <f t="shared" si="18"/>
        <v>#VALUE!</v>
      </c>
      <c r="CW60" s="22" t="e">
        <f t="shared" si="19"/>
        <v>#VALUE!</v>
      </c>
      <c r="CX60" s="22" t="e">
        <f t="shared" si="20"/>
        <v>#VALUE!</v>
      </c>
      <c r="CY60" s="22" t="e">
        <f t="shared" si="21"/>
        <v>#VALUE!</v>
      </c>
      <c r="CZ60" s="22" t="e">
        <f t="shared" si="22"/>
        <v>#VALUE!</v>
      </c>
      <c r="DA60" s="22" t="e">
        <f t="shared" si="23"/>
        <v>#VALUE!</v>
      </c>
      <c r="DB60" s="22" t="e">
        <f t="shared" si="24"/>
        <v>#VALUE!</v>
      </c>
      <c r="DC60" s="22" t="e">
        <f t="shared" si="25"/>
        <v>#VALUE!</v>
      </c>
      <c r="DD60" s="22" t="e">
        <f t="shared" si="26"/>
        <v>#VALUE!</v>
      </c>
      <c r="DE60" s="22" t="e">
        <f t="shared" si="27"/>
        <v>#VALUE!</v>
      </c>
      <c r="DF60" s="22" t="e">
        <f t="shared" si="28"/>
        <v>#VALUE!</v>
      </c>
      <c r="DG60" s="22" t="e">
        <f t="shared" si="29"/>
        <v>#VALUE!</v>
      </c>
      <c r="DH60" s="22" t="e">
        <f t="shared" si="30"/>
        <v>#VALUE!</v>
      </c>
      <c r="DI60" s="22" t="e">
        <f t="shared" si="31"/>
        <v>#VALUE!</v>
      </c>
      <c r="DJ60" s="22" t="e">
        <f t="shared" si="32"/>
        <v>#VALUE!</v>
      </c>
      <c r="DK60" s="22" t="e">
        <f t="shared" si="33"/>
        <v>#VALUE!</v>
      </c>
      <c r="DL60" s="22" t="e">
        <f t="shared" si="34"/>
        <v>#VALUE!</v>
      </c>
      <c r="DM60" s="22" t="e">
        <f t="shared" si="35"/>
        <v>#VALUE!</v>
      </c>
      <c r="DN60" s="22" t="e">
        <f t="shared" si="36"/>
        <v>#VALUE!</v>
      </c>
      <c r="DO60" s="22">
        <f t="shared" si="37"/>
        <v>0</v>
      </c>
      <c r="DP60" s="22" t="e">
        <f t="shared" si="38"/>
        <v>#VALUE!</v>
      </c>
      <c r="DQ60" s="22">
        <f t="shared" si="39"/>
        <v>0</v>
      </c>
      <c r="DR60" s="22">
        <f t="shared" si="40"/>
        <v>0</v>
      </c>
    </row>
    <row r="61" spans="1:122" s="14" customFormat="1" ht="39.75" thickBot="1">
      <c r="A61" s="11" t="s">
        <v>166</v>
      </c>
      <c r="B61" s="12" t="s">
        <v>137</v>
      </c>
      <c r="C61" s="26">
        <v>999</v>
      </c>
      <c r="D61" s="26" t="s">
        <v>55</v>
      </c>
      <c r="E61" s="26" t="s">
        <v>55</v>
      </c>
      <c r="F61" s="26" t="s">
        <v>55</v>
      </c>
      <c r="G61" s="26">
        <v>999</v>
      </c>
      <c r="H61" s="33">
        <v>851</v>
      </c>
      <c r="I61" s="33">
        <v>474</v>
      </c>
      <c r="J61" s="33">
        <v>377</v>
      </c>
      <c r="K61" s="33" t="s">
        <v>55</v>
      </c>
      <c r="L61" s="33" t="s">
        <v>55</v>
      </c>
      <c r="M61" s="33" t="s">
        <v>55</v>
      </c>
      <c r="N61" s="33">
        <v>148</v>
      </c>
      <c r="O61" s="40" t="s">
        <v>55</v>
      </c>
      <c r="P61" s="40" t="s">
        <v>55</v>
      </c>
      <c r="Q61" s="40" t="s">
        <v>55</v>
      </c>
      <c r="R61" s="40" t="s">
        <v>55</v>
      </c>
      <c r="S61" s="40" t="s">
        <v>55</v>
      </c>
      <c r="T61" s="40" t="s">
        <v>55</v>
      </c>
      <c r="U61" s="47" t="s">
        <v>55</v>
      </c>
      <c r="V61" s="48" t="s">
        <v>55</v>
      </c>
      <c r="W61" s="48" t="s">
        <v>55</v>
      </c>
      <c r="X61" s="48" t="s">
        <v>55</v>
      </c>
      <c r="Y61" s="48" t="s">
        <v>55</v>
      </c>
      <c r="Z61" s="48" t="s">
        <v>55</v>
      </c>
      <c r="AA61" s="48" t="s">
        <v>55</v>
      </c>
      <c r="AB61" s="55" t="s">
        <v>55</v>
      </c>
      <c r="AC61" s="55" t="s">
        <v>55</v>
      </c>
      <c r="AD61" s="55" t="s">
        <v>55</v>
      </c>
      <c r="AE61" s="55" t="s">
        <v>55</v>
      </c>
      <c r="AF61" s="55" t="s">
        <v>55</v>
      </c>
      <c r="AG61" s="62" t="s">
        <v>55</v>
      </c>
      <c r="AH61" s="62" t="s">
        <v>55</v>
      </c>
      <c r="AI61" s="62" t="s">
        <v>55</v>
      </c>
      <c r="AJ61" s="62" t="s">
        <v>55</v>
      </c>
      <c r="AK61" s="62" t="s">
        <v>55</v>
      </c>
      <c r="AL61" s="62" t="s">
        <v>55</v>
      </c>
      <c r="AM61" s="13">
        <v>148</v>
      </c>
      <c r="AN61" s="13" t="s">
        <v>55</v>
      </c>
      <c r="AO61" s="13">
        <v>999</v>
      </c>
      <c r="AP61" s="13">
        <v>851</v>
      </c>
      <c r="AQ61" s="19">
        <v>999</v>
      </c>
      <c r="AR61" s="20" t="s">
        <v>55</v>
      </c>
      <c r="AS61" s="20" t="s">
        <v>55</v>
      </c>
      <c r="AT61" s="20" t="s">
        <v>55</v>
      </c>
      <c r="AU61" s="20">
        <v>999</v>
      </c>
      <c r="AV61" s="17">
        <v>851</v>
      </c>
      <c r="AW61" s="18">
        <v>474</v>
      </c>
      <c r="AX61" s="18">
        <v>377</v>
      </c>
      <c r="AY61" s="18" t="s">
        <v>55</v>
      </c>
      <c r="AZ61" s="18" t="s">
        <v>55</v>
      </c>
      <c r="BA61" s="18" t="s">
        <v>55</v>
      </c>
      <c r="BB61" s="18">
        <v>148</v>
      </c>
      <c r="BC61" s="68"/>
      <c r="BD61" s="69"/>
      <c r="BE61" s="69"/>
      <c r="BF61" s="69"/>
      <c r="BG61" s="69"/>
      <c r="BH61" s="69"/>
      <c r="BI61" s="133"/>
      <c r="BJ61" s="134"/>
      <c r="BK61" s="134"/>
      <c r="BL61" s="134"/>
      <c r="BM61" s="134"/>
      <c r="BN61" s="134"/>
      <c r="BO61" s="134"/>
      <c r="BP61" s="139"/>
      <c r="BQ61" s="140"/>
      <c r="BR61" s="140"/>
      <c r="BS61" s="140"/>
      <c r="BT61" s="140"/>
      <c r="BU61" s="143"/>
      <c r="BV61" s="144"/>
      <c r="BW61" s="144"/>
      <c r="BX61" s="144"/>
      <c r="BY61" s="144"/>
      <c r="BZ61" s="144"/>
      <c r="CA61" s="15">
        <v>148</v>
      </c>
      <c r="CB61" s="21" t="s">
        <v>55</v>
      </c>
      <c r="CC61" s="21">
        <v>999</v>
      </c>
      <c r="CD61" s="21">
        <v>851</v>
      </c>
      <c r="CE61" s="22">
        <f t="shared" si="1"/>
        <v>0</v>
      </c>
      <c r="CF61" s="22" t="e">
        <f t="shared" si="2"/>
        <v>#VALUE!</v>
      </c>
      <c r="CG61" s="22" t="e">
        <f t="shared" si="3"/>
        <v>#VALUE!</v>
      </c>
      <c r="CH61" s="22" t="e">
        <f t="shared" si="4"/>
        <v>#VALUE!</v>
      </c>
      <c r="CI61" s="22">
        <f t="shared" si="5"/>
        <v>0</v>
      </c>
      <c r="CJ61" s="22">
        <f t="shared" si="6"/>
        <v>0</v>
      </c>
      <c r="CK61" s="22">
        <f t="shared" si="7"/>
        <v>0</v>
      </c>
      <c r="CL61" s="22">
        <f t="shared" si="8"/>
        <v>0</v>
      </c>
      <c r="CM61" s="22" t="e">
        <f t="shared" si="9"/>
        <v>#VALUE!</v>
      </c>
      <c r="CN61" s="22" t="e">
        <f t="shared" si="10"/>
        <v>#VALUE!</v>
      </c>
      <c r="CO61" s="22" t="e">
        <f t="shared" si="11"/>
        <v>#VALUE!</v>
      </c>
      <c r="CP61" s="22">
        <f t="shared" si="12"/>
        <v>0</v>
      </c>
      <c r="CQ61" s="22" t="e">
        <f t="shared" si="13"/>
        <v>#VALUE!</v>
      </c>
      <c r="CR61" s="22" t="e">
        <f t="shared" si="14"/>
        <v>#VALUE!</v>
      </c>
      <c r="CS61" s="22" t="e">
        <f t="shared" si="15"/>
        <v>#VALUE!</v>
      </c>
      <c r="CT61" s="22" t="e">
        <f t="shared" si="16"/>
        <v>#VALUE!</v>
      </c>
      <c r="CU61" s="22" t="e">
        <f t="shared" si="17"/>
        <v>#VALUE!</v>
      </c>
      <c r="CV61" s="22" t="e">
        <f t="shared" si="18"/>
        <v>#VALUE!</v>
      </c>
      <c r="CW61" s="22" t="e">
        <f t="shared" si="19"/>
        <v>#VALUE!</v>
      </c>
      <c r="CX61" s="22" t="e">
        <f t="shared" si="20"/>
        <v>#VALUE!</v>
      </c>
      <c r="CY61" s="22" t="e">
        <f t="shared" si="21"/>
        <v>#VALUE!</v>
      </c>
      <c r="CZ61" s="22" t="e">
        <f t="shared" si="22"/>
        <v>#VALUE!</v>
      </c>
      <c r="DA61" s="22" t="e">
        <f t="shared" si="23"/>
        <v>#VALUE!</v>
      </c>
      <c r="DB61" s="22" t="e">
        <f t="shared" si="24"/>
        <v>#VALUE!</v>
      </c>
      <c r="DC61" s="22" t="e">
        <f t="shared" si="25"/>
        <v>#VALUE!</v>
      </c>
      <c r="DD61" s="22" t="e">
        <f t="shared" si="26"/>
        <v>#VALUE!</v>
      </c>
      <c r="DE61" s="22" t="e">
        <f t="shared" si="27"/>
        <v>#VALUE!</v>
      </c>
      <c r="DF61" s="22" t="e">
        <f t="shared" si="28"/>
        <v>#VALUE!</v>
      </c>
      <c r="DG61" s="22" t="e">
        <f t="shared" si="29"/>
        <v>#VALUE!</v>
      </c>
      <c r="DH61" s="22" t="e">
        <f t="shared" si="30"/>
        <v>#VALUE!</v>
      </c>
      <c r="DI61" s="22" t="e">
        <f t="shared" si="31"/>
        <v>#VALUE!</v>
      </c>
      <c r="DJ61" s="22" t="e">
        <f t="shared" si="32"/>
        <v>#VALUE!</v>
      </c>
      <c r="DK61" s="22" t="e">
        <f t="shared" si="33"/>
        <v>#VALUE!</v>
      </c>
      <c r="DL61" s="22" t="e">
        <f t="shared" si="34"/>
        <v>#VALUE!</v>
      </c>
      <c r="DM61" s="22" t="e">
        <f t="shared" si="35"/>
        <v>#VALUE!</v>
      </c>
      <c r="DN61" s="22" t="e">
        <f t="shared" si="36"/>
        <v>#VALUE!</v>
      </c>
      <c r="DO61" s="22">
        <f t="shared" si="37"/>
        <v>0</v>
      </c>
      <c r="DP61" s="22" t="e">
        <f t="shared" si="38"/>
        <v>#VALUE!</v>
      </c>
      <c r="DQ61" s="22">
        <f t="shared" si="39"/>
        <v>0</v>
      </c>
      <c r="DR61" s="22">
        <f t="shared" si="40"/>
        <v>0</v>
      </c>
    </row>
    <row r="62" spans="1:122" ht="26.25">
      <c r="A62" s="2" t="s">
        <v>138</v>
      </c>
      <c r="B62" s="3" t="s">
        <v>139</v>
      </c>
      <c r="C62" s="27">
        <v>999</v>
      </c>
      <c r="D62" s="27" t="s">
        <v>55</v>
      </c>
      <c r="E62" s="27" t="s">
        <v>55</v>
      </c>
      <c r="F62" s="27" t="s">
        <v>55</v>
      </c>
      <c r="G62" s="27">
        <v>999</v>
      </c>
      <c r="H62" s="34">
        <v>851</v>
      </c>
      <c r="I62" s="34">
        <v>474</v>
      </c>
      <c r="J62" s="34">
        <v>377</v>
      </c>
      <c r="K62" s="34" t="s">
        <v>55</v>
      </c>
      <c r="L62" s="34" t="s">
        <v>55</v>
      </c>
      <c r="M62" s="34" t="s">
        <v>55</v>
      </c>
      <c r="N62" s="34">
        <v>148</v>
      </c>
      <c r="O62" s="41" t="s">
        <v>55</v>
      </c>
      <c r="P62" s="41" t="s">
        <v>55</v>
      </c>
      <c r="Q62" s="41" t="s">
        <v>55</v>
      </c>
      <c r="R62" s="41" t="s">
        <v>55</v>
      </c>
      <c r="S62" s="41" t="s">
        <v>55</v>
      </c>
      <c r="T62" s="41" t="s">
        <v>55</v>
      </c>
      <c r="U62" s="49" t="s">
        <v>55</v>
      </c>
      <c r="V62" s="50" t="s">
        <v>55</v>
      </c>
      <c r="W62" s="50" t="s">
        <v>55</v>
      </c>
      <c r="X62" s="50" t="s">
        <v>55</v>
      </c>
      <c r="Y62" s="50" t="s">
        <v>55</v>
      </c>
      <c r="Z62" s="50" t="s">
        <v>55</v>
      </c>
      <c r="AA62" s="50" t="s">
        <v>55</v>
      </c>
      <c r="AB62" s="56" t="s">
        <v>55</v>
      </c>
      <c r="AC62" s="56" t="s">
        <v>55</v>
      </c>
      <c r="AD62" s="56" t="s">
        <v>55</v>
      </c>
      <c r="AE62" s="56" t="s">
        <v>55</v>
      </c>
      <c r="AF62" s="56" t="s">
        <v>55</v>
      </c>
      <c r="AG62" s="63" t="s">
        <v>55</v>
      </c>
      <c r="AH62" s="63" t="s">
        <v>55</v>
      </c>
      <c r="AI62" s="63" t="s">
        <v>55</v>
      </c>
      <c r="AJ62" s="63" t="s">
        <v>55</v>
      </c>
      <c r="AK62" s="63" t="s">
        <v>55</v>
      </c>
      <c r="AL62" s="63" t="s">
        <v>55</v>
      </c>
      <c r="AM62" s="7">
        <v>148</v>
      </c>
      <c r="AN62" s="7" t="s">
        <v>55</v>
      </c>
      <c r="AO62" s="7">
        <v>999</v>
      </c>
      <c r="AP62" s="7">
        <v>851</v>
      </c>
      <c r="AQ62" s="17">
        <v>999</v>
      </c>
      <c r="AR62" s="18" t="s">
        <v>55</v>
      </c>
      <c r="AS62" s="18" t="s">
        <v>55</v>
      </c>
      <c r="AT62" s="18" t="s">
        <v>55</v>
      </c>
      <c r="AU62" s="18">
        <v>999</v>
      </c>
      <c r="AV62" s="15">
        <v>851</v>
      </c>
      <c r="AW62" s="16">
        <v>474</v>
      </c>
      <c r="AX62" s="16">
        <v>377</v>
      </c>
      <c r="AY62" s="16" t="s">
        <v>55</v>
      </c>
      <c r="AZ62" s="16" t="s">
        <v>55</v>
      </c>
      <c r="BA62" s="16" t="s">
        <v>55</v>
      </c>
      <c r="BB62" s="16">
        <v>148</v>
      </c>
      <c r="BC62" s="68"/>
      <c r="BD62" s="69"/>
      <c r="BE62" s="69"/>
      <c r="BF62" s="69"/>
      <c r="BG62" s="69"/>
      <c r="BH62" s="69"/>
      <c r="BI62" s="133"/>
      <c r="BJ62" s="134"/>
      <c r="BK62" s="134"/>
      <c r="BL62" s="134"/>
      <c r="BM62" s="134"/>
      <c r="BN62" s="134"/>
      <c r="BO62" s="134"/>
      <c r="BP62" s="139"/>
      <c r="BQ62" s="140"/>
      <c r="BR62" s="140"/>
      <c r="BS62" s="140"/>
      <c r="BT62" s="140"/>
      <c r="BU62" s="143"/>
      <c r="BV62" s="144"/>
      <c r="BW62" s="144"/>
      <c r="BX62" s="144"/>
      <c r="BY62" s="144"/>
      <c r="BZ62" s="144"/>
      <c r="CA62" s="17">
        <v>148</v>
      </c>
      <c r="CB62" s="18" t="s">
        <v>55</v>
      </c>
      <c r="CC62" s="18">
        <v>999</v>
      </c>
      <c r="CD62" s="18">
        <v>851</v>
      </c>
      <c r="CE62" s="22">
        <f t="shared" si="1"/>
        <v>0</v>
      </c>
      <c r="CF62" s="22" t="e">
        <f t="shared" si="2"/>
        <v>#VALUE!</v>
      </c>
      <c r="CG62" s="22" t="e">
        <f t="shared" si="3"/>
        <v>#VALUE!</v>
      </c>
      <c r="CH62" s="22" t="e">
        <f t="shared" si="4"/>
        <v>#VALUE!</v>
      </c>
      <c r="CI62" s="22">
        <f t="shared" si="5"/>
        <v>0</v>
      </c>
      <c r="CJ62" s="22">
        <f t="shared" si="6"/>
        <v>0</v>
      </c>
      <c r="CK62" s="22">
        <f t="shared" si="7"/>
        <v>0</v>
      </c>
      <c r="CL62" s="22">
        <f t="shared" si="8"/>
        <v>0</v>
      </c>
      <c r="CM62" s="22" t="e">
        <f t="shared" si="9"/>
        <v>#VALUE!</v>
      </c>
      <c r="CN62" s="22" t="e">
        <f t="shared" si="10"/>
        <v>#VALUE!</v>
      </c>
      <c r="CO62" s="22" t="e">
        <f t="shared" si="11"/>
        <v>#VALUE!</v>
      </c>
      <c r="CP62" s="22">
        <f t="shared" si="12"/>
        <v>0</v>
      </c>
      <c r="CQ62" s="22" t="e">
        <f t="shared" si="13"/>
        <v>#VALUE!</v>
      </c>
      <c r="CR62" s="22" t="e">
        <f t="shared" si="14"/>
        <v>#VALUE!</v>
      </c>
      <c r="CS62" s="22" t="e">
        <f t="shared" si="15"/>
        <v>#VALUE!</v>
      </c>
      <c r="CT62" s="22" t="e">
        <f t="shared" si="16"/>
        <v>#VALUE!</v>
      </c>
      <c r="CU62" s="22" t="e">
        <f t="shared" si="17"/>
        <v>#VALUE!</v>
      </c>
      <c r="CV62" s="22" t="e">
        <f t="shared" si="18"/>
        <v>#VALUE!</v>
      </c>
      <c r="CW62" s="22" t="e">
        <f t="shared" si="19"/>
        <v>#VALUE!</v>
      </c>
      <c r="CX62" s="22" t="e">
        <f t="shared" si="20"/>
        <v>#VALUE!</v>
      </c>
      <c r="CY62" s="22" t="e">
        <f t="shared" si="21"/>
        <v>#VALUE!</v>
      </c>
      <c r="CZ62" s="22" t="e">
        <f t="shared" si="22"/>
        <v>#VALUE!</v>
      </c>
      <c r="DA62" s="22" t="e">
        <f t="shared" si="23"/>
        <v>#VALUE!</v>
      </c>
      <c r="DB62" s="22" t="e">
        <f t="shared" si="24"/>
        <v>#VALUE!</v>
      </c>
      <c r="DC62" s="22" t="e">
        <f t="shared" si="25"/>
        <v>#VALUE!</v>
      </c>
      <c r="DD62" s="22" t="e">
        <f t="shared" si="26"/>
        <v>#VALUE!</v>
      </c>
      <c r="DE62" s="22" t="e">
        <f t="shared" si="27"/>
        <v>#VALUE!</v>
      </c>
      <c r="DF62" s="22" t="e">
        <f t="shared" si="28"/>
        <v>#VALUE!</v>
      </c>
      <c r="DG62" s="22" t="e">
        <f t="shared" si="29"/>
        <v>#VALUE!</v>
      </c>
      <c r="DH62" s="22" t="e">
        <f t="shared" si="30"/>
        <v>#VALUE!</v>
      </c>
      <c r="DI62" s="22" t="e">
        <f t="shared" si="31"/>
        <v>#VALUE!</v>
      </c>
      <c r="DJ62" s="22" t="e">
        <f t="shared" si="32"/>
        <v>#VALUE!</v>
      </c>
      <c r="DK62" s="22" t="e">
        <f t="shared" si="33"/>
        <v>#VALUE!</v>
      </c>
      <c r="DL62" s="22" t="e">
        <f t="shared" si="34"/>
        <v>#VALUE!</v>
      </c>
      <c r="DM62" s="22" t="e">
        <f t="shared" si="35"/>
        <v>#VALUE!</v>
      </c>
      <c r="DN62" s="22" t="e">
        <f t="shared" si="36"/>
        <v>#VALUE!</v>
      </c>
      <c r="DO62" s="22">
        <f t="shared" si="37"/>
        <v>0</v>
      </c>
      <c r="DP62" s="22" t="e">
        <f t="shared" si="38"/>
        <v>#VALUE!</v>
      </c>
      <c r="DQ62" s="22">
        <f t="shared" si="39"/>
        <v>0</v>
      </c>
      <c r="DR62" s="22">
        <f t="shared" si="40"/>
        <v>0</v>
      </c>
    </row>
    <row r="63" spans="1:122" s="14" customFormat="1" ht="51.75">
      <c r="A63" s="11" t="s">
        <v>167</v>
      </c>
      <c r="B63" s="12" t="s">
        <v>140</v>
      </c>
      <c r="C63" s="26">
        <v>428</v>
      </c>
      <c r="D63" s="26" t="s">
        <v>55</v>
      </c>
      <c r="E63" s="26" t="s">
        <v>55</v>
      </c>
      <c r="F63" s="26" t="s">
        <v>55</v>
      </c>
      <c r="G63" s="26">
        <v>428</v>
      </c>
      <c r="H63" s="33">
        <v>454</v>
      </c>
      <c r="I63" s="33" t="s">
        <v>55</v>
      </c>
      <c r="J63" s="33" t="s">
        <v>55</v>
      </c>
      <c r="K63" s="33" t="s">
        <v>55</v>
      </c>
      <c r="L63" s="33" t="s">
        <v>55</v>
      </c>
      <c r="M63" s="33">
        <v>454</v>
      </c>
      <c r="N63" s="33">
        <v>-26</v>
      </c>
      <c r="O63" s="40" t="s">
        <v>55</v>
      </c>
      <c r="P63" s="40" t="s">
        <v>55</v>
      </c>
      <c r="Q63" s="40" t="s">
        <v>55</v>
      </c>
      <c r="R63" s="40" t="s">
        <v>55</v>
      </c>
      <c r="S63" s="40" t="s">
        <v>55</v>
      </c>
      <c r="T63" s="40" t="s">
        <v>55</v>
      </c>
      <c r="U63" s="47" t="s">
        <v>55</v>
      </c>
      <c r="V63" s="48" t="s">
        <v>55</v>
      </c>
      <c r="W63" s="48" t="s">
        <v>55</v>
      </c>
      <c r="X63" s="48" t="s">
        <v>55</v>
      </c>
      <c r="Y63" s="48" t="s">
        <v>55</v>
      </c>
      <c r="Z63" s="48" t="s">
        <v>55</v>
      </c>
      <c r="AA63" s="48" t="s">
        <v>55</v>
      </c>
      <c r="AB63" s="55" t="s">
        <v>55</v>
      </c>
      <c r="AC63" s="55" t="s">
        <v>55</v>
      </c>
      <c r="AD63" s="55" t="s">
        <v>55</v>
      </c>
      <c r="AE63" s="55" t="s">
        <v>55</v>
      </c>
      <c r="AF63" s="55" t="s">
        <v>55</v>
      </c>
      <c r="AG63" s="62" t="s">
        <v>55</v>
      </c>
      <c r="AH63" s="62" t="s">
        <v>55</v>
      </c>
      <c r="AI63" s="62" t="s">
        <v>55</v>
      </c>
      <c r="AJ63" s="62" t="s">
        <v>55</v>
      </c>
      <c r="AK63" s="62" t="s">
        <v>55</v>
      </c>
      <c r="AL63" s="62" t="s">
        <v>55</v>
      </c>
      <c r="AM63" s="13">
        <v>-26</v>
      </c>
      <c r="AN63" s="13" t="s">
        <v>55</v>
      </c>
      <c r="AO63" s="13">
        <v>428</v>
      </c>
      <c r="AP63" s="13">
        <v>454</v>
      </c>
      <c r="AQ63" s="17">
        <v>428</v>
      </c>
      <c r="AR63" s="18" t="s">
        <v>55</v>
      </c>
      <c r="AS63" s="18" t="s">
        <v>55</v>
      </c>
      <c r="AT63" s="18" t="s">
        <v>55</v>
      </c>
      <c r="AU63" s="18">
        <v>428</v>
      </c>
      <c r="AV63" s="17">
        <v>454</v>
      </c>
      <c r="AW63" s="18" t="s">
        <v>55</v>
      </c>
      <c r="AX63" s="18" t="s">
        <v>55</v>
      </c>
      <c r="AY63" s="18" t="s">
        <v>55</v>
      </c>
      <c r="AZ63" s="18" t="s">
        <v>55</v>
      </c>
      <c r="BA63" s="18">
        <v>454</v>
      </c>
      <c r="BB63" s="18">
        <v>-26</v>
      </c>
      <c r="BC63" s="68"/>
      <c r="BD63" s="69"/>
      <c r="BE63" s="69"/>
      <c r="BF63" s="69"/>
      <c r="BG63" s="69"/>
      <c r="BH63" s="69"/>
      <c r="BI63" s="133"/>
      <c r="BJ63" s="134"/>
      <c r="BK63" s="134"/>
      <c r="BL63" s="134"/>
      <c r="BM63" s="134"/>
      <c r="BN63" s="134"/>
      <c r="BO63" s="134"/>
      <c r="BP63" s="139"/>
      <c r="BQ63" s="140"/>
      <c r="BR63" s="140"/>
      <c r="BS63" s="140"/>
      <c r="BT63" s="140"/>
      <c r="BU63" s="143"/>
      <c r="BV63" s="144"/>
      <c r="BW63" s="144"/>
      <c r="BX63" s="144"/>
      <c r="BY63" s="144"/>
      <c r="BZ63" s="144"/>
      <c r="CA63" s="17">
        <v>-26</v>
      </c>
      <c r="CB63" s="18" t="s">
        <v>55</v>
      </c>
      <c r="CC63" s="18">
        <v>428</v>
      </c>
      <c r="CD63" s="18">
        <v>454</v>
      </c>
      <c r="CE63" s="22">
        <f t="shared" si="1"/>
        <v>0</v>
      </c>
      <c r="CF63" s="22" t="e">
        <f t="shared" si="2"/>
        <v>#VALUE!</v>
      </c>
      <c r="CG63" s="22" t="e">
        <f t="shared" si="3"/>
        <v>#VALUE!</v>
      </c>
      <c r="CH63" s="22" t="e">
        <f t="shared" si="4"/>
        <v>#VALUE!</v>
      </c>
      <c r="CI63" s="22">
        <f t="shared" si="5"/>
        <v>0</v>
      </c>
      <c r="CJ63" s="22">
        <f t="shared" si="6"/>
        <v>0</v>
      </c>
      <c r="CK63" s="22" t="e">
        <f t="shared" si="7"/>
        <v>#VALUE!</v>
      </c>
      <c r="CL63" s="22" t="e">
        <f t="shared" si="8"/>
        <v>#VALUE!</v>
      </c>
      <c r="CM63" s="22" t="e">
        <f t="shared" si="9"/>
        <v>#VALUE!</v>
      </c>
      <c r="CN63" s="22" t="e">
        <f t="shared" si="10"/>
        <v>#VALUE!</v>
      </c>
      <c r="CO63" s="22">
        <f t="shared" si="11"/>
        <v>0</v>
      </c>
      <c r="CP63" s="22">
        <f t="shared" si="12"/>
        <v>0</v>
      </c>
      <c r="CQ63" s="22" t="e">
        <f t="shared" si="13"/>
        <v>#VALUE!</v>
      </c>
      <c r="CR63" s="22" t="e">
        <f t="shared" si="14"/>
        <v>#VALUE!</v>
      </c>
      <c r="CS63" s="22" t="e">
        <f t="shared" si="15"/>
        <v>#VALUE!</v>
      </c>
      <c r="CT63" s="22" t="e">
        <f t="shared" si="16"/>
        <v>#VALUE!</v>
      </c>
      <c r="CU63" s="22" t="e">
        <f t="shared" si="17"/>
        <v>#VALUE!</v>
      </c>
      <c r="CV63" s="22" t="e">
        <f t="shared" si="18"/>
        <v>#VALUE!</v>
      </c>
      <c r="CW63" s="22" t="e">
        <f t="shared" si="19"/>
        <v>#VALUE!</v>
      </c>
      <c r="CX63" s="22" t="e">
        <f t="shared" si="20"/>
        <v>#VALUE!</v>
      </c>
      <c r="CY63" s="22" t="e">
        <f t="shared" si="21"/>
        <v>#VALUE!</v>
      </c>
      <c r="CZ63" s="22" t="e">
        <f t="shared" si="22"/>
        <v>#VALUE!</v>
      </c>
      <c r="DA63" s="22" t="e">
        <f t="shared" si="23"/>
        <v>#VALUE!</v>
      </c>
      <c r="DB63" s="22" t="e">
        <f t="shared" si="24"/>
        <v>#VALUE!</v>
      </c>
      <c r="DC63" s="22" t="e">
        <f t="shared" si="25"/>
        <v>#VALUE!</v>
      </c>
      <c r="DD63" s="22" t="e">
        <f t="shared" si="26"/>
        <v>#VALUE!</v>
      </c>
      <c r="DE63" s="22" t="e">
        <f t="shared" si="27"/>
        <v>#VALUE!</v>
      </c>
      <c r="DF63" s="22" t="e">
        <f t="shared" si="28"/>
        <v>#VALUE!</v>
      </c>
      <c r="DG63" s="22" t="e">
        <f t="shared" si="29"/>
        <v>#VALUE!</v>
      </c>
      <c r="DH63" s="22" t="e">
        <f t="shared" si="30"/>
        <v>#VALUE!</v>
      </c>
      <c r="DI63" s="22" t="e">
        <f t="shared" si="31"/>
        <v>#VALUE!</v>
      </c>
      <c r="DJ63" s="22" t="e">
        <f t="shared" si="32"/>
        <v>#VALUE!</v>
      </c>
      <c r="DK63" s="22" t="e">
        <f t="shared" si="33"/>
        <v>#VALUE!</v>
      </c>
      <c r="DL63" s="22" t="e">
        <f t="shared" si="34"/>
        <v>#VALUE!</v>
      </c>
      <c r="DM63" s="22" t="e">
        <f t="shared" si="35"/>
        <v>#VALUE!</v>
      </c>
      <c r="DN63" s="22" t="e">
        <f t="shared" si="36"/>
        <v>#VALUE!</v>
      </c>
      <c r="DO63" s="22">
        <f t="shared" si="37"/>
        <v>0</v>
      </c>
      <c r="DP63" s="22" t="e">
        <f t="shared" si="38"/>
        <v>#VALUE!</v>
      </c>
      <c r="DQ63" s="22">
        <f t="shared" si="39"/>
        <v>0</v>
      </c>
      <c r="DR63" s="22">
        <f t="shared" si="40"/>
        <v>0</v>
      </c>
    </row>
    <row r="64" spans="1:122" ht="26.25">
      <c r="A64" s="2" t="s">
        <v>141</v>
      </c>
      <c r="B64" s="3" t="s">
        <v>142</v>
      </c>
      <c r="C64" s="27">
        <v>428</v>
      </c>
      <c r="D64" s="27" t="s">
        <v>55</v>
      </c>
      <c r="E64" s="27" t="s">
        <v>55</v>
      </c>
      <c r="F64" s="27" t="s">
        <v>55</v>
      </c>
      <c r="G64" s="27">
        <v>428</v>
      </c>
      <c r="H64" s="34">
        <v>454</v>
      </c>
      <c r="I64" s="34" t="s">
        <v>55</v>
      </c>
      <c r="J64" s="34" t="s">
        <v>55</v>
      </c>
      <c r="K64" s="34" t="s">
        <v>55</v>
      </c>
      <c r="L64" s="34" t="s">
        <v>55</v>
      </c>
      <c r="M64" s="34">
        <v>454</v>
      </c>
      <c r="N64" s="34">
        <v>-26</v>
      </c>
      <c r="O64" s="41" t="s">
        <v>55</v>
      </c>
      <c r="P64" s="41" t="s">
        <v>55</v>
      </c>
      <c r="Q64" s="41" t="s">
        <v>55</v>
      </c>
      <c r="R64" s="41" t="s">
        <v>55</v>
      </c>
      <c r="S64" s="41" t="s">
        <v>55</v>
      </c>
      <c r="T64" s="41" t="s">
        <v>55</v>
      </c>
      <c r="U64" s="49" t="s">
        <v>55</v>
      </c>
      <c r="V64" s="50" t="s">
        <v>55</v>
      </c>
      <c r="W64" s="50" t="s">
        <v>55</v>
      </c>
      <c r="X64" s="50" t="s">
        <v>55</v>
      </c>
      <c r="Y64" s="50" t="s">
        <v>55</v>
      </c>
      <c r="Z64" s="50" t="s">
        <v>55</v>
      </c>
      <c r="AA64" s="50" t="s">
        <v>55</v>
      </c>
      <c r="AB64" s="56" t="s">
        <v>55</v>
      </c>
      <c r="AC64" s="56" t="s">
        <v>55</v>
      </c>
      <c r="AD64" s="56" t="s">
        <v>55</v>
      </c>
      <c r="AE64" s="56" t="s">
        <v>55</v>
      </c>
      <c r="AF64" s="56" t="s">
        <v>55</v>
      </c>
      <c r="AG64" s="63" t="s">
        <v>55</v>
      </c>
      <c r="AH64" s="63" t="s">
        <v>55</v>
      </c>
      <c r="AI64" s="63" t="s">
        <v>55</v>
      </c>
      <c r="AJ64" s="63" t="s">
        <v>55</v>
      </c>
      <c r="AK64" s="63" t="s">
        <v>55</v>
      </c>
      <c r="AL64" s="63" t="s">
        <v>55</v>
      </c>
      <c r="AM64" s="7">
        <v>-26</v>
      </c>
      <c r="AN64" s="7" t="s">
        <v>55</v>
      </c>
      <c r="AO64" s="7">
        <v>428</v>
      </c>
      <c r="AP64" s="7">
        <v>454</v>
      </c>
      <c r="AQ64" s="17">
        <v>428</v>
      </c>
      <c r="AR64" s="18" t="s">
        <v>55</v>
      </c>
      <c r="AS64" s="18" t="s">
        <v>55</v>
      </c>
      <c r="AT64" s="18" t="s">
        <v>55</v>
      </c>
      <c r="AU64" s="18">
        <v>428</v>
      </c>
      <c r="AV64" s="17">
        <v>454</v>
      </c>
      <c r="AW64" s="18" t="s">
        <v>55</v>
      </c>
      <c r="AX64" s="18" t="s">
        <v>55</v>
      </c>
      <c r="AY64" s="18" t="s">
        <v>55</v>
      </c>
      <c r="AZ64" s="18" t="s">
        <v>55</v>
      </c>
      <c r="BA64" s="18">
        <v>454</v>
      </c>
      <c r="BB64" s="18">
        <v>-26</v>
      </c>
      <c r="BC64" s="68"/>
      <c r="BD64" s="69"/>
      <c r="BE64" s="69"/>
      <c r="BF64" s="69"/>
      <c r="BG64" s="69"/>
      <c r="BH64" s="69"/>
      <c r="BI64" s="133"/>
      <c r="BJ64" s="134"/>
      <c r="BK64" s="134"/>
      <c r="BL64" s="134"/>
      <c r="BM64" s="134"/>
      <c r="BN64" s="134"/>
      <c r="BO64" s="134"/>
      <c r="BP64" s="139"/>
      <c r="BQ64" s="140"/>
      <c r="BR64" s="140"/>
      <c r="BS64" s="140"/>
      <c r="BT64" s="140"/>
      <c r="BU64" s="143"/>
      <c r="BV64" s="144"/>
      <c r="BW64" s="144"/>
      <c r="BX64" s="144"/>
      <c r="BY64" s="144"/>
      <c r="BZ64" s="144"/>
      <c r="CA64" s="17">
        <v>-26</v>
      </c>
      <c r="CB64" s="18" t="s">
        <v>55</v>
      </c>
      <c r="CC64" s="18">
        <v>428</v>
      </c>
      <c r="CD64" s="18">
        <v>454</v>
      </c>
      <c r="CE64" s="22">
        <f t="shared" si="1"/>
        <v>0</v>
      </c>
      <c r="CF64" s="22" t="e">
        <f t="shared" si="2"/>
        <v>#VALUE!</v>
      </c>
      <c r="CG64" s="22" t="e">
        <f t="shared" si="3"/>
        <v>#VALUE!</v>
      </c>
      <c r="CH64" s="22" t="e">
        <f t="shared" si="4"/>
        <v>#VALUE!</v>
      </c>
      <c r="CI64" s="22">
        <f t="shared" si="5"/>
        <v>0</v>
      </c>
      <c r="CJ64" s="22">
        <f t="shared" si="6"/>
        <v>0</v>
      </c>
      <c r="CK64" s="22" t="e">
        <f t="shared" si="7"/>
        <v>#VALUE!</v>
      </c>
      <c r="CL64" s="22" t="e">
        <f t="shared" si="8"/>
        <v>#VALUE!</v>
      </c>
      <c r="CM64" s="22" t="e">
        <f t="shared" si="9"/>
        <v>#VALUE!</v>
      </c>
      <c r="CN64" s="22" t="e">
        <f t="shared" si="10"/>
        <v>#VALUE!</v>
      </c>
      <c r="CO64" s="22">
        <f t="shared" si="11"/>
        <v>0</v>
      </c>
      <c r="CP64" s="22">
        <f t="shared" si="12"/>
        <v>0</v>
      </c>
      <c r="CQ64" s="22" t="e">
        <f t="shared" si="13"/>
        <v>#VALUE!</v>
      </c>
      <c r="CR64" s="22" t="e">
        <f t="shared" si="14"/>
        <v>#VALUE!</v>
      </c>
      <c r="CS64" s="22" t="e">
        <f t="shared" si="15"/>
        <v>#VALUE!</v>
      </c>
      <c r="CT64" s="22" t="e">
        <f t="shared" si="16"/>
        <v>#VALUE!</v>
      </c>
      <c r="CU64" s="22" t="e">
        <f t="shared" si="17"/>
        <v>#VALUE!</v>
      </c>
      <c r="CV64" s="22" t="e">
        <f t="shared" si="18"/>
        <v>#VALUE!</v>
      </c>
      <c r="CW64" s="22" t="e">
        <f t="shared" si="19"/>
        <v>#VALUE!</v>
      </c>
      <c r="CX64" s="22" t="e">
        <f t="shared" si="20"/>
        <v>#VALUE!</v>
      </c>
      <c r="CY64" s="22" t="e">
        <f t="shared" si="21"/>
        <v>#VALUE!</v>
      </c>
      <c r="CZ64" s="22" t="e">
        <f t="shared" si="22"/>
        <v>#VALUE!</v>
      </c>
      <c r="DA64" s="22" t="e">
        <f t="shared" si="23"/>
        <v>#VALUE!</v>
      </c>
      <c r="DB64" s="22" t="e">
        <f t="shared" si="24"/>
        <v>#VALUE!</v>
      </c>
      <c r="DC64" s="22" t="e">
        <f t="shared" si="25"/>
        <v>#VALUE!</v>
      </c>
      <c r="DD64" s="22" t="e">
        <f t="shared" si="26"/>
        <v>#VALUE!</v>
      </c>
      <c r="DE64" s="22" t="e">
        <f t="shared" si="27"/>
        <v>#VALUE!</v>
      </c>
      <c r="DF64" s="22" t="e">
        <f t="shared" si="28"/>
        <v>#VALUE!</v>
      </c>
      <c r="DG64" s="22" t="e">
        <f t="shared" si="29"/>
        <v>#VALUE!</v>
      </c>
      <c r="DH64" s="22" t="e">
        <f t="shared" si="30"/>
        <v>#VALUE!</v>
      </c>
      <c r="DI64" s="22" t="e">
        <f t="shared" si="31"/>
        <v>#VALUE!</v>
      </c>
      <c r="DJ64" s="22" t="e">
        <f t="shared" si="32"/>
        <v>#VALUE!</v>
      </c>
      <c r="DK64" s="22" t="e">
        <f t="shared" si="33"/>
        <v>#VALUE!</v>
      </c>
      <c r="DL64" s="22" t="e">
        <f t="shared" si="34"/>
        <v>#VALUE!</v>
      </c>
      <c r="DM64" s="22" t="e">
        <f t="shared" si="35"/>
        <v>#VALUE!</v>
      </c>
      <c r="DN64" s="22" t="e">
        <f t="shared" si="36"/>
        <v>#VALUE!</v>
      </c>
      <c r="DO64" s="22">
        <f t="shared" si="37"/>
        <v>0</v>
      </c>
      <c r="DP64" s="22" t="e">
        <f t="shared" si="38"/>
        <v>#VALUE!</v>
      </c>
      <c r="DQ64" s="22">
        <f t="shared" si="39"/>
        <v>0</v>
      </c>
      <c r="DR64" s="22">
        <f t="shared" si="40"/>
        <v>0</v>
      </c>
    </row>
    <row r="65" spans="1:122" s="14" customFormat="1" ht="26.25">
      <c r="A65" s="11" t="s">
        <v>168</v>
      </c>
      <c r="B65" s="12" t="s">
        <v>143</v>
      </c>
      <c r="C65" s="26">
        <v>58625</v>
      </c>
      <c r="D65" s="26">
        <v>36527</v>
      </c>
      <c r="E65" s="26" t="s">
        <v>55</v>
      </c>
      <c r="F65" s="26" t="s">
        <v>55</v>
      </c>
      <c r="G65" s="26">
        <v>22098</v>
      </c>
      <c r="H65" s="33">
        <v>100585</v>
      </c>
      <c r="I65" s="33">
        <v>24597</v>
      </c>
      <c r="J65" s="33">
        <v>52129</v>
      </c>
      <c r="K65" s="33">
        <v>3323</v>
      </c>
      <c r="L65" s="33">
        <v>5205</v>
      </c>
      <c r="M65" s="33">
        <v>15331</v>
      </c>
      <c r="N65" s="33">
        <v>-41960</v>
      </c>
      <c r="O65" s="40">
        <v>537481</v>
      </c>
      <c r="P65" s="40" t="s">
        <v>55</v>
      </c>
      <c r="Q65" s="40" t="s">
        <v>55</v>
      </c>
      <c r="R65" s="40">
        <v>522700</v>
      </c>
      <c r="S65" s="40" t="s">
        <v>55</v>
      </c>
      <c r="T65" s="40">
        <v>14781</v>
      </c>
      <c r="U65" s="47">
        <v>501200</v>
      </c>
      <c r="V65" s="48" t="s">
        <v>55</v>
      </c>
      <c r="W65" s="48" t="s">
        <v>55</v>
      </c>
      <c r="X65" s="48">
        <v>487200</v>
      </c>
      <c r="Y65" s="48" t="s">
        <v>55</v>
      </c>
      <c r="Z65" s="48">
        <v>14000</v>
      </c>
      <c r="AA65" s="48">
        <v>36281</v>
      </c>
      <c r="AB65" s="55">
        <v>239020</v>
      </c>
      <c r="AC65" s="55" t="s">
        <v>55</v>
      </c>
      <c r="AD65" s="55">
        <v>48349</v>
      </c>
      <c r="AE65" s="55" t="s">
        <v>55</v>
      </c>
      <c r="AF65" s="55">
        <v>190671</v>
      </c>
      <c r="AG65" s="62">
        <v>143898</v>
      </c>
      <c r="AH65" s="62" t="s">
        <v>55</v>
      </c>
      <c r="AI65" s="62" t="s">
        <v>55</v>
      </c>
      <c r="AJ65" s="62" t="s">
        <v>55</v>
      </c>
      <c r="AK65" s="62">
        <v>143898</v>
      </c>
      <c r="AL65" s="62">
        <v>95122</v>
      </c>
      <c r="AM65" s="13">
        <v>89443</v>
      </c>
      <c r="AN65" s="13" t="s">
        <v>55</v>
      </c>
      <c r="AO65" s="13">
        <v>835126</v>
      </c>
      <c r="AP65" s="13">
        <v>745683</v>
      </c>
      <c r="AQ65" s="17">
        <v>58625</v>
      </c>
      <c r="AR65" s="18">
        <v>36527</v>
      </c>
      <c r="AS65" s="18" t="s">
        <v>55</v>
      </c>
      <c r="AT65" s="18" t="s">
        <v>55</v>
      </c>
      <c r="AU65" s="18">
        <v>22098</v>
      </c>
      <c r="AV65" s="17">
        <v>100585</v>
      </c>
      <c r="AW65" s="18">
        <v>24597</v>
      </c>
      <c r="AX65" s="18">
        <v>52129</v>
      </c>
      <c r="AY65" s="18">
        <v>3323</v>
      </c>
      <c r="AZ65" s="18">
        <v>5205</v>
      </c>
      <c r="BA65" s="18">
        <v>15331</v>
      </c>
      <c r="BB65" s="18">
        <v>-41960</v>
      </c>
      <c r="BC65" s="68">
        <v>537481</v>
      </c>
      <c r="BD65" s="69" t="s">
        <v>55</v>
      </c>
      <c r="BE65" s="69" t="s">
        <v>55</v>
      </c>
      <c r="BF65" s="69">
        <v>522700</v>
      </c>
      <c r="BG65" s="69" t="s">
        <v>55</v>
      </c>
      <c r="BH65" s="69">
        <v>14781</v>
      </c>
      <c r="BI65" s="133">
        <v>501200</v>
      </c>
      <c r="BJ65" s="134" t="s">
        <v>55</v>
      </c>
      <c r="BK65" s="134" t="s">
        <v>55</v>
      </c>
      <c r="BL65" s="134">
        <v>487200</v>
      </c>
      <c r="BM65" s="134" t="s">
        <v>55</v>
      </c>
      <c r="BN65" s="134">
        <v>14000</v>
      </c>
      <c r="BO65" s="134">
        <v>36281</v>
      </c>
      <c r="BP65" s="139">
        <v>239020</v>
      </c>
      <c r="BQ65" s="140" t="s">
        <v>55</v>
      </c>
      <c r="BR65" s="140">
        <v>48349</v>
      </c>
      <c r="BS65" s="140" t="s">
        <v>55</v>
      </c>
      <c r="BT65" s="140">
        <v>190671</v>
      </c>
      <c r="BU65" s="143">
        <v>143898</v>
      </c>
      <c r="BV65" s="144" t="s">
        <v>55</v>
      </c>
      <c r="BW65" s="144" t="s">
        <v>55</v>
      </c>
      <c r="BX65" s="144" t="s">
        <v>55</v>
      </c>
      <c r="BY65" s="144">
        <v>143898</v>
      </c>
      <c r="BZ65" s="144">
        <v>95122</v>
      </c>
      <c r="CA65" s="17">
        <v>89443</v>
      </c>
      <c r="CB65" s="18" t="s">
        <v>55</v>
      </c>
      <c r="CC65" s="18">
        <v>835126</v>
      </c>
      <c r="CD65" s="18">
        <v>745683</v>
      </c>
      <c r="CE65" s="22">
        <f t="shared" si="1"/>
        <v>0</v>
      </c>
      <c r="CF65" s="22">
        <f t="shared" si="2"/>
        <v>0</v>
      </c>
      <c r="CG65" s="22" t="e">
        <f t="shared" si="3"/>
        <v>#VALUE!</v>
      </c>
      <c r="CH65" s="22" t="e">
        <f t="shared" si="4"/>
        <v>#VALUE!</v>
      </c>
      <c r="CI65" s="22">
        <f t="shared" si="5"/>
        <v>0</v>
      </c>
      <c r="CJ65" s="22">
        <f t="shared" si="6"/>
        <v>0</v>
      </c>
      <c r="CK65" s="22">
        <f t="shared" si="7"/>
        <v>0</v>
      </c>
      <c r="CL65" s="22">
        <f t="shared" si="8"/>
        <v>0</v>
      </c>
      <c r="CM65" s="22">
        <f t="shared" si="9"/>
        <v>0</v>
      </c>
      <c r="CN65" s="22">
        <f t="shared" si="10"/>
        <v>0</v>
      </c>
      <c r="CO65" s="22">
        <f t="shared" si="11"/>
        <v>0</v>
      </c>
      <c r="CP65" s="22">
        <f t="shared" si="12"/>
        <v>0</v>
      </c>
      <c r="CQ65" s="22">
        <f t="shared" si="13"/>
        <v>0</v>
      </c>
      <c r="CR65" s="22" t="e">
        <f t="shared" si="14"/>
        <v>#VALUE!</v>
      </c>
      <c r="CS65" s="22" t="e">
        <f t="shared" si="15"/>
        <v>#VALUE!</v>
      </c>
      <c r="CT65" s="22">
        <f t="shared" si="16"/>
        <v>0</v>
      </c>
      <c r="CU65" s="22" t="e">
        <f t="shared" si="17"/>
        <v>#VALUE!</v>
      </c>
      <c r="CV65" s="22">
        <f t="shared" si="18"/>
        <v>0</v>
      </c>
      <c r="CW65" s="22">
        <f t="shared" si="19"/>
        <v>0</v>
      </c>
      <c r="CX65" s="22" t="e">
        <f t="shared" si="20"/>
        <v>#VALUE!</v>
      </c>
      <c r="CY65" s="22" t="e">
        <f t="shared" si="21"/>
        <v>#VALUE!</v>
      </c>
      <c r="CZ65" s="22">
        <f t="shared" si="22"/>
        <v>0</v>
      </c>
      <c r="DA65" s="22" t="e">
        <f t="shared" si="23"/>
        <v>#VALUE!</v>
      </c>
      <c r="DB65" s="22">
        <f t="shared" si="24"/>
        <v>0</v>
      </c>
      <c r="DC65" s="22">
        <f t="shared" si="25"/>
        <v>0</v>
      </c>
      <c r="DD65" s="22">
        <f t="shared" si="26"/>
        <v>0</v>
      </c>
      <c r="DE65" s="22" t="e">
        <f t="shared" si="27"/>
        <v>#VALUE!</v>
      </c>
      <c r="DF65" s="22">
        <f t="shared" si="28"/>
        <v>0</v>
      </c>
      <c r="DG65" s="22" t="e">
        <f t="shared" si="29"/>
        <v>#VALUE!</v>
      </c>
      <c r="DH65" s="22">
        <f t="shared" si="30"/>
        <v>0</v>
      </c>
      <c r="DI65" s="22">
        <f t="shared" si="31"/>
        <v>0</v>
      </c>
      <c r="DJ65" s="22" t="e">
        <f t="shared" si="32"/>
        <v>#VALUE!</v>
      </c>
      <c r="DK65" s="22" t="e">
        <f t="shared" si="33"/>
        <v>#VALUE!</v>
      </c>
      <c r="DL65" s="22" t="e">
        <f t="shared" si="34"/>
        <v>#VALUE!</v>
      </c>
      <c r="DM65" s="22">
        <f t="shared" si="35"/>
        <v>0</v>
      </c>
      <c r="DN65" s="22">
        <f t="shared" si="36"/>
        <v>0</v>
      </c>
      <c r="DO65" s="22">
        <f t="shared" si="37"/>
        <v>0</v>
      </c>
      <c r="DP65" s="22" t="e">
        <f t="shared" si="38"/>
        <v>#VALUE!</v>
      </c>
      <c r="DQ65" s="22">
        <f t="shared" si="39"/>
        <v>0</v>
      </c>
      <c r="DR65" s="22">
        <f t="shared" si="40"/>
        <v>0</v>
      </c>
    </row>
    <row r="66" spans="1:122" ht="26.25">
      <c r="A66" s="2" t="s">
        <v>144</v>
      </c>
      <c r="B66" s="3" t="s">
        <v>145</v>
      </c>
      <c r="C66" s="27">
        <v>51122</v>
      </c>
      <c r="D66" s="27">
        <v>31160</v>
      </c>
      <c r="E66" s="27" t="s">
        <v>55</v>
      </c>
      <c r="F66" s="27" t="s">
        <v>55</v>
      </c>
      <c r="G66" s="27">
        <v>19962</v>
      </c>
      <c r="H66" s="34">
        <v>93031</v>
      </c>
      <c r="I66" s="34">
        <v>21687</v>
      </c>
      <c r="J66" s="34">
        <v>48108</v>
      </c>
      <c r="K66" s="34">
        <v>3323</v>
      </c>
      <c r="L66" s="34">
        <v>5205</v>
      </c>
      <c r="M66" s="34">
        <v>14708</v>
      </c>
      <c r="N66" s="34">
        <v>-41909</v>
      </c>
      <c r="O66" s="41">
        <v>537481</v>
      </c>
      <c r="P66" s="41" t="s">
        <v>55</v>
      </c>
      <c r="Q66" s="41" t="s">
        <v>55</v>
      </c>
      <c r="R66" s="41">
        <v>522700</v>
      </c>
      <c r="S66" s="41" t="s">
        <v>55</v>
      </c>
      <c r="T66" s="41">
        <v>14781</v>
      </c>
      <c r="U66" s="49">
        <v>501200</v>
      </c>
      <c r="V66" s="50" t="s">
        <v>55</v>
      </c>
      <c r="W66" s="50" t="s">
        <v>55</v>
      </c>
      <c r="X66" s="50">
        <v>487200</v>
      </c>
      <c r="Y66" s="50" t="s">
        <v>55</v>
      </c>
      <c r="Z66" s="50">
        <v>14000</v>
      </c>
      <c r="AA66" s="50">
        <v>36281</v>
      </c>
      <c r="AB66" s="56">
        <v>239020</v>
      </c>
      <c r="AC66" s="56" t="s">
        <v>55</v>
      </c>
      <c r="AD66" s="56">
        <v>48349</v>
      </c>
      <c r="AE66" s="56" t="s">
        <v>55</v>
      </c>
      <c r="AF66" s="56">
        <v>190671</v>
      </c>
      <c r="AG66" s="63">
        <v>143898</v>
      </c>
      <c r="AH66" s="63" t="s">
        <v>55</v>
      </c>
      <c r="AI66" s="63" t="s">
        <v>55</v>
      </c>
      <c r="AJ66" s="63" t="s">
        <v>55</v>
      </c>
      <c r="AK66" s="63">
        <v>143898</v>
      </c>
      <c r="AL66" s="63">
        <v>95122</v>
      </c>
      <c r="AM66" s="7">
        <v>89494</v>
      </c>
      <c r="AN66" s="7" t="s">
        <v>55</v>
      </c>
      <c r="AO66" s="7">
        <v>827623</v>
      </c>
      <c r="AP66" s="7">
        <v>738129</v>
      </c>
      <c r="AQ66" s="17">
        <v>51122</v>
      </c>
      <c r="AR66" s="18">
        <v>31160</v>
      </c>
      <c r="AS66" s="18" t="s">
        <v>55</v>
      </c>
      <c r="AT66" s="18" t="s">
        <v>55</v>
      </c>
      <c r="AU66" s="18">
        <v>19962</v>
      </c>
      <c r="AV66" s="17">
        <v>93031</v>
      </c>
      <c r="AW66" s="18">
        <v>21687</v>
      </c>
      <c r="AX66" s="18">
        <v>48108</v>
      </c>
      <c r="AY66" s="18">
        <v>3323</v>
      </c>
      <c r="AZ66" s="18">
        <v>5205</v>
      </c>
      <c r="BA66" s="18">
        <v>14708</v>
      </c>
      <c r="BB66" s="18">
        <v>-41909</v>
      </c>
      <c r="BC66" s="68">
        <v>537481</v>
      </c>
      <c r="BD66" s="69" t="s">
        <v>55</v>
      </c>
      <c r="BE66" s="69" t="s">
        <v>55</v>
      </c>
      <c r="BF66" s="69">
        <v>522700</v>
      </c>
      <c r="BG66" s="69" t="s">
        <v>55</v>
      </c>
      <c r="BH66" s="69">
        <v>14781</v>
      </c>
      <c r="BI66" s="133">
        <v>501200</v>
      </c>
      <c r="BJ66" s="134" t="s">
        <v>55</v>
      </c>
      <c r="BK66" s="134" t="s">
        <v>55</v>
      </c>
      <c r="BL66" s="134">
        <v>487200</v>
      </c>
      <c r="BM66" s="134" t="s">
        <v>55</v>
      </c>
      <c r="BN66" s="134">
        <v>14000</v>
      </c>
      <c r="BO66" s="134">
        <v>36281</v>
      </c>
      <c r="BP66" s="139">
        <v>239020</v>
      </c>
      <c r="BQ66" s="140" t="s">
        <v>55</v>
      </c>
      <c r="BR66" s="140">
        <v>48349</v>
      </c>
      <c r="BS66" s="140" t="s">
        <v>55</v>
      </c>
      <c r="BT66" s="140">
        <v>190671</v>
      </c>
      <c r="BU66" s="143">
        <v>143898</v>
      </c>
      <c r="BV66" s="144" t="s">
        <v>55</v>
      </c>
      <c r="BW66" s="144" t="s">
        <v>55</v>
      </c>
      <c r="BX66" s="144" t="s">
        <v>55</v>
      </c>
      <c r="BY66" s="144">
        <v>143898</v>
      </c>
      <c r="BZ66" s="144">
        <v>95122</v>
      </c>
      <c r="CA66" s="17">
        <v>89494</v>
      </c>
      <c r="CB66" s="18" t="s">
        <v>55</v>
      </c>
      <c r="CC66" s="18">
        <v>827623</v>
      </c>
      <c r="CD66" s="18">
        <v>738129</v>
      </c>
      <c r="CE66" s="22">
        <f t="shared" si="1"/>
        <v>0</v>
      </c>
      <c r="CF66" s="22">
        <f t="shared" si="2"/>
        <v>0</v>
      </c>
      <c r="CG66" s="22" t="e">
        <f t="shared" si="3"/>
        <v>#VALUE!</v>
      </c>
      <c r="CH66" s="22" t="e">
        <f t="shared" si="4"/>
        <v>#VALUE!</v>
      </c>
      <c r="CI66" s="22">
        <f t="shared" si="5"/>
        <v>0</v>
      </c>
      <c r="CJ66" s="22">
        <f t="shared" si="6"/>
        <v>0</v>
      </c>
      <c r="CK66" s="22">
        <f t="shared" si="7"/>
        <v>0</v>
      </c>
      <c r="CL66" s="22">
        <f t="shared" si="8"/>
        <v>0</v>
      </c>
      <c r="CM66" s="22">
        <f t="shared" si="9"/>
        <v>0</v>
      </c>
      <c r="CN66" s="22">
        <f t="shared" si="10"/>
        <v>0</v>
      </c>
      <c r="CO66" s="22">
        <f t="shared" si="11"/>
        <v>0</v>
      </c>
      <c r="CP66" s="22">
        <f t="shared" si="12"/>
        <v>0</v>
      </c>
      <c r="CQ66" s="22">
        <f t="shared" si="13"/>
        <v>0</v>
      </c>
      <c r="CR66" s="22" t="e">
        <f t="shared" si="14"/>
        <v>#VALUE!</v>
      </c>
      <c r="CS66" s="22" t="e">
        <f t="shared" si="15"/>
        <v>#VALUE!</v>
      </c>
      <c r="CT66" s="22">
        <f t="shared" si="16"/>
        <v>0</v>
      </c>
      <c r="CU66" s="22" t="e">
        <f t="shared" si="17"/>
        <v>#VALUE!</v>
      </c>
      <c r="CV66" s="22">
        <f t="shared" si="18"/>
        <v>0</v>
      </c>
      <c r="CW66" s="22">
        <f t="shared" si="19"/>
        <v>0</v>
      </c>
      <c r="CX66" s="22" t="e">
        <f t="shared" si="20"/>
        <v>#VALUE!</v>
      </c>
      <c r="CY66" s="22" t="e">
        <f t="shared" si="21"/>
        <v>#VALUE!</v>
      </c>
      <c r="CZ66" s="22">
        <f t="shared" si="22"/>
        <v>0</v>
      </c>
      <c r="DA66" s="22" t="e">
        <f t="shared" si="23"/>
        <v>#VALUE!</v>
      </c>
      <c r="DB66" s="22">
        <f t="shared" si="24"/>
        <v>0</v>
      </c>
      <c r="DC66" s="22">
        <f t="shared" si="25"/>
        <v>0</v>
      </c>
      <c r="DD66" s="22">
        <f t="shared" si="26"/>
        <v>0</v>
      </c>
      <c r="DE66" s="22" t="e">
        <f t="shared" si="27"/>
        <v>#VALUE!</v>
      </c>
      <c r="DF66" s="22">
        <f t="shared" si="28"/>
        <v>0</v>
      </c>
      <c r="DG66" s="22" t="e">
        <f t="shared" si="29"/>
        <v>#VALUE!</v>
      </c>
      <c r="DH66" s="22">
        <f t="shared" si="30"/>
        <v>0</v>
      </c>
      <c r="DI66" s="22">
        <f t="shared" si="31"/>
        <v>0</v>
      </c>
      <c r="DJ66" s="22" t="e">
        <f t="shared" si="32"/>
        <v>#VALUE!</v>
      </c>
      <c r="DK66" s="22" t="e">
        <f t="shared" si="33"/>
        <v>#VALUE!</v>
      </c>
      <c r="DL66" s="22" t="e">
        <f t="shared" si="34"/>
        <v>#VALUE!</v>
      </c>
      <c r="DM66" s="22">
        <f t="shared" si="35"/>
        <v>0</v>
      </c>
      <c r="DN66" s="22">
        <f t="shared" si="36"/>
        <v>0</v>
      </c>
      <c r="DO66" s="22">
        <f t="shared" si="37"/>
        <v>0</v>
      </c>
      <c r="DP66" s="22" t="e">
        <f t="shared" si="38"/>
        <v>#VALUE!</v>
      </c>
      <c r="DQ66" s="22">
        <f t="shared" si="39"/>
        <v>0</v>
      </c>
      <c r="DR66" s="22">
        <f t="shared" si="40"/>
        <v>0</v>
      </c>
    </row>
    <row r="67" spans="1:122" ht="26.25">
      <c r="A67" s="2" t="s">
        <v>146</v>
      </c>
      <c r="B67" s="3" t="s">
        <v>147</v>
      </c>
      <c r="C67" s="27">
        <v>7503</v>
      </c>
      <c r="D67" s="27">
        <v>5367</v>
      </c>
      <c r="E67" s="27" t="s">
        <v>55</v>
      </c>
      <c r="F67" s="27" t="s">
        <v>55</v>
      </c>
      <c r="G67" s="27">
        <v>2136</v>
      </c>
      <c r="H67" s="34">
        <v>7554</v>
      </c>
      <c r="I67" s="34">
        <v>2910</v>
      </c>
      <c r="J67" s="34">
        <v>4021</v>
      </c>
      <c r="K67" s="34" t="s">
        <v>55</v>
      </c>
      <c r="L67" s="34" t="s">
        <v>55</v>
      </c>
      <c r="M67" s="34">
        <v>623</v>
      </c>
      <c r="N67" s="34">
        <v>-51</v>
      </c>
      <c r="O67" s="41" t="s">
        <v>55</v>
      </c>
      <c r="P67" s="41" t="s">
        <v>55</v>
      </c>
      <c r="Q67" s="41" t="s">
        <v>55</v>
      </c>
      <c r="R67" s="41" t="s">
        <v>55</v>
      </c>
      <c r="S67" s="41" t="s">
        <v>55</v>
      </c>
      <c r="T67" s="41" t="s">
        <v>55</v>
      </c>
      <c r="U67" s="49" t="s">
        <v>55</v>
      </c>
      <c r="V67" s="50" t="s">
        <v>55</v>
      </c>
      <c r="W67" s="50" t="s">
        <v>55</v>
      </c>
      <c r="X67" s="50" t="s">
        <v>55</v>
      </c>
      <c r="Y67" s="50" t="s">
        <v>55</v>
      </c>
      <c r="Z67" s="50" t="s">
        <v>55</v>
      </c>
      <c r="AA67" s="50" t="s">
        <v>55</v>
      </c>
      <c r="AB67" s="56" t="s">
        <v>55</v>
      </c>
      <c r="AC67" s="56" t="s">
        <v>55</v>
      </c>
      <c r="AD67" s="56" t="s">
        <v>55</v>
      </c>
      <c r="AE67" s="56" t="s">
        <v>55</v>
      </c>
      <c r="AF67" s="56" t="s">
        <v>55</v>
      </c>
      <c r="AG67" s="63" t="s">
        <v>55</v>
      </c>
      <c r="AH67" s="63" t="s">
        <v>55</v>
      </c>
      <c r="AI67" s="63" t="s">
        <v>55</v>
      </c>
      <c r="AJ67" s="63" t="s">
        <v>55</v>
      </c>
      <c r="AK67" s="63" t="s">
        <v>55</v>
      </c>
      <c r="AL67" s="63" t="s">
        <v>55</v>
      </c>
      <c r="AM67" s="7">
        <v>-51</v>
      </c>
      <c r="AN67" s="7" t="s">
        <v>55</v>
      </c>
      <c r="AO67" s="7">
        <v>7503</v>
      </c>
      <c r="AP67" s="7">
        <v>7554</v>
      </c>
      <c r="AQ67" s="17">
        <v>7503</v>
      </c>
      <c r="AR67" s="18">
        <v>5367</v>
      </c>
      <c r="AS67" s="18" t="s">
        <v>55</v>
      </c>
      <c r="AT67" s="18" t="s">
        <v>55</v>
      </c>
      <c r="AU67" s="18">
        <v>2136</v>
      </c>
      <c r="AV67" s="17">
        <v>7554</v>
      </c>
      <c r="AW67" s="18">
        <v>2910</v>
      </c>
      <c r="AX67" s="18">
        <v>4021</v>
      </c>
      <c r="AY67" s="18" t="s">
        <v>55</v>
      </c>
      <c r="AZ67" s="18" t="s">
        <v>55</v>
      </c>
      <c r="BA67" s="18">
        <v>623</v>
      </c>
      <c r="BB67" s="18">
        <v>-51</v>
      </c>
      <c r="CA67" s="17">
        <v>-51</v>
      </c>
      <c r="CB67" s="18" t="s">
        <v>55</v>
      </c>
      <c r="CC67" s="18">
        <v>7503</v>
      </c>
      <c r="CD67" s="18">
        <v>7554</v>
      </c>
      <c r="CE67" s="22">
        <f t="shared" si="1"/>
        <v>0</v>
      </c>
      <c r="CF67" s="22">
        <f t="shared" si="2"/>
        <v>0</v>
      </c>
      <c r="CG67" s="22" t="e">
        <f t="shared" si="3"/>
        <v>#VALUE!</v>
      </c>
      <c r="CH67" s="22" t="e">
        <f t="shared" si="4"/>
        <v>#VALUE!</v>
      </c>
      <c r="CI67" s="22">
        <f t="shared" si="5"/>
        <v>0</v>
      </c>
      <c r="CJ67" s="22">
        <f t="shared" si="6"/>
        <v>0</v>
      </c>
      <c r="CK67" s="22">
        <f t="shared" si="7"/>
        <v>0</v>
      </c>
      <c r="CL67" s="22">
        <f t="shared" si="8"/>
        <v>0</v>
      </c>
      <c r="CM67" s="22" t="e">
        <f t="shared" si="9"/>
        <v>#VALUE!</v>
      </c>
      <c r="CN67" s="22" t="e">
        <f t="shared" si="10"/>
        <v>#VALUE!</v>
      </c>
      <c r="CO67" s="22">
        <f t="shared" si="11"/>
        <v>0</v>
      </c>
      <c r="CP67" s="22">
        <f t="shared" si="12"/>
        <v>0</v>
      </c>
      <c r="CQ67" s="22" t="e">
        <f t="shared" si="13"/>
        <v>#VALUE!</v>
      </c>
      <c r="CR67" s="22" t="e">
        <f t="shared" si="14"/>
        <v>#VALUE!</v>
      </c>
      <c r="CS67" s="22" t="e">
        <f t="shared" si="15"/>
        <v>#VALUE!</v>
      </c>
      <c r="CT67" s="22" t="e">
        <f t="shared" si="16"/>
        <v>#VALUE!</v>
      </c>
      <c r="CU67" s="22" t="e">
        <f t="shared" si="17"/>
        <v>#VALUE!</v>
      </c>
      <c r="CV67" s="22" t="e">
        <f t="shared" si="18"/>
        <v>#VALUE!</v>
      </c>
      <c r="CW67" s="22" t="e">
        <f t="shared" si="19"/>
        <v>#VALUE!</v>
      </c>
      <c r="CX67" s="22" t="e">
        <f t="shared" si="20"/>
        <v>#VALUE!</v>
      </c>
      <c r="CY67" s="22" t="e">
        <f t="shared" si="21"/>
        <v>#VALUE!</v>
      </c>
      <c r="CZ67" s="22" t="e">
        <f t="shared" si="22"/>
        <v>#VALUE!</v>
      </c>
      <c r="DA67" s="22" t="e">
        <f t="shared" si="23"/>
        <v>#VALUE!</v>
      </c>
      <c r="DB67" s="22" t="e">
        <f t="shared" si="24"/>
        <v>#VALUE!</v>
      </c>
      <c r="DC67" s="22" t="e">
        <f t="shared" si="25"/>
        <v>#VALUE!</v>
      </c>
      <c r="DD67" s="22" t="e">
        <f t="shared" si="26"/>
        <v>#VALUE!</v>
      </c>
      <c r="DE67" s="22" t="e">
        <f t="shared" si="27"/>
        <v>#VALUE!</v>
      </c>
      <c r="DF67" s="22" t="e">
        <f t="shared" si="28"/>
        <v>#VALUE!</v>
      </c>
      <c r="DG67" s="22" t="e">
        <f t="shared" si="29"/>
        <v>#VALUE!</v>
      </c>
      <c r="DH67" s="22" t="e">
        <f t="shared" si="30"/>
        <v>#VALUE!</v>
      </c>
      <c r="DI67" s="22" t="e">
        <f t="shared" si="31"/>
        <v>#VALUE!</v>
      </c>
      <c r="DJ67" s="22" t="e">
        <f t="shared" si="32"/>
        <v>#VALUE!</v>
      </c>
      <c r="DK67" s="22" t="e">
        <f t="shared" si="33"/>
        <v>#VALUE!</v>
      </c>
      <c r="DL67" s="22" t="e">
        <f t="shared" si="34"/>
        <v>#VALUE!</v>
      </c>
      <c r="DM67" s="22" t="e">
        <f t="shared" si="35"/>
        <v>#VALUE!</v>
      </c>
      <c r="DN67" s="22" t="e">
        <f t="shared" si="36"/>
        <v>#VALUE!</v>
      </c>
      <c r="DO67" s="22">
        <f t="shared" si="37"/>
        <v>0</v>
      </c>
      <c r="DP67" s="22" t="e">
        <f t="shared" si="38"/>
        <v>#VALUE!</v>
      </c>
      <c r="DQ67" s="22">
        <f t="shared" si="39"/>
        <v>0</v>
      </c>
      <c r="DR67" s="22">
        <f t="shared" si="40"/>
        <v>0</v>
      </c>
    </row>
  </sheetData>
  <mergeCells count="45">
    <mergeCell ref="AB3:AF3"/>
    <mergeCell ref="C5:C6"/>
    <mergeCell ref="Y4:AA4"/>
    <mergeCell ref="V5:Z5"/>
    <mergeCell ref="AB5:AB6"/>
    <mergeCell ref="AC5:AF5"/>
    <mergeCell ref="N5:N6"/>
    <mergeCell ref="H5:H6"/>
    <mergeCell ref="O3:T3"/>
    <mergeCell ref="AA5:AA6"/>
    <mergeCell ref="U5:U6"/>
    <mergeCell ref="B5:B6"/>
    <mergeCell ref="A5:A6"/>
    <mergeCell ref="D5:G5"/>
    <mergeCell ref="L4:N4"/>
    <mergeCell ref="P5:T5"/>
    <mergeCell ref="O5:O6"/>
    <mergeCell ref="I5:M5"/>
    <mergeCell ref="AM5:AM6"/>
    <mergeCell ref="AN5:AN6"/>
    <mergeCell ref="AO5:AO6"/>
    <mergeCell ref="AP5:AP6"/>
    <mergeCell ref="AG1:AL1"/>
    <mergeCell ref="AG2:AL2"/>
    <mergeCell ref="AG3:AL3"/>
    <mergeCell ref="AK4:AL4"/>
    <mergeCell ref="AG5:AG6"/>
    <mergeCell ref="AH5:AK5"/>
    <mergeCell ref="AL5:AL6"/>
    <mergeCell ref="C1:F1"/>
    <mergeCell ref="C2:F2"/>
    <mergeCell ref="C3:F3"/>
    <mergeCell ref="AM1:AP1"/>
    <mergeCell ref="AM2:AP2"/>
    <mergeCell ref="AM3:AP3"/>
    <mergeCell ref="U2:AA2"/>
    <mergeCell ref="U3:AA3"/>
    <mergeCell ref="AB1:AF1"/>
    <mergeCell ref="AB2:AF2"/>
    <mergeCell ref="U1:AA1"/>
    <mergeCell ref="O2:T2"/>
    <mergeCell ref="O1:T1"/>
    <mergeCell ref="H1:N1"/>
    <mergeCell ref="H2:N2"/>
    <mergeCell ref="H3:N3"/>
  </mergeCells>
  <phoneticPr fontId="0" type="noConversion"/>
  <pageMargins left="1.1023622047244095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29  Лист &amp;P</oddHeader>
  </headerFooter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T29</vt:lpstr>
      <vt:lpstr>'T29'!ExternalData_1</vt:lpstr>
      <vt:lpstr>'T29'!Заголовки_для_печати</vt:lpstr>
    </vt:vector>
  </TitlesOfParts>
  <Company>ГАР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41.KolbikMV</cp:lastModifiedBy>
  <cp:lastPrinted>2017-11-28T10:15:04Z</cp:lastPrinted>
  <dcterms:created xsi:type="dcterms:W3CDTF">2006-03-03T08:34:22Z</dcterms:created>
  <dcterms:modified xsi:type="dcterms:W3CDTF">2025-09-15T05:27:58Z</dcterms:modified>
</cp:coreProperties>
</file>