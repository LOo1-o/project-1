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45" windowWidth="9405" windowHeight="4350" tabRatio="447"/>
  </bookViews>
  <sheets>
    <sheet name="T13" sheetId="1" r:id="rId1"/>
  </sheets>
  <definedNames>
    <definedName name="ExternalData_1" localSheetId="0">'T13'!$A$8:$H$64</definedName>
    <definedName name="_xlnm.Print_Titles" localSheetId="0">'T13'!$A:$B,'T13'!$4:$7</definedName>
  </definedNames>
  <calcPr calcId="125725"/>
</workbook>
</file>

<file path=xl/calcChain.xml><?xml version="1.0" encoding="utf-8"?>
<calcChain xmlns="http://schemas.openxmlformats.org/spreadsheetml/2006/main">
  <c r="O10" i="1"/>
  <c r="P10"/>
  <c r="Q10"/>
  <c r="R10"/>
  <c r="S10"/>
  <c r="O11"/>
  <c r="P11"/>
  <c r="Q11"/>
  <c r="R11"/>
  <c r="S11"/>
  <c r="O12"/>
  <c r="P12"/>
  <c r="Q12"/>
  <c r="R12"/>
  <c r="S12"/>
  <c r="O13"/>
  <c r="P13"/>
  <c r="Q13"/>
  <c r="R13"/>
  <c r="S13"/>
  <c r="O14"/>
  <c r="P14"/>
  <c r="Q14"/>
  <c r="R14"/>
  <c r="S14"/>
  <c r="O15"/>
  <c r="P15"/>
  <c r="Q15"/>
  <c r="R15"/>
  <c r="S15"/>
  <c r="O16"/>
  <c r="P16"/>
  <c r="Q16"/>
  <c r="R16"/>
  <c r="S16"/>
  <c r="O17"/>
  <c r="P17"/>
  <c r="Q17"/>
  <c r="R17"/>
  <c r="S17"/>
  <c r="O18"/>
  <c r="P18"/>
  <c r="Q18"/>
  <c r="R18"/>
  <c r="S18"/>
  <c r="O19"/>
  <c r="P19"/>
  <c r="Q19"/>
  <c r="R19"/>
  <c r="S19"/>
  <c r="O20"/>
  <c r="P20"/>
  <c r="Q20"/>
  <c r="R20"/>
  <c r="S20"/>
  <c r="O21"/>
  <c r="P21"/>
  <c r="Q21"/>
  <c r="R21"/>
  <c r="S21"/>
  <c r="O22"/>
  <c r="P22"/>
  <c r="Q22"/>
  <c r="R22"/>
  <c r="S22"/>
  <c r="O23"/>
  <c r="P23"/>
  <c r="Q23"/>
  <c r="R23"/>
  <c r="S23"/>
  <c r="O24"/>
  <c r="P24"/>
  <c r="Q24"/>
  <c r="R24"/>
  <c r="S24"/>
  <c r="O25"/>
  <c r="P25"/>
  <c r="Q25"/>
  <c r="R25"/>
  <c r="S25"/>
  <c r="O26"/>
  <c r="P26"/>
  <c r="Q26"/>
  <c r="R26"/>
  <c r="S26"/>
  <c r="O27"/>
  <c r="P27"/>
  <c r="Q27"/>
  <c r="R27"/>
  <c r="S27"/>
  <c r="O28"/>
  <c r="P28"/>
  <c r="Q28"/>
  <c r="R28"/>
  <c r="S28"/>
  <c r="O29"/>
  <c r="P29"/>
  <c r="Q29"/>
  <c r="R29"/>
  <c r="S29"/>
  <c r="O30"/>
  <c r="P30"/>
  <c r="Q30"/>
  <c r="R30"/>
  <c r="S30"/>
  <c r="O31"/>
  <c r="P31"/>
  <c r="Q31"/>
  <c r="R31"/>
  <c r="S31"/>
  <c r="O32"/>
  <c r="P32"/>
  <c r="Q32"/>
  <c r="R32"/>
  <c r="S32"/>
  <c r="O33"/>
  <c r="P33"/>
  <c r="Q33"/>
  <c r="R33"/>
  <c r="S33"/>
  <c r="O34"/>
  <c r="P34"/>
  <c r="Q34"/>
  <c r="R34"/>
  <c r="S34"/>
  <c r="O35"/>
  <c r="P35"/>
  <c r="Q35"/>
  <c r="R35"/>
  <c r="S35"/>
  <c r="O36"/>
  <c r="P36"/>
  <c r="Q36"/>
  <c r="R36"/>
  <c r="S36"/>
  <c r="O37"/>
  <c r="P37"/>
  <c r="Q37"/>
  <c r="R37"/>
  <c r="S37"/>
  <c r="O38"/>
  <c r="P38"/>
  <c r="Q38"/>
  <c r="R38"/>
  <c r="S38"/>
  <c r="O39"/>
  <c r="P39"/>
  <c r="Q39"/>
  <c r="R39"/>
  <c r="S39"/>
  <c r="O40"/>
  <c r="P40"/>
  <c r="Q40"/>
  <c r="R40"/>
  <c r="S40"/>
  <c r="O41"/>
  <c r="P41"/>
  <c r="Q41"/>
  <c r="R41"/>
  <c r="S41"/>
  <c r="O42"/>
  <c r="P42"/>
  <c r="Q42"/>
  <c r="R42"/>
  <c r="S42"/>
  <c r="O43"/>
  <c r="P43"/>
  <c r="Q43"/>
  <c r="R43"/>
  <c r="S43"/>
  <c r="O44"/>
  <c r="P44"/>
  <c r="Q44"/>
  <c r="R44"/>
  <c r="S44"/>
  <c r="O45"/>
  <c r="P45"/>
  <c r="Q45"/>
  <c r="R45"/>
  <c r="S45"/>
  <c r="O46"/>
  <c r="P46"/>
  <c r="Q46"/>
  <c r="R46"/>
  <c r="S46"/>
  <c r="O47"/>
  <c r="P47"/>
  <c r="Q47"/>
  <c r="R47"/>
  <c r="S47"/>
  <c r="O48"/>
  <c r="P48"/>
  <c r="Q48"/>
  <c r="R48"/>
  <c r="S48"/>
  <c r="O49"/>
  <c r="P49"/>
  <c r="Q49"/>
  <c r="R49"/>
  <c r="S49"/>
  <c r="O50"/>
  <c r="P50"/>
  <c r="Q50"/>
  <c r="R50"/>
  <c r="S50"/>
  <c r="O51"/>
  <c r="P51"/>
  <c r="Q51"/>
  <c r="R51"/>
  <c r="S51"/>
  <c r="O52"/>
  <c r="P52"/>
  <c r="Q52"/>
  <c r="R52"/>
  <c r="S52"/>
  <c r="O53"/>
  <c r="P53"/>
  <c r="Q53"/>
  <c r="R53"/>
  <c r="S53"/>
  <c r="O54"/>
  <c r="P54"/>
  <c r="Q54"/>
  <c r="R54"/>
  <c r="S54"/>
  <c r="O55"/>
  <c r="P55"/>
  <c r="Q55"/>
  <c r="R55"/>
  <c r="S55"/>
  <c r="O56"/>
  <c r="P56"/>
  <c r="Q56"/>
  <c r="R56"/>
  <c r="S56"/>
  <c r="O57"/>
  <c r="P57"/>
  <c r="Q57"/>
  <c r="R57"/>
  <c r="S57"/>
  <c r="O58"/>
  <c r="P58"/>
  <c r="Q58"/>
  <c r="R58"/>
  <c r="S58"/>
  <c r="O59"/>
  <c r="P59"/>
  <c r="Q59"/>
  <c r="R59"/>
  <c r="S59"/>
  <c r="O60"/>
  <c r="P60"/>
  <c r="Q60"/>
  <c r="R60"/>
  <c r="S60"/>
  <c r="O61"/>
  <c r="P61"/>
  <c r="Q61"/>
  <c r="R61"/>
  <c r="S61"/>
  <c r="O62"/>
  <c r="P62"/>
  <c r="Q62"/>
  <c r="R62"/>
  <c r="S62"/>
  <c r="O63"/>
  <c r="P63"/>
  <c r="Q63"/>
  <c r="R63"/>
  <c r="S63"/>
  <c r="O64"/>
  <c r="P64"/>
  <c r="Q64"/>
  <c r="R64"/>
  <c r="S64"/>
  <c r="P9"/>
  <c r="Q9"/>
  <c r="R9"/>
  <c r="S9"/>
  <c r="O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8"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<sst xmlns="http://schemas.openxmlformats.org/spreadsheetml/2006/main" count="141" uniqueCount="133">
  <si>
    <t>Запасы</t>
  </si>
  <si>
    <t>Краткосрочная кредиторская задолженность</t>
  </si>
  <si>
    <t>длительность 1 оборота</t>
  </si>
  <si>
    <t>средний срок погашения</t>
  </si>
  <si>
    <t>А</t>
  </si>
  <si>
    <t>Код</t>
  </si>
  <si>
    <t>Наименование</t>
  </si>
  <si>
    <t>Б</t>
  </si>
  <si>
    <t xml:space="preserve">Оборотные активы </t>
  </si>
  <si>
    <t>4</t>
  </si>
  <si>
    <t>5</t>
  </si>
  <si>
    <t>Дебиторская задол-женность</t>
  </si>
  <si>
    <t>6</t>
  </si>
  <si>
    <t>Средняя стоимость оборотных активов, тыс.рублей</t>
  </si>
  <si>
    <t>Финансовые и дру-гие активы (деби-торская, НДС по приобретенным ценностям, краткосрочные финансовые вложения)</t>
  </si>
  <si>
    <t>в днях</t>
  </si>
  <si>
    <t>Оборачиваемость оборотных активов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</si>
  <si>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</si>
  <si>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</si>
  <si>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</si>
  <si>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</si>
  <si>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</si>
  <si>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</si>
  <si>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</si>
  <si>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</si>
  <si>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</si>
  <si>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</si>
  <si>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</si>
  <si>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</si>
  <si>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</si>
  <si>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</si>
  <si>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</si>
  <si>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</si>
  <si>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</si>
  <si>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</si>
  <si>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</si>
  <si>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</si>
  <si>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</si>
  <si>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</si>
  <si>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</si>
  <si>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</si>
  <si>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</si>
  <si>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</si>
  <si>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</si>
  <si>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</si>
  <si>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</si>
  <si>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</si>
  <si>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</si>
  <si>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</si>
  <si>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</si>
  <si>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</si>
  <si>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</si>
  <si>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</si>
  <si>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</si>
  <si>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</si>
  <si>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</si>
  <si>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</si>
  <si>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</si>
  <si>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</si>
  <si>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</si>
  <si>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</si>
  <si>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</si>
  <si>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</si>
  <si>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</si>
  <si>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</si>
  <si>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</si>
  <si>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</si>
  <si>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</si>
  <si>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</si>
  <si>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</si>
  <si>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</si>
  <si>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</si>
  <si>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</si>
  <si>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</si>
  <si>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</si>
  <si>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</si>
  <si>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</si>
  <si>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</si>
  <si>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</si>
  <si>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</si>
  <si>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-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</si>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</sst>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5" fillId="0" borderId="0" xfId="0" applyFont="1"/>
    <xf numFmtId="1" fontId="2" fillId="0" borderId="2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164" fontId="5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4"/>
  <sheetViews>
    <sheetView tabSelected="1" workbookViewId="0">
      <pane xSplit="2" ySplit="7" topLeftCell="I59" activePane="bottomRight" state="frozen"/>
      <selection pane="topRight" activeCell="C1" sqref="C1"/>
      <selection pane="bottomLeft" activeCell="A8" sqref="A8"/>
      <selection pane="bottomRight" activeCell="O9" sqref="O9:S64"/>
    </sheetView>
  </sheetViews>
  <sheetFormatPr defaultColWidth="8.85546875" defaultRowHeight="12.75"/>
  <cols>
    <col min="1" max="1" width="14" style="5" customWidth="1"/>
    <col min="2" max="2" width="41.7109375" style="5" customWidth="1"/>
    <col min="3" max="3" width="11.42578125" style="8" customWidth="1"/>
    <col min="4" max="4" width="11.5703125" style="8" customWidth="1"/>
    <col min="5" max="5" width="13.28515625" style="8" customWidth="1"/>
    <col min="6" max="6" width="15.7109375" style="8" customWidth="1"/>
    <col min="7" max="7" width="11.42578125" style="8" customWidth="1"/>
    <col min="8" max="8" width="13" style="14" customWidth="1"/>
    <col min="9" max="16384" width="8.85546875" style="1"/>
  </cols>
  <sheetData>
    <row r="1" spans="1:19" s="3" customFormat="1" ht="17.45" customHeight="1">
      <c r="A1" s="2"/>
      <c r="B1" s="23" t="s">
        <v>16</v>
      </c>
      <c r="C1" s="23"/>
      <c r="D1" s="23"/>
      <c r="E1" s="23"/>
      <c r="F1" s="24"/>
      <c r="G1" s="6"/>
      <c r="H1" s="13"/>
    </row>
    <row r="2" spans="1:19" s="3" customFormat="1" ht="18.600000000000001" customHeight="1">
      <c r="A2" s="2"/>
      <c r="B2" s="25" t="s">
        <v>18</v>
      </c>
      <c r="C2" s="25"/>
      <c r="D2" s="26"/>
      <c r="E2" s="25"/>
      <c r="F2" s="24"/>
      <c r="G2" s="6"/>
      <c r="H2" s="13"/>
    </row>
    <row r="3" spans="1:19" s="3" customFormat="1" ht="17.45" customHeight="1">
      <c r="A3" s="2"/>
      <c r="B3" s="25" t="s">
        <v>17</v>
      </c>
      <c r="C3" s="25"/>
      <c r="D3" s="26"/>
      <c r="E3" s="25"/>
      <c r="F3" s="24"/>
      <c r="G3" s="6"/>
      <c r="H3" s="13"/>
    </row>
    <row r="4" spans="1:19" s="3" customFormat="1" ht="13.15" customHeight="1">
      <c r="A4" s="2"/>
      <c r="B4" s="2"/>
      <c r="C4" s="6"/>
      <c r="D4" s="6"/>
      <c r="E4" s="6"/>
      <c r="F4" s="7"/>
      <c r="G4" s="7"/>
      <c r="H4" s="12" t="s">
        <v>15</v>
      </c>
    </row>
    <row r="5" spans="1:19" s="3" customFormat="1" ht="108" customHeight="1">
      <c r="A5" s="21" t="s">
        <v>5</v>
      </c>
      <c r="B5" s="21" t="s">
        <v>6</v>
      </c>
      <c r="C5" s="4" t="s">
        <v>8</v>
      </c>
      <c r="D5" s="4" t="s">
        <v>0</v>
      </c>
      <c r="E5" s="4" t="s">
        <v>1</v>
      </c>
      <c r="F5" s="11" t="s">
        <v>14</v>
      </c>
      <c r="G5" s="4" t="s">
        <v>11</v>
      </c>
      <c r="H5" s="19" t="s">
        <v>13</v>
      </c>
    </row>
    <row r="6" spans="1:19" s="3" customFormat="1" ht="28.9" customHeight="1">
      <c r="A6" s="21"/>
      <c r="B6" s="22"/>
      <c r="C6" s="4" t="s">
        <v>2</v>
      </c>
      <c r="D6" s="4" t="s">
        <v>2</v>
      </c>
      <c r="E6" s="4" t="s">
        <v>3</v>
      </c>
      <c r="F6" s="11" t="s">
        <v>3</v>
      </c>
      <c r="G6" s="4" t="s">
        <v>3</v>
      </c>
      <c r="H6" s="20"/>
    </row>
    <row r="7" spans="1:19" s="10" customFormat="1">
      <c r="A7" s="9" t="s">
        <v>4</v>
      </c>
      <c r="B7" s="9" t="s">
        <v>7</v>
      </c>
      <c r="C7" s="9">
        <v>1</v>
      </c>
      <c r="D7" s="9">
        <v>2</v>
      </c>
      <c r="E7" s="9">
        <v>3</v>
      </c>
      <c r="F7" s="11" t="s">
        <v>9</v>
      </c>
      <c r="G7" s="9" t="s">
        <v>10</v>
      </c>
      <c r="H7" s="9" t="s">
        <v>12</v>
      </c>
    </row>
    <row r="8" spans="1:19" s="18" customFormat="1" ht="13.5" thickBot="1">
      <c r="A8" s="15" t="s">
        <v>113</v>
      </c>
      <c r="B8" s="15"/>
      <c r="C8" s="16"/>
      <c r="D8" s="16"/>
      <c r="E8" s="16"/>
      <c r="F8" s="16"/>
      <c r="G8" s="16"/>
      <c r="H8" s="17"/>
    </row>
    <row r="9" spans="1:19" s="18" customFormat="1" ht="26.25">
      <c r="A9" s="15" t="s">
        <v>114</v>
      </c>
      <c r="B9" s="15" t="s">
        <v>19</v>
      </c>
      <c r="C9" s="16">
        <v>276.8</v>
      </c>
      <c r="D9" s="16">
        <v>78.3</v>
      </c>
      <c r="E9" s="16">
        <v>76.900000000000006</v>
      </c>
      <c r="F9" s="16">
        <v>110.1</v>
      </c>
      <c r="G9" s="16">
        <v>85.6</v>
      </c>
      <c r="H9" s="17">
        <v>84495586</v>
      </c>
      <c r="J9" s="27">
        <v>276.8</v>
      </c>
      <c r="K9" s="28">
        <v>78.3</v>
      </c>
      <c r="L9" s="28">
        <v>76.900000000000006</v>
      </c>
      <c r="M9" s="28">
        <v>110.1</v>
      </c>
      <c r="N9" s="28">
        <v>85.6</v>
      </c>
      <c r="O9" s="35">
        <f>J9-C9</f>
        <v>0</v>
      </c>
      <c r="P9" s="35">
        <f t="shared" ref="P9:S9" si="0">K9-D9</f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</row>
    <row r="10" spans="1:19" s="18" customFormat="1" ht="26.25">
      <c r="A10" s="15" t="s">
        <v>115</v>
      </c>
      <c r="B10" s="15" t="s">
        <v>20</v>
      </c>
      <c r="C10" s="16">
        <v>295</v>
      </c>
      <c r="D10" s="16">
        <v>74.900000000000006</v>
      </c>
      <c r="E10" s="16">
        <v>59.1</v>
      </c>
      <c r="F10" s="16">
        <v>115.1</v>
      </c>
      <c r="G10" s="16">
        <v>92.1</v>
      </c>
      <c r="H10" s="17">
        <v>30718492</v>
      </c>
      <c r="J10" s="29">
        <v>295</v>
      </c>
      <c r="K10" s="30">
        <v>74.900000000000006</v>
      </c>
      <c r="L10" s="30">
        <v>59.1</v>
      </c>
      <c r="M10" s="30">
        <v>115.1</v>
      </c>
      <c r="N10" s="30">
        <v>92.1</v>
      </c>
      <c r="O10" s="35">
        <f t="shared" ref="O10:O64" si="1">J10-C10</f>
        <v>0</v>
      </c>
      <c r="P10" s="35">
        <f t="shared" ref="P10:P64" si="2">K10-D10</f>
        <v>0</v>
      </c>
      <c r="Q10" s="35">
        <f t="shared" ref="Q10:Q64" si="3">L10-E10</f>
        <v>0</v>
      </c>
      <c r="R10" s="35">
        <f t="shared" ref="R10:R64" si="4">M10-F10</f>
        <v>0</v>
      </c>
      <c r="S10" s="35">
        <f t="shared" ref="S10:S64" si="5">N10-G10</f>
        <v>0</v>
      </c>
    </row>
    <row r="11" spans="1:19" ht="39">
      <c r="A11" s="5" t="s">
        <v>21</v>
      </c>
      <c r="B11" s="5" t="s">
        <v>22</v>
      </c>
      <c r="C11" s="8">
        <v>256.7</v>
      </c>
      <c r="D11" s="8">
        <v>136.9</v>
      </c>
      <c r="E11" s="8">
        <v>64.2</v>
      </c>
      <c r="F11" s="8">
        <v>91.9</v>
      </c>
      <c r="G11" s="8">
        <v>86.6</v>
      </c>
      <c r="H11" s="14">
        <v>1315610</v>
      </c>
      <c r="J11" s="31">
        <v>256.7</v>
      </c>
      <c r="K11" s="32">
        <v>136.9</v>
      </c>
      <c r="L11" s="32">
        <v>64.2</v>
      </c>
      <c r="M11" s="32">
        <v>91.9</v>
      </c>
      <c r="N11" s="32">
        <v>86.6</v>
      </c>
      <c r="O11" s="35">
        <f t="shared" si="1"/>
        <v>0</v>
      </c>
      <c r="P11" s="35">
        <f t="shared" si="2"/>
        <v>0</v>
      </c>
      <c r="Q11" s="35">
        <f t="shared" si="3"/>
        <v>0</v>
      </c>
      <c r="R11" s="35">
        <f t="shared" si="4"/>
        <v>0</v>
      </c>
      <c r="S11" s="35">
        <f t="shared" si="5"/>
        <v>0</v>
      </c>
    </row>
    <row r="12" spans="1:19" ht="15.75">
      <c r="A12" s="5" t="s">
        <v>23</v>
      </c>
      <c r="B12" s="5" t="s">
        <v>24</v>
      </c>
      <c r="C12" s="8">
        <v>295.5</v>
      </c>
      <c r="D12" s="8">
        <v>73.400000000000006</v>
      </c>
      <c r="E12" s="8">
        <v>59</v>
      </c>
      <c r="F12" s="8">
        <v>115.6</v>
      </c>
      <c r="G12" s="8">
        <v>92.2</v>
      </c>
      <c r="H12" s="14">
        <v>29402881</v>
      </c>
      <c r="J12" s="31">
        <v>295.5</v>
      </c>
      <c r="K12" s="32">
        <v>73.400000000000006</v>
      </c>
      <c r="L12" s="32">
        <v>59</v>
      </c>
      <c r="M12" s="32">
        <v>115.6</v>
      </c>
      <c r="N12" s="32">
        <v>92.2</v>
      </c>
      <c r="O12" s="35">
        <f t="shared" si="1"/>
        <v>0</v>
      </c>
      <c r="P12" s="35">
        <f t="shared" si="2"/>
        <v>0</v>
      </c>
      <c r="Q12" s="35">
        <f t="shared" si="3"/>
        <v>0</v>
      </c>
      <c r="R12" s="35">
        <f t="shared" si="4"/>
        <v>0</v>
      </c>
      <c r="S12" s="35">
        <f t="shared" si="5"/>
        <v>0</v>
      </c>
    </row>
    <row r="13" spans="1:19" s="18" customFormat="1" ht="15.75">
      <c r="A13" s="15" t="s">
        <v>116</v>
      </c>
      <c r="B13" s="15" t="s">
        <v>25</v>
      </c>
      <c r="C13" s="16">
        <v>259.7</v>
      </c>
      <c r="D13" s="16">
        <v>184</v>
      </c>
      <c r="E13" s="16">
        <v>39.9</v>
      </c>
      <c r="F13" s="16">
        <v>74.8</v>
      </c>
      <c r="G13" s="16">
        <v>58.2</v>
      </c>
      <c r="H13" s="17">
        <v>17320244</v>
      </c>
      <c r="J13" s="29">
        <v>259.7</v>
      </c>
      <c r="K13" s="30">
        <v>184</v>
      </c>
      <c r="L13" s="30">
        <v>39.9</v>
      </c>
      <c r="M13" s="30">
        <v>74.8</v>
      </c>
      <c r="N13" s="30">
        <v>58.2</v>
      </c>
      <c r="O13" s="35">
        <f t="shared" si="1"/>
        <v>0</v>
      </c>
      <c r="P13" s="35">
        <f t="shared" si="2"/>
        <v>0</v>
      </c>
      <c r="Q13" s="35">
        <f t="shared" si="3"/>
        <v>0</v>
      </c>
      <c r="R13" s="35">
        <f t="shared" si="4"/>
        <v>0</v>
      </c>
      <c r="S13" s="35">
        <f t="shared" si="5"/>
        <v>0</v>
      </c>
    </row>
    <row r="14" spans="1:19" ht="15.75">
      <c r="A14" s="5" t="s">
        <v>26</v>
      </c>
      <c r="B14" s="5" t="s">
        <v>27</v>
      </c>
      <c r="C14" s="8">
        <v>259.7</v>
      </c>
      <c r="D14" s="8">
        <v>184</v>
      </c>
      <c r="E14" s="8">
        <v>39.9</v>
      </c>
      <c r="F14" s="8">
        <v>74.8</v>
      </c>
      <c r="G14" s="8">
        <v>58.2</v>
      </c>
      <c r="H14" s="14">
        <v>17320244</v>
      </c>
      <c r="J14" s="31">
        <v>259.7</v>
      </c>
      <c r="K14" s="32">
        <v>184</v>
      </c>
      <c r="L14" s="32">
        <v>39.9</v>
      </c>
      <c r="M14" s="32">
        <v>74.8</v>
      </c>
      <c r="N14" s="32">
        <v>58.2</v>
      </c>
      <c r="O14" s="35">
        <f t="shared" si="1"/>
        <v>0</v>
      </c>
      <c r="P14" s="35">
        <f t="shared" si="2"/>
        <v>0</v>
      </c>
      <c r="Q14" s="35">
        <f t="shared" si="3"/>
        <v>0</v>
      </c>
      <c r="R14" s="35">
        <f t="shared" si="4"/>
        <v>0</v>
      </c>
      <c r="S14" s="35">
        <f t="shared" si="5"/>
        <v>0</v>
      </c>
    </row>
    <row r="15" spans="1:19" s="18" customFormat="1" ht="15.75">
      <c r="A15" s="15" t="s">
        <v>117</v>
      </c>
      <c r="B15" s="15" t="s">
        <v>28</v>
      </c>
      <c r="C15" s="16">
        <v>290.39999999999998</v>
      </c>
      <c r="D15" s="16">
        <v>83.9</v>
      </c>
      <c r="E15" s="16">
        <v>63.6</v>
      </c>
      <c r="F15" s="16">
        <v>163.1</v>
      </c>
      <c r="G15" s="16">
        <v>104</v>
      </c>
      <c r="H15" s="17">
        <v>5464511</v>
      </c>
      <c r="J15" s="29">
        <v>290.39999999999998</v>
      </c>
      <c r="K15" s="30">
        <v>83.9</v>
      </c>
      <c r="L15" s="30">
        <v>63.6</v>
      </c>
      <c r="M15" s="30">
        <v>163.1</v>
      </c>
      <c r="N15" s="30">
        <v>104</v>
      </c>
      <c r="O15" s="35">
        <f t="shared" si="1"/>
        <v>0</v>
      </c>
      <c r="P15" s="35">
        <f t="shared" si="2"/>
        <v>0</v>
      </c>
      <c r="Q15" s="35">
        <f t="shared" si="3"/>
        <v>0</v>
      </c>
      <c r="R15" s="35">
        <f t="shared" si="4"/>
        <v>0</v>
      </c>
      <c r="S15" s="35">
        <f t="shared" si="5"/>
        <v>0</v>
      </c>
    </row>
    <row r="16" spans="1:19" ht="15.75">
      <c r="A16" s="5" t="s">
        <v>29</v>
      </c>
      <c r="B16" s="5" t="s">
        <v>30</v>
      </c>
      <c r="C16" s="8">
        <v>255.9</v>
      </c>
      <c r="D16" s="8">
        <v>75.099999999999994</v>
      </c>
      <c r="E16" s="8">
        <v>51.4</v>
      </c>
      <c r="F16" s="8">
        <v>135.5</v>
      </c>
      <c r="G16" s="8">
        <v>114.3</v>
      </c>
      <c r="H16" s="14">
        <v>4073092</v>
      </c>
      <c r="J16" s="31">
        <v>255.9</v>
      </c>
      <c r="K16" s="32">
        <v>75.099999999999994</v>
      </c>
      <c r="L16" s="32">
        <v>51.4</v>
      </c>
      <c r="M16" s="32">
        <v>135.5</v>
      </c>
      <c r="N16" s="32">
        <v>114.3</v>
      </c>
      <c r="O16" s="35">
        <f t="shared" si="1"/>
        <v>0</v>
      </c>
      <c r="P16" s="35">
        <f t="shared" si="2"/>
        <v>0</v>
      </c>
      <c r="Q16" s="35">
        <f t="shared" si="3"/>
        <v>0</v>
      </c>
      <c r="R16" s="35">
        <f t="shared" si="4"/>
        <v>0</v>
      </c>
      <c r="S16" s="35">
        <f t="shared" si="5"/>
        <v>0</v>
      </c>
    </row>
    <row r="17" spans="1:19" ht="15.75">
      <c r="A17" s="5" t="s">
        <v>31</v>
      </c>
      <c r="B17" s="5" t="s">
        <v>32</v>
      </c>
      <c r="C17" s="8">
        <v>310</v>
      </c>
      <c r="D17" s="8">
        <v>96.8</v>
      </c>
      <c r="E17" s="8">
        <v>28.1</v>
      </c>
      <c r="F17" s="8">
        <v>103.9</v>
      </c>
      <c r="G17" s="8">
        <v>77.7</v>
      </c>
      <c r="H17" s="14">
        <v>142586</v>
      </c>
      <c r="J17" s="31">
        <v>310</v>
      </c>
      <c r="K17" s="32">
        <v>96.8</v>
      </c>
      <c r="L17" s="32">
        <v>28.1</v>
      </c>
      <c r="M17" s="32">
        <v>103.9</v>
      </c>
      <c r="N17" s="32">
        <v>77.7</v>
      </c>
      <c r="O17" s="35">
        <f t="shared" si="1"/>
        <v>0</v>
      </c>
      <c r="P17" s="35">
        <f t="shared" si="2"/>
        <v>0</v>
      </c>
      <c r="Q17" s="35">
        <f t="shared" si="3"/>
        <v>0</v>
      </c>
      <c r="R17" s="35">
        <f t="shared" si="4"/>
        <v>0</v>
      </c>
      <c r="S17" s="35">
        <f t="shared" si="5"/>
        <v>0</v>
      </c>
    </row>
    <row r="18" spans="1:19" ht="15.75">
      <c r="A18" s="5" t="s">
        <v>33</v>
      </c>
      <c r="B18" s="5" t="s">
        <v>34</v>
      </c>
      <c r="C18" s="8">
        <v>81</v>
      </c>
      <c r="D18" s="8">
        <v>66.2</v>
      </c>
      <c r="E18" s="8">
        <v>36.799999999999997</v>
      </c>
      <c r="F18" s="8">
        <v>12.7</v>
      </c>
      <c r="G18" s="8">
        <v>12.7</v>
      </c>
      <c r="H18" s="14">
        <v>20720</v>
      </c>
      <c r="J18" s="31">
        <v>81</v>
      </c>
      <c r="K18" s="32">
        <v>66.2</v>
      </c>
      <c r="L18" s="32">
        <v>36.799999999999997</v>
      </c>
      <c r="M18" s="32">
        <v>12.7</v>
      </c>
      <c r="N18" s="32">
        <v>12.7</v>
      </c>
      <c r="O18" s="35">
        <f t="shared" si="1"/>
        <v>0</v>
      </c>
      <c r="P18" s="35">
        <f t="shared" si="2"/>
        <v>0</v>
      </c>
      <c r="Q18" s="35">
        <f t="shared" si="3"/>
        <v>0</v>
      </c>
      <c r="R18" s="35">
        <f t="shared" si="4"/>
        <v>0</v>
      </c>
      <c r="S18" s="35">
        <f t="shared" si="5"/>
        <v>0</v>
      </c>
    </row>
    <row r="19" spans="1:19" ht="15.75">
      <c r="A19" s="5" t="s">
        <v>35</v>
      </c>
      <c r="B19" s="5" t="s">
        <v>36</v>
      </c>
      <c r="C19" s="8">
        <v>542.6</v>
      </c>
      <c r="D19" s="8">
        <v>134</v>
      </c>
      <c r="E19" s="8">
        <v>164.9</v>
      </c>
      <c r="F19" s="8">
        <v>390</v>
      </c>
      <c r="G19" s="8">
        <v>33.6</v>
      </c>
      <c r="H19" s="14">
        <v>1228112</v>
      </c>
      <c r="J19" s="31">
        <v>542.6</v>
      </c>
      <c r="K19" s="32">
        <v>134</v>
      </c>
      <c r="L19" s="32">
        <v>164.9</v>
      </c>
      <c r="M19" s="32">
        <v>390</v>
      </c>
      <c r="N19" s="32">
        <v>33.6</v>
      </c>
      <c r="O19" s="35">
        <f t="shared" si="1"/>
        <v>0</v>
      </c>
      <c r="P19" s="35">
        <f t="shared" si="2"/>
        <v>0</v>
      </c>
      <c r="Q19" s="35">
        <f t="shared" si="3"/>
        <v>0</v>
      </c>
      <c r="R19" s="35">
        <f t="shared" si="4"/>
        <v>0</v>
      </c>
      <c r="S19" s="35">
        <f t="shared" si="5"/>
        <v>0</v>
      </c>
    </row>
    <row r="20" spans="1:19" s="18" customFormat="1" ht="39.75" thickBot="1">
      <c r="A20" s="15" t="s">
        <v>118</v>
      </c>
      <c r="B20" s="15" t="s">
        <v>37</v>
      </c>
      <c r="C20" s="16">
        <v>158.1</v>
      </c>
      <c r="D20" s="16">
        <v>53.1</v>
      </c>
      <c r="E20" s="16">
        <v>77.099999999999994</v>
      </c>
      <c r="F20" s="16">
        <v>79.599999999999994</v>
      </c>
      <c r="G20" s="16">
        <v>71.400000000000006</v>
      </c>
      <c r="H20" s="17">
        <v>9244996</v>
      </c>
      <c r="J20" s="29">
        <v>158.1</v>
      </c>
      <c r="K20" s="30">
        <v>53.1</v>
      </c>
      <c r="L20" s="30">
        <v>77.099999999999994</v>
      </c>
      <c r="M20" s="30">
        <v>79.599999999999994</v>
      </c>
      <c r="N20" s="30">
        <v>71.400000000000006</v>
      </c>
      <c r="O20" s="35">
        <f t="shared" si="1"/>
        <v>0</v>
      </c>
      <c r="P20" s="35">
        <f t="shared" si="2"/>
        <v>0</v>
      </c>
      <c r="Q20" s="35">
        <f t="shared" si="3"/>
        <v>0</v>
      </c>
      <c r="R20" s="35">
        <f t="shared" si="4"/>
        <v>0</v>
      </c>
      <c r="S20" s="35">
        <f t="shared" si="5"/>
        <v>0</v>
      </c>
    </row>
    <row r="21" spans="1:19" ht="26.25">
      <c r="A21" s="5" t="s">
        <v>38</v>
      </c>
      <c r="B21" s="5" t="s">
        <v>39</v>
      </c>
      <c r="C21" s="8">
        <v>158.1</v>
      </c>
      <c r="D21" s="8">
        <v>53.1</v>
      </c>
      <c r="E21" s="8">
        <v>77.099999999999994</v>
      </c>
      <c r="F21" s="8">
        <v>79.599999999999994</v>
      </c>
      <c r="G21" s="8">
        <v>71.400000000000006</v>
      </c>
      <c r="H21" s="14">
        <v>9244996</v>
      </c>
      <c r="J21" s="33">
        <v>158.1</v>
      </c>
      <c r="K21" s="34">
        <v>53.1</v>
      </c>
      <c r="L21" s="34">
        <v>77.099999999999994</v>
      </c>
      <c r="M21" s="34">
        <v>79.599999999999994</v>
      </c>
      <c r="N21" s="34">
        <v>71.400000000000006</v>
      </c>
      <c r="O21" s="35">
        <f t="shared" si="1"/>
        <v>0</v>
      </c>
      <c r="P21" s="35">
        <f t="shared" si="2"/>
        <v>0</v>
      </c>
      <c r="Q21" s="35">
        <f t="shared" si="3"/>
        <v>0</v>
      </c>
      <c r="R21" s="35">
        <f t="shared" si="4"/>
        <v>0</v>
      </c>
      <c r="S21" s="35">
        <f t="shared" si="5"/>
        <v>0</v>
      </c>
    </row>
    <row r="22" spans="1:19" s="18" customFormat="1" ht="51.75">
      <c r="A22" s="15" t="s">
        <v>119</v>
      </c>
      <c r="B22" s="15" t="s">
        <v>40</v>
      </c>
      <c r="C22" s="16">
        <v>164.7</v>
      </c>
      <c r="D22" s="16">
        <v>53</v>
      </c>
      <c r="E22" s="16">
        <v>63.3</v>
      </c>
      <c r="F22" s="16">
        <v>94.7</v>
      </c>
      <c r="G22" s="16">
        <v>93.3</v>
      </c>
      <c r="H22" s="17">
        <v>693343</v>
      </c>
      <c r="J22" s="29">
        <v>164.7</v>
      </c>
      <c r="K22" s="30">
        <v>53</v>
      </c>
      <c r="L22" s="30">
        <v>63.3</v>
      </c>
      <c r="M22" s="30">
        <v>94.7</v>
      </c>
      <c r="N22" s="30">
        <v>93.3</v>
      </c>
      <c r="O22" s="35">
        <f t="shared" si="1"/>
        <v>0</v>
      </c>
      <c r="P22" s="35">
        <f t="shared" si="2"/>
        <v>0</v>
      </c>
      <c r="Q22" s="35">
        <f t="shared" si="3"/>
        <v>0</v>
      </c>
      <c r="R22" s="35">
        <f t="shared" si="4"/>
        <v>0</v>
      </c>
      <c r="S22" s="35">
        <f t="shared" si="5"/>
        <v>0</v>
      </c>
    </row>
    <row r="23" spans="1:19" ht="15.75">
      <c r="A23" s="5" t="s">
        <v>41</v>
      </c>
      <c r="B23" s="5" t="s">
        <v>42</v>
      </c>
      <c r="C23" s="8">
        <v>181.2</v>
      </c>
      <c r="D23" s="8">
        <v>65.8</v>
      </c>
      <c r="E23" s="8">
        <v>68.400000000000006</v>
      </c>
      <c r="F23" s="8">
        <v>99.1</v>
      </c>
      <c r="G23" s="8">
        <v>98.7</v>
      </c>
      <c r="H23" s="14">
        <v>655776</v>
      </c>
      <c r="J23" s="31">
        <v>181.2</v>
      </c>
      <c r="K23" s="32">
        <v>65.8</v>
      </c>
      <c r="L23" s="32">
        <v>68.400000000000006</v>
      </c>
      <c r="M23" s="32">
        <v>99.1</v>
      </c>
      <c r="N23" s="32">
        <v>98.7</v>
      </c>
      <c r="O23" s="35">
        <f t="shared" si="1"/>
        <v>0</v>
      </c>
      <c r="P23" s="35">
        <f t="shared" si="2"/>
        <v>0</v>
      </c>
      <c r="Q23" s="35">
        <f t="shared" si="3"/>
        <v>0</v>
      </c>
      <c r="R23" s="35">
        <f t="shared" si="4"/>
        <v>0</v>
      </c>
      <c r="S23" s="35">
        <f t="shared" si="5"/>
        <v>0</v>
      </c>
    </row>
    <row r="24" spans="1:19" ht="26.25">
      <c r="A24" s="5" t="s">
        <v>43</v>
      </c>
      <c r="B24" s="5" t="s">
        <v>44</v>
      </c>
      <c r="C24" s="8">
        <v>107.6</v>
      </c>
      <c r="D24" s="8">
        <v>12</v>
      </c>
      <c r="E24" s="8">
        <v>40.299999999999997</v>
      </c>
      <c r="F24" s="8">
        <v>75</v>
      </c>
      <c r="G24" s="8">
        <v>69.5</v>
      </c>
      <c r="H24" s="14">
        <v>37568</v>
      </c>
      <c r="J24" s="31">
        <v>107.6</v>
      </c>
      <c r="K24" s="32">
        <v>12</v>
      </c>
      <c r="L24" s="32">
        <v>40.299999999999997</v>
      </c>
      <c r="M24" s="32">
        <v>75</v>
      </c>
      <c r="N24" s="32">
        <v>69.5</v>
      </c>
      <c r="O24" s="35">
        <f t="shared" si="1"/>
        <v>0</v>
      </c>
      <c r="P24" s="35">
        <f t="shared" si="2"/>
        <v>0</v>
      </c>
      <c r="Q24" s="35">
        <f t="shared" si="3"/>
        <v>0</v>
      </c>
      <c r="R24" s="35">
        <f t="shared" si="4"/>
        <v>0</v>
      </c>
      <c r="S24" s="35">
        <f t="shared" si="5"/>
        <v>0</v>
      </c>
    </row>
    <row r="25" spans="1:19" s="18" customFormat="1" ht="15.75">
      <c r="A25" s="15" t="s">
        <v>120</v>
      </c>
      <c r="B25" s="15" t="s">
        <v>45</v>
      </c>
      <c r="C25" s="16">
        <v>999.9</v>
      </c>
      <c r="D25" s="16">
        <v>466</v>
      </c>
      <c r="E25" s="16">
        <v>901.5</v>
      </c>
      <c r="F25" s="16">
        <v>338.9</v>
      </c>
      <c r="G25" s="16">
        <v>282.89999999999998</v>
      </c>
      <c r="H25" s="17">
        <v>11307982</v>
      </c>
      <c r="J25" s="29">
        <v>999.9</v>
      </c>
      <c r="K25" s="30">
        <v>466</v>
      </c>
      <c r="L25" s="30">
        <v>901.5</v>
      </c>
      <c r="M25" s="30">
        <v>338.9</v>
      </c>
      <c r="N25" s="30">
        <v>282.89999999999998</v>
      </c>
      <c r="O25" s="35">
        <f t="shared" si="1"/>
        <v>0</v>
      </c>
      <c r="P25" s="35">
        <f t="shared" si="2"/>
        <v>0</v>
      </c>
      <c r="Q25" s="35">
        <f t="shared" si="3"/>
        <v>0</v>
      </c>
      <c r="R25" s="35">
        <f t="shared" si="4"/>
        <v>0</v>
      </c>
      <c r="S25" s="35">
        <f t="shared" si="5"/>
        <v>0</v>
      </c>
    </row>
    <row r="26" spans="1:19" ht="15.75">
      <c r="A26" s="5" t="s">
        <v>46</v>
      </c>
      <c r="B26" s="5" t="s">
        <v>47</v>
      </c>
      <c r="C26" s="8">
        <v>1624.9</v>
      </c>
      <c r="D26" s="8">
        <v>822.5</v>
      </c>
      <c r="E26" s="8">
        <v>1381.6</v>
      </c>
      <c r="F26" s="8">
        <v>546.4</v>
      </c>
      <c r="G26" s="8">
        <v>468.9</v>
      </c>
      <c r="H26" s="14">
        <v>9429358</v>
      </c>
      <c r="J26" s="31">
        <v>1624.9</v>
      </c>
      <c r="K26" s="32">
        <v>822.5</v>
      </c>
      <c r="L26" s="32">
        <v>1381.6</v>
      </c>
      <c r="M26" s="32">
        <v>546.4</v>
      </c>
      <c r="N26" s="32">
        <v>468.9</v>
      </c>
      <c r="O26" s="35">
        <f t="shared" si="1"/>
        <v>0</v>
      </c>
      <c r="P26" s="35">
        <f t="shared" si="2"/>
        <v>0</v>
      </c>
      <c r="Q26" s="35">
        <f t="shared" si="3"/>
        <v>0</v>
      </c>
      <c r="R26" s="35">
        <f t="shared" si="4"/>
        <v>0</v>
      </c>
      <c r="S26" s="35">
        <f t="shared" si="5"/>
        <v>0</v>
      </c>
    </row>
    <row r="27" spans="1:19" ht="15.75">
      <c r="A27" s="5" t="s">
        <v>48</v>
      </c>
      <c r="B27" s="5" t="s">
        <v>49</v>
      </c>
      <c r="C27" s="8">
        <v>384.1</v>
      </c>
      <c r="D27" s="8">
        <v>148.1</v>
      </c>
      <c r="E27" s="8">
        <v>365.4</v>
      </c>
      <c r="F27" s="8">
        <v>106.9</v>
      </c>
      <c r="G27" s="8">
        <v>74.400000000000006</v>
      </c>
      <c r="H27" s="14">
        <v>1857836</v>
      </c>
      <c r="J27" s="31">
        <v>384.1</v>
      </c>
      <c r="K27" s="32">
        <v>148.1</v>
      </c>
      <c r="L27" s="32">
        <v>365.4</v>
      </c>
      <c r="M27" s="32">
        <v>106.9</v>
      </c>
      <c r="N27" s="32">
        <v>74.400000000000006</v>
      </c>
      <c r="O27" s="35">
        <f t="shared" si="1"/>
        <v>0</v>
      </c>
      <c r="P27" s="35">
        <f t="shared" si="2"/>
        <v>0</v>
      </c>
      <c r="Q27" s="35">
        <f t="shared" si="3"/>
        <v>0</v>
      </c>
      <c r="R27" s="35">
        <f t="shared" si="4"/>
        <v>0</v>
      </c>
      <c r="S27" s="35">
        <f t="shared" si="5"/>
        <v>0</v>
      </c>
    </row>
    <row r="28" spans="1:19" ht="15.75">
      <c r="A28" s="5" t="s">
        <v>50</v>
      </c>
      <c r="B28" s="5" t="s">
        <v>51</v>
      </c>
      <c r="C28" s="8">
        <v>121.7</v>
      </c>
      <c r="D28" s="8">
        <v>81.8</v>
      </c>
      <c r="E28" s="8">
        <v>175.1</v>
      </c>
      <c r="F28" s="8">
        <v>39.6</v>
      </c>
      <c r="G28" s="8">
        <v>32.4</v>
      </c>
      <c r="H28" s="14">
        <v>20788</v>
      </c>
      <c r="J28" s="31">
        <v>121.7</v>
      </c>
      <c r="K28" s="32">
        <v>81.8</v>
      </c>
      <c r="L28" s="32">
        <v>175.1</v>
      </c>
      <c r="M28" s="32">
        <v>39.6</v>
      </c>
      <c r="N28" s="32">
        <v>32.4</v>
      </c>
      <c r="O28" s="35">
        <f t="shared" si="1"/>
        <v>0</v>
      </c>
      <c r="P28" s="35">
        <f t="shared" si="2"/>
        <v>0</v>
      </c>
      <c r="Q28" s="35">
        <f t="shared" si="3"/>
        <v>0</v>
      </c>
      <c r="R28" s="35">
        <f t="shared" si="4"/>
        <v>0</v>
      </c>
      <c r="S28" s="35">
        <f t="shared" si="5"/>
        <v>0</v>
      </c>
    </row>
    <row r="29" spans="1:19" s="18" customFormat="1" ht="39">
      <c r="A29" s="15" t="s">
        <v>121</v>
      </c>
      <c r="B29" s="15" t="s">
        <v>52</v>
      </c>
      <c r="C29" s="16">
        <v>108.3</v>
      </c>
      <c r="D29" s="16">
        <v>25.6</v>
      </c>
      <c r="E29" s="16">
        <v>47.5</v>
      </c>
      <c r="F29" s="16">
        <v>76</v>
      </c>
      <c r="G29" s="16">
        <v>63.7</v>
      </c>
      <c r="H29" s="17">
        <v>6108516</v>
      </c>
      <c r="J29" s="29">
        <v>108.3</v>
      </c>
      <c r="K29" s="30">
        <v>25.6</v>
      </c>
      <c r="L29" s="30">
        <v>47.5</v>
      </c>
      <c r="M29" s="30">
        <v>76</v>
      </c>
      <c r="N29" s="30">
        <v>63.7</v>
      </c>
      <c r="O29" s="35">
        <f t="shared" si="1"/>
        <v>0</v>
      </c>
      <c r="P29" s="35">
        <f t="shared" si="2"/>
        <v>0</v>
      </c>
      <c r="Q29" s="35">
        <f t="shared" si="3"/>
        <v>0</v>
      </c>
      <c r="R29" s="35">
        <f t="shared" si="4"/>
        <v>0</v>
      </c>
      <c r="S29" s="35">
        <f t="shared" si="5"/>
        <v>0</v>
      </c>
    </row>
    <row r="30" spans="1:19" ht="27" thickBot="1">
      <c r="A30" s="5" t="s">
        <v>53</v>
      </c>
      <c r="B30" s="5" t="s">
        <v>54</v>
      </c>
      <c r="C30" s="8">
        <v>120.1</v>
      </c>
      <c r="D30" s="8">
        <v>24.8</v>
      </c>
      <c r="E30" s="8">
        <v>46.4</v>
      </c>
      <c r="F30" s="8">
        <v>89.3</v>
      </c>
      <c r="G30" s="8">
        <v>74.8</v>
      </c>
      <c r="H30" s="14">
        <v>4934290</v>
      </c>
      <c r="J30" s="31">
        <v>120.1</v>
      </c>
      <c r="K30" s="32">
        <v>24.8</v>
      </c>
      <c r="L30" s="32">
        <v>46.4</v>
      </c>
      <c r="M30" s="32">
        <v>89.3</v>
      </c>
      <c r="N30" s="32">
        <v>74.8</v>
      </c>
      <c r="O30" s="35">
        <f t="shared" si="1"/>
        <v>0</v>
      </c>
      <c r="P30" s="35">
        <f t="shared" si="2"/>
        <v>0</v>
      </c>
      <c r="Q30" s="35">
        <f t="shared" si="3"/>
        <v>0</v>
      </c>
      <c r="R30" s="35">
        <f t="shared" si="4"/>
        <v>0</v>
      </c>
      <c r="S30" s="35">
        <f t="shared" si="5"/>
        <v>0</v>
      </c>
    </row>
    <row r="31" spans="1:19" ht="26.25">
      <c r="A31" s="5" t="s">
        <v>55</v>
      </c>
      <c r="B31" s="5" t="s">
        <v>56</v>
      </c>
      <c r="C31" s="8">
        <v>46.5</v>
      </c>
      <c r="D31" s="8">
        <v>29.8</v>
      </c>
      <c r="E31" s="8">
        <v>53</v>
      </c>
      <c r="F31" s="8">
        <v>6.2</v>
      </c>
      <c r="G31" s="8">
        <v>5.7</v>
      </c>
      <c r="H31" s="14">
        <v>1174226</v>
      </c>
      <c r="J31" s="33">
        <v>46.5</v>
      </c>
      <c r="K31" s="34">
        <v>29.8</v>
      </c>
      <c r="L31" s="34">
        <v>53</v>
      </c>
      <c r="M31" s="34">
        <v>6.2</v>
      </c>
      <c r="N31" s="34">
        <v>5.7</v>
      </c>
      <c r="O31" s="35">
        <f t="shared" si="1"/>
        <v>0</v>
      </c>
      <c r="P31" s="35">
        <f t="shared" si="2"/>
        <v>0</v>
      </c>
      <c r="Q31" s="35">
        <f t="shared" si="3"/>
        <v>0</v>
      </c>
      <c r="R31" s="35">
        <f t="shared" si="4"/>
        <v>0</v>
      </c>
      <c r="S31" s="35">
        <f t="shared" si="5"/>
        <v>0</v>
      </c>
    </row>
    <row r="32" spans="1:19" s="18" customFormat="1" ht="15.75">
      <c r="A32" s="15" t="s">
        <v>122</v>
      </c>
      <c r="B32" s="15" t="s">
        <v>57</v>
      </c>
      <c r="C32" s="16">
        <v>174.8</v>
      </c>
      <c r="D32" s="16">
        <v>24.8</v>
      </c>
      <c r="E32" s="16">
        <v>57</v>
      </c>
      <c r="F32" s="16">
        <v>61</v>
      </c>
      <c r="G32" s="16">
        <v>52.6</v>
      </c>
      <c r="H32" s="17">
        <v>942212</v>
      </c>
      <c r="J32" s="29">
        <v>174.8</v>
      </c>
      <c r="K32" s="30">
        <v>24.8</v>
      </c>
      <c r="L32" s="30">
        <v>57</v>
      </c>
      <c r="M32" s="30">
        <v>61</v>
      </c>
      <c r="N32" s="30">
        <v>52.6</v>
      </c>
      <c r="O32" s="35">
        <f t="shared" si="1"/>
        <v>0</v>
      </c>
      <c r="P32" s="35">
        <f t="shared" si="2"/>
        <v>0</v>
      </c>
      <c r="Q32" s="35">
        <f t="shared" si="3"/>
        <v>0</v>
      </c>
      <c r="R32" s="35">
        <f t="shared" si="4"/>
        <v>0</v>
      </c>
      <c r="S32" s="35">
        <f t="shared" si="5"/>
        <v>0</v>
      </c>
    </row>
    <row r="33" spans="1:19" ht="26.25">
      <c r="A33" s="5" t="s">
        <v>58</v>
      </c>
      <c r="B33" s="5" t="s">
        <v>59</v>
      </c>
      <c r="C33" s="8">
        <v>276.10000000000002</v>
      </c>
      <c r="D33" s="8">
        <v>9.1999999999999993</v>
      </c>
      <c r="E33" s="8">
        <v>92.2</v>
      </c>
      <c r="F33" s="8">
        <v>59.3</v>
      </c>
      <c r="G33" s="8">
        <v>58</v>
      </c>
      <c r="H33" s="14">
        <v>12708</v>
      </c>
      <c r="J33" s="31">
        <v>276.10000000000002</v>
      </c>
      <c r="K33" s="32">
        <v>9.1999999999999993</v>
      </c>
      <c r="L33" s="32">
        <v>92.2</v>
      </c>
      <c r="M33" s="32">
        <v>59.3</v>
      </c>
      <c r="N33" s="32">
        <v>58</v>
      </c>
      <c r="O33" s="35">
        <f t="shared" si="1"/>
        <v>0</v>
      </c>
      <c r="P33" s="35">
        <f t="shared" si="2"/>
        <v>0</v>
      </c>
      <c r="Q33" s="35">
        <f t="shared" si="3"/>
        <v>0</v>
      </c>
      <c r="R33" s="35">
        <f t="shared" si="4"/>
        <v>0</v>
      </c>
      <c r="S33" s="35">
        <f t="shared" si="5"/>
        <v>0</v>
      </c>
    </row>
    <row r="34" spans="1:19" ht="15.75">
      <c r="A34" s="5" t="s">
        <v>60</v>
      </c>
      <c r="B34" s="5" t="s">
        <v>61</v>
      </c>
      <c r="C34" s="8">
        <v>65.5</v>
      </c>
      <c r="D34" s="8">
        <v>27.9</v>
      </c>
      <c r="E34" s="8">
        <v>105.9</v>
      </c>
      <c r="F34" s="8">
        <v>35.6</v>
      </c>
      <c r="G34" s="8">
        <v>32.799999999999997</v>
      </c>
      <c r="H34" s="14">
        <v>272802</v>
      </c>
      <c r="J34" s="31">
        <v>65.5</v>
      </c>
      <c r="K34" s="32">
        <v>27.9</v>
      </c>
      <c r="L34" s="32">
        <v>105.9</v>
      </c>
      <c r="M34" s="32">
        <v>35.6</v>
      </c>
      <c r="N34" s="32">
        <v>32.799999999999997</v>
      </c>
      <c r="O34" s="35">
        <f t="shared" si="1"/>
        <v>0</v>
      </c>
      <c r="P34" s="35">
        <f t="shared" si="2"/>
        <v>0</v>
      </c>
      <c r="Q34" s="35">
        <f t="shared" si="3"/>
        <v>0</v>
      </c>
      <c r="R34" s="35">
        <f t="shared" si="4"/>
        <v>0</v>
      </c>
      <c r="S34" s="35">
        <f t="shared" si="5"/>
        <v>0</v>
      </c>
    </row>
    <row r="35" spans="1:19" ht="26.25">
      <c r="A35" s="5" t="s">
        <v>62</v>
      </c>
      <c r="B35" s="5" t="s">
        <v>63</v>
      </c>
      <c r="C35" s="8">
        <v>90.6</v>
      </c>
      <c r="D35" s="8">
        <v>23.6</v>
      </c>
      <c r="E35" s="8">
        <v>14.4</v>
      </c>
      <c r="F35" s="8">
        <v>51.5</v>
      </c>
      <c r="G35" s="8">
        <v>47.7</v>
      </c>
      <c r="H35" s="14">
        <v>322517</v>
      </c>
      <c r="J35" s="31">
        <v>90.6</v>
      </c>
      <c r="K35" s="32">
        <v>23.6</v>
      </c>
      <c r="L35" s="32">
        <v>14.4</v>
      </c>
      <c r="M35" s="32">
        <v>51.5</v>
      </c>
      <c r="N35" s="32">
        <v>47.7</v>
      </c>
      <c r="O35" s="35">
        <f t="shared" si="1"/>
        <v>0</v>
      </c>
      <c r="P35" s="35">
        <f t="shared" si="2"/>
        <v>0</v>
      </c>
      <c r="Q35" s="35">
        <f t="shared" si="3"/>
        <v>0</v>
      </c>
      <c r="R35" s="35">
        <f t="shared" si="4"/>
        <v>0</v>
      </c>
      <c r="S35" s="35">
        <f t="shared" si="5"/>
        <v>0</v>
      </c>
    </row>
    <row r="36" spans="1:19" ht="26.25">
      <c r="A36" s="5" t="s">
        <v>64</v>
      </c>
      <c r="B36" s="5" t="s">
        <v>65</v>
      </c>
      <c r="C36" s="8">
        <v>301.5</v>
      </c>
      <c r="D36" s="8">
        <v>25.5</v>
      </c>
      <c r="E36" s="8">
        <v>64.099999999999994</v>
      </c>
      <c r="F36" s="8">
        <v>83.8</v>
      </c>
      <c r="G36" s="8">
        <v>67.5</v>
      </c>
      <c r="H36" s="14">
        <v>334184</v>
      </c>
      <c r="J36" s="31">
        <v>301.5</v>
      </c>
      <c r="K36" s="32">
        <v>25.5</v>
      </c>
      <c r="L36" s="32">
        <v>64.099999999999994</v>
      </c>
      <c r="M36" s="32">
        <v>83.8</v>
      </c>
      <c r="N36" s="32">
        <v>67.5</v>
      </c>
      <c r="O36" s="35">
        <f t="shared" si="1"/>
        <v>0</v>
      </c>
      <c r="P36" s="35">
        <f t="shared" si="2"/>
        <v>0</v>
      </c>
      <c r="Q36" s="35">
        <f t="shared" si="3"/>
        <v>0</v>
      </c>
      <c r="R36" s="35">
        <f t="shared" si="4"/>
        <v>0</v>
      </c>
      <c r="S36" s="35">
        <f t="shared" si="5"/>
        <v>0</v>
      </c>
    </row>
    <row r="37" spans="1:19" s="18" customFormat="1" ht="39">
      <c r="A37" s="15" t="s">
        <v>123</v>
      </c>
      <c r="B37" s="15" t="s">
        <v>66</v>
      </c>
      <c r="C37" s="16">
        <v>221.8</v>
      </c>
      <c r="D37" s="16">
        <v>43.2</v>
      </c>
      <c r="E37" s="16">
        <v>81.3</v>
      </c>
      <c r="F37" s="16">
        <v>172</v>
      </c>
      <c r="G37" s="16">
        <v>118.7</v>
      </c>
      <c r="H37" s="17">
        <v>214454</v>
      </c>
      <c r="J37" s="29">
        <v>221.8</v>
      </c>
      <c r="K37" s="30">
        <v>43.2</v>
      </c>
      <c r="L37" s="30">
        <v>81.3</v>
      </c>
      <c r="M37" s="30">
        <v>172</v>
      </c>
      <c r="N37" s="30">
        <v>118.7</v>
      </c>
      <c r="O37" s="35">
        <f t="shared" si="1"/>
        <v>0</v>
      </c>
      <c r="P37" s="35">
        <f t="shared" si="2"/>
        <v>0</v>
      </c>
      <c r="Q37" s="35">
        <f t="shared" si="3"/>
        <v>0</v>
      </c>
      <c r="R37" s="35">
        <f t="shared" si="4"/>
        <v>0</v>
      </c>
      <c r="S37" s="35">
        <f t="shared" si="5"/>
        <v>0</v>
      </c>
    </row>
    <row r="38" spans="1:19" ht="26.25">
      <c r="A38" s="5" t="s">
        <v>67</v>
      </c>
      <c r="B38" s="5" t="s">
        <v>68</v>
      </c>
      <c r="C38" s="8">
        <v>230.4</v>
      </c>
      <c r="D38" s="8">
        <v>44.9</v>
      </c>
      <c r="E38" s="8">
        <v>83.1</v>
      </c>
      <c r="F38" s="8">
        <v>178.9</v>
      </c>
      <c r="G38" s="8">
        <v>123.2</v>
      </c>
      <c r="H38" s="14">
        <v>213853</v>
      </c>
      <c r="J38" s="31">
        <v>230.4</v>
      </c>
      <c r="K38" s="32">
        <v>44.9</v>
      </c>
      <c r="L38" s="32">
        <v>83.1</v>
      </c>
      <c r="M38" s="32">
        <v>178.9</v>
      </c>
      <c r="N38" s="32">
        <v>123.2</v>
      </c>
      <c r="O38" s="35">
        <f t="shared" si="1"/>
        <v>0</v>
      </c>
      <c r="P38" s="35">
        <f t="shared" si="2"/>
        <v>0</v>
      </c>
      <c r="Q38" s="35">
        <f t="shared" si="3"/>
        <v>0</v>
      </c>
      <c r="R38" s="35">
        <f t="shared" si="4"/>
        <v>0</v>
      </c>
      <c r="S38" s="35">
        <f t="shared" si="5"/>
        <v>0</v>
      </c>
    </row>
    <row r="39" spans="1:19" ht="26.25">
      <c r="A39" s="5" t="s">
        <v>69</v>
      </c>
      <c r="B39" s="5" t="s">
        <v>70</v>
      </c>
      <c r="C39" s="8">
        <v>31.8</v>
      </c>
      <c r="D39" s="8">
        <v>2.9</v>
      </c>
      <c r="E39" s="8">
        <v>41.2</v>
      </c>
      <c r="F39" s="8">
        <v>20.6</v>
      </c>
      <c r="G39" s="8">
        <v>20.6</v>
      </c>
      <c r="H39" s="14">
        <v>602</v>
      </c>
      <c r="J39" s="31">
        <v>31.8</v>
      </c>
      <c r="K39" s="32">
        <v>2.9</v>
      </c>
      <c r="L39" s="32">
        <v>41.2</v>
      </c>
      <c r="M39" s="32">
        <v>20.6</v>
      </c>
      <c r="N39" s="32">
        <v>20.6</v>
      </c>
      <c r="O39" s="35">
        <f t="shared" si="1"/>
        <v>0</v>
      </c>
      <c r="P39" s="35">
        <f t="shared" si="2"/>
        <v>0</v>
      </c>
      <c r="Q39" s="35">
        <f t="shared" si="3"/>
        <v>0</v>
      </c>
      <c r="R39" s="35">
        <f t="shared" si="4"/>
        <v>0</v>
      </c>
      <c r="S39" s="35">
        <f t="shared" si="5"/>
        <v>0</v>
      </c>
    </row>
    <row r="40" spans="1:19" s="18" customFormat="1" ht="27" thickBot="1">
      <c r="A40" s="15" t="s">
        <v>124</v>
      </c>
      <c r="B40" s="15" t="s">
        <v>71</v>
      </c>
      <c r="C40" s="16">
        <v>3131.3</v>
      </c>
      <c r="D40" s="16">
        <v>29.6</v>
      </c>
      <c r="E40" s="16">
        <v>9</v>
      </c>
      <c r="F40" s="16">
        <v>455.4</v>
      </c>
      <c r="G40" s="16">
        <v>65.7</v>
      </c>
      <c r="H40" s="17">
        <v>3386</v>
      </c>
      <c r="J40" s="29">
        <v>3131.3</v>
      </c>
      <c r="K40" s="30">
        <v>29.6</v>
      </c>
      <c r="L40" s="30">
        <v>9</v>
      </c>
      <c r="M40" s="30">
        <v>455.4</v>
      </c>
      <c r="N40" s="30">
        <v>65.7</v>
      </c>
      <c r="O40" s="35">
        <f t="shared" si="1"/>
        <v>0</v>
      </c>
      <c r="P40" s="35">
        <f t="shared" si="2"/>
        <v>0</v>
      </c>
      <c r="Q40" s="35">
        <f t="shared" si="3"/>
        <v>0</v>
      </c>
      <c r="R40" s="35">
        <f t="shared" si="4"/>
        <v>0</v>
      </c>
      <c r="S40" s="35">
        <f t="shared" si="5"/>
        <v>0</v>
      </c>
    </row>
    <row r="41" spans="1:19" ht="39">
      <c r="A41" s="5" t="s">
        <v>72</v>
      </c>
      <c r="B41" s="5" t="s">
        <v>73</v>
      </c>
      <c r="C41" s="8">
        <v>3131.3</v>
      </c>
      <c r="D41" s="8">
        <v>29.6</v>
      </c>
      <c r="E41" s="8">
        <v>9</v>
      </c>
      <c r="F41" s="8">
        <v>455.4</v>
      </c>
      <c r="G41" s="8">
        <v>65.7</v>
      </c>
      <c r="H41" s="14">
        <v>3386</v>
      </c>
      <c r="J41" s="33">
        <v>3131.3</v>
      </c>
      <c r="K41" s="34">
        <v>29.6</v>
      </c>
      <c r="L41" s="34">
        <v>9</v>
      </c>
      <c r="M41" s="34">
        <v>455.4</v>
      </c>
      <c r="N41" s="34">
        <v>65.7</v>
      </c>
      <c r="O41" s="35">
        <f t="shared" si="1"/>
        <v>0</v>
      </c>
      <c r="P41" s="35">
        <f t="shared" si="2"/>
        <v>0</v>
      </c>
      <c r="Q41" s="35">
        <f t="shared" si="3"/>
        <v>0</v>
      </c>
      <c r="R41" s="35">
        <f t="shared" si="4"/>
        <v>0</v>
      </c>
      <c r="S41" s="35">
        <f t="shared" si="5"/>
        <v>0</v>
      </c>
    </row>
    <row r="42" spans="1:19" s="18" customFormat="1" ht="26.25">
      <c r="A42" s="15" t="s">
        <v>125</v>
      </c>
      <c r="B42" s="15" t="s">
        <v>74</v>
      </c>
      <c r="C42" s="16">
        <v>188.9</v>
      </c>
      <c r="D42" s="16">
        <v>15.3</v>
      </c>
      <c r="E42" s="16">
        <v>179.8</v>
      </c>
      <c r="F42" s="16">
        <v>117.5</v>
      </c>
      <c r="G42" s="16">
        <v>94.1</v>
      </c>
      <c r="H42" s="17">
        <v>161994</v>
      </c>
      <c r="J42" s="29">
        <v>188.9</v>
      </c>
      <c r="K42" s="30">
        <v>15.3</v>
      </c>
      <c r="L42" s="30">
        <v>179.8</v>
      </c>
      <c r="M42" s="30">
        <v>117.5</v>
      </c>
      <c r="N42" s="30">
        <v>94.1</v>
      </c>
      <c r="O42" s="35">
        <f t="shared" si="1"/>
        <v>0</v>
      </c>
      <c r="P42" s="35">
        <f t="shared" si="2"/>
        <v>0</v>
      </c>
      <c r="Q42" s="35">
        <f t="shared" si="3"/>
        <v>0</v>
      </c>
      <c r="R42" s="35">
        <f t="shared" si="4"/>
        <v>0</v>
      </c>
      <c r="S42" s="35">
        <f t="shared" si="5"/>
        <v>0</v>
      </c>
    </row>
    <row r="43" spans="1:19" ht="15.75">
      <c r="A43" s="5" t="s">
        <v>75</v>
      </c>
      <c r="B43" s="5" t="s">
        <v>76</v>
      </c>
      <c r="C43" s="8">
        <v>188.9</v>
      </c>
      <c r="D43" s="8">
        <v>15.3</v>
      </c>
      <c r="E43" s="8">
        <v>179.8</v>
      </c>
      <c r="F43" s="8">
        <v>117.5</v>
      </c>
      <c r="G43" s="8">
        <v>94.1</v>
      </c>
      <c r="H43" s="14">
        <v>161994</v>
      </c>
      <c r="J43" s="31">
        <v>188.9</v>
      </c>
      <c r="K43" s="32">
        <v>15.3</v>
      </c>
      <c r="L43" s="32">
        <v>179.8</v>
      </c>
      <c r="M43" s="32">
        <v>117.5</v>
      </c>
      <c r="N43" s="32">
        <v>94.1</v>
      </c>
      <c r="O43" s="35">
        <f t="shared" si="1"/>
        <v>0</v>
      </c>
      <c r="P43" s="35">
        <f t="shared" si="2"/>
        <v>0</v>
      </c>
      <c r="Q43" s="35">
        <f t="shared" si="3"/>
        <v>0</v>
      </c>
      <c r="R43" s="35">
        <f t="shared" si="4"/>
        <v>0</v>
      </c>
      <c r="S43" s="35">
        <f t="shared" si="5"/>
        <v>0</v>
      </c>
    </row>
    <row r="44" spans="1:19" s="18" customFormat="1" ht="26.25">
      <c r="A44" s="15" t="s">
        <v>126</v>
      </c>
      <c r="B44" s="15" t="s">
        <v>77</v>
      </c>
      <c r="C44" s="16">
        <v>3622.7</v>
      </c>
      <c r="D44" s="16">
        <v>857.4</v>
      </c>
      <c r="E44" s="16">
        <v>732</v>
      </c>
      <c r="F44" s="16">
        <v>1507.2</v>
      </c>
      <c r="G44" s="16">
        <v>1442.5</v>
      </c>
      <c r="H44" s="17">
        <v>2171401</v>
      </c>
      <c r="J44" s="29">
        <v>3622.7</v>
      </c>
      <c r="K44" s="30">
        <v>857.4</v>
      </c>
      <c r="L44" s="30">
        <v>732</v>
      </c>
      <c r="M44" s="30">
        <v>1507.2</v>
      </c>
      <c r="N44" s="30">
        <v>1442.5</v>
      </c>
      <c r="O44" s="35">
        <f t="shared" si="1"/>
        <v>0</v>
      </c>
      <c r="P44" s="35">
        <f t="shared" si="2"/>
        <v>0</v>
      </c>
      <c r="Q44" s="35">
        <f t="shared" si="3"/>
        <v>0</v>
      </c>
      <c r="R44" s="35">
        <f t="shared" si="4"/>
        <v>0</v>
      </c>
      <c r="S44" s="35">
        <f t="shared" si="5"/>
        <v>0</v>
      </c>
    </row>
    <row r="45" spans="1:19" ht="26.25">
      <c r="A45" s="5" t="s">
        <v>78</v>
      </c>
      <c r="B45" s="5" t="s">
        <v>79</v>
      </c>
      <c r="C45" s="8">
        <v>15.9</v>
      </c>
      <c r="D45" s="8">
        <v>0</v>
      </c>
      <c r="E45" s="8">
        <v>2.2999999999999998</v>
      </c>
      <c r="F45" s="8" t="s">
        <v>80</v>
      </c>
      <c r="G45" s="8">
        <v>0</v>
      </c>
      <c r="H45" s="14">
        <v>0</v>
      </c>
      <c r="J45" s="31">
        <v>15.9</v>
      </c>
      <c r="K45" s="32">
        <v>0</v>
      </c>
      <c r="L45" s="32">
        <v>2.2999999999999998</v>
      </c>
      <c r="M45" s="32" t="s">
        <v>80</v>
      </c>
      <c r="N45" s="32">
        <v>0</v>
      </c>
      <c r="O45" s="35">
        <f t="shared" si="1"/>
        <v>0</v>
      </c>
      <c r="P45" s="35">
        <f t="shared" si="2"/>
        <v>0</v>
      </c>
      <c r="Q45" s="35">
        <f t="shared" si="3"/>
        <v>0</v>
      </c>
      <c r="R45" s="35" t="e">
        <f t="shared" si="4"/>
        <v>#VALUE!</v>
      </c>
      <c r="S45" s="35">
        <f t="shared" si="5"/>
        <v>0</v>
      </c>
    </row>
    <row r="46" spans="1:19" ht="26.25">
      <c r="A46" s="5" t="s">
        <v>81</v>
      </c>
      <c r="B46" s="5" t="s">
        <v>82</v>
      </c>
      <c r="C46" s="8">
        <v>4383.7</v>
      </c>
      <c r="D46" s="8">
        <v>32.200000000000003</v>
      </c>
      <c r="E46" s="8">
        <v>455.5</v>
      </c>
      <c r="F46" s="8">
        <v>2353.4</v>
      </c>
      <c r="G46" s="8">
        <v>2344.1</v>
      </c>
      <c r="H46" s="14">
        <v>53560</v>
      </c>
      <c r="J46" s="31">
        <v>4383.7</v>
      </c>
      <c r="K46" s="32">
        <v>32.200000000000003</v>
      </c>
      <c r="L46" s="32">
        <v>455.5</v>
      </c>
      <c r="M46" s="32">
        <v>2353.4</v>
      </c>
      <c r="N46" s="32">
        <v>2344.1</v>
      </c>
      <c r="O46" s="35">
        <f t="shared" si="1"/>
        <v>0</v>
      </c>
      <c r="P46" s="35">
        <f t="shared" si="2"/>
        <v>0</v>
      </c>
      <c r="Q46" s="35">
        <f t="shared" si="3"/>
        <v>0</v>
      </c>
      <c r="R46" s="35">
        <f t="shared" si="4"/>
        <v>0</v>
      </c>
      <c r="S46" s="35">
        <f t="shared" si="5"/>
        <v>0</v>
      </c>
    </row>
    <row r="47" spans="1:19" ht="39">
      <c r="A47" s="5" t="s">
        <v>83</v>
      </c>
      <c r="B47" s="5" t="s">
        <v>84</v>
      </c>
      <c r="C47" s="8">
        <v>4245</v>
      </c>
      <c r="D47" s="8">
        <v>2571.6</v>
      </c>
      <c r="E47" s="8">
        <v>947</v>
      </c>
      <c r="F47" s="8">
        <v>925.3</v>
      </c>
      <c r="G47" s="8">
        <v>819</v>
      </c>
      <c r="H47" s="14">
        <v>2117642</v>
      </c>
      <c r="J47" s="31">
        <v>4245</v>
      </c>
      <c r="K47" s="32">
        <v>2571.6</v>
      </c>
      <c r="L47" s="32">
        <v>947</v>
      </c>
      <c r="M47" s="32">
        <v>925.3</v>
      </c>
      <c r="N47" s="32">
        <v>819</v>
      </c>
      <c r="O47" s="35">
        <f t="shared" si="1"/>
        <v>0</v>
      </c>
      <c r="P47" s="35">
        <f t="shared" si="2"/>
        <v>0</v>
      </c>
      <c r="Q47" s="35">
        <f t="shared" si="3"/>
        <v>0</v>
      </c>
      <c r="R47" s="35">
        <f t="shared" si="4"/>
        <v>0</v>
      </c>
      <c r="S47" s="35">
        <f t="shared" si="5"/>
        <v>0</v>
      </c>
    </row>
    <row r="48" spans="1:19" ht="26.25">
      <c r="A48" s="5" t="s">
        <v>85</v>
      </c>
      <c r="B48" s="5" t="s">
        <v>86</v>
      </c>
      <c r="C48" s="8">
        <v>14.1</v>
      </c>
      <c r="D48" s="8">
        <v>4.5</v>
      </c>
      <c r="E48" s="8">
        <v>97.3</v>
      </c>
      <c r="F48" s="8">
        <v>8.6999999999999993</v>
      </c>
      <c r="G48" s="8">
        <v>8.6</v>
      </c>
      <c r="H48" s="14">
        <v>200</v>
      </c>
      <c r="J48" s="31">
        <v>14.1</v>
      </c>
      <c r="K48" s="32">
        <v>4.5</v>
      </c>
      <c r="L48" s="32">
        <v>97.3</v>
      </c>
      <c r="M48" s="32">
        <v>8.6999999999999993</v>
      </c>
      <c r="N48" s="32">
        <v>8.6</v>
      </c>
      <c r="O48" s="35">
        <f t="shared" si="1"/>
        <v>0</v>
      </c>
      <c r="P48" s="35">
        <f t="shared" si="2"/>
        <v>0</v>
      </c>
      <c r="Q48" s="35">
        <f t="shared" si="3"/>
        <v>0</v>
      </c>
      <c r="R48" s="35">
        <f t="shared" si="4"/>
        <v>0</v>
      </c>
      <c r="S48" s="35">
        <f t="shared" si="5"/>
        <v>0</v>
      </c>
    </row>
    <row r="49" spans="1:19" s="18" customFormat="1" ht="39">
      <c r="A49" s="15" t="s">
        <v>127</v>
      </c>
      <c r="B49" s="15" t="s">
        <v>87</v>
      </c>
      <c r="C49" s="16">
        <v>124.1</v>
      </c>
      <c r="D49" s="16">
        <v>49.6</v>
      </c>
      <c r="E49" s="16">
        <v>148.30000000000001</v>
      </c>
      <c r="F49" s="16">
        <v>50.6</v>
      </c>
      <c r="G49" s="16">
        <v>45.1</v>
      </c>
      <c r="H49" s="17">
        <v>136907</v>
      </c>
      <c r="J49" s="29">
        <v>124.1</v>
      </c>
      <c r="K49" s="30">
        <v>49.6</v>
      </c>
      <c r="L49" s="30">
        <v>148.30000000000001</v>
      </c>
      <c r="M49" s="30">
        <v>50.6</v>
      </c>
      <c r="N49" s="30">
        <v>45.1</v>
      </c>
      <c r="O49" s="35">
        <f t="shared" si="1"/>
        <v>0</v>
      </c>
      <c r="P49" s="35">
        <f t="shared" si="2"/>
        <v>0</v>
      </c>
      <c r="Q49" s="35">
        <f t="shared" si="3"/>
        <v>0</v>
      </c>
      <c r="R49" s="35">
        <f t="shared" si="4"/>
        <v>0</v>
      </c>
      <c r="S49" s="35">
        <f t="shared" si="5"/>
        <v>0</v>
      </c>
    </row>
    <row r="50" spans="1:19" ht="16.5" thickBot="1">
      <c r="A50" s="5" t="s">
        <v>88</v>
      </c>
      <c r="B50" s="5" t="s">
        <v>89</v>
      </c>
      <c r="C50" s="8">
        <v>206.2</v>
      </c>
      <c r="D50" s="8">
        <v>33.200000000000003</v>
      </c>
      <c r="E50" s="8">
        <v>38.700000000000003</v>
      </c>
      <c r="F50" s="8">
        <v>64.900000000000006</v>
      </c>
      <c r="G50" s="8">
        <v>64.900000000000006</v>
      </c>
      <c r="H50" s="14">
        <v>25506</v>
      </c>
      <c r="J50" s="31">
        <v>206.2</v>
      </c>
      <c r="K50" s="32">
        <v>33.200000000000003</v>
      </c>
      <c r="L50" s="32">
        <v>38.700000000000003</v>
      </c>
      <c r="M50" s="32">
        <v>64.900000000000006</v>
      </c>
      <c r="N50" s="32">
        <v>64.900000000000006</v>
      </c>
      <c r="O50" s="35">
        <f t="shared" si="1"/>
        <v>0</v>
      </c>
      <c r="P50" s="35">
        <f t="shared" si="2"/>
        <v>0</v>
      </c>
      <c r="Q50" s="35">
        <f t="shared" si="3"/>
        <v>0</v>
      </c>
      <c r="R50" s="35">
        <f t="shared" si="4"/>
        <v>0</v>
      </c>
      <c r="S50" s="35">
        <f t="shared" si="5"/>
        <v>0</v>
      </c>
    </row>
    <row r="51" spans="1:19" ht="39">
      <c r="A51" s="5" t="s">
        <v>90</v>
      </c>
      <c r="B51" s="5" t="s">
        <v>91</v>
      </c>
      <c r="C51" s="8">
        <v>1953.5</v>
      </c>
      <c r="D51" s="8">
        <v>2.7</v>
      </c>
      <c r="E51" s="8">
        <v>1025.5999999999999</v>
      </c>
      <c r="F51" s="8">
        <v>1947.1</v>
      </c>
      <c r="G51" s="8">
        <v>1942.9</v>
      </c>
      <c r="H51" s="14">
        <v>356</v>
      </c>
      <c r="J51" s="33">
        <v>1953.5</v>
      </c>
      <c r="K51" s="34">
        <v>2.7</v>
      </c>
      <c r="L51" s="34">
        <v>1025.5999999999999</v>
      </c>
      <c r="M51" s="34">
        <v>1947.1</v>
      </c>
      <c r="N51" s="34">
        <v>1942.9</v>
      </c>
      <c r="O51" s="35">
        <f t="shared" si="1"/>
        <v>0</v>
      </c>
      <c r="P51" s="35">
        <f t="shared" si="2"/>
        <v>0</v>
      </c>
      <c r="Q51" s="35">
        <f t="shared" si="3"/>
        <v>0</v>
      </c>
      <c r="R51" s="35">
        <f t="shared" si="4"/>
        <v>0</v>
      </c>
      <c r="S51" s="35">
        <f t="shared" si="5"/>
        <v>0</v>
      </c>
    </row>
    <row r="52" spans="1:19" ht="26.25">
      <c r="A52" s="5" t="s">
        <v>92</v>
      </c>
      <c r="B52" s="5" t="s">
        <v>93</v>
      </c>
      <c r="C52" s="8">
        <v>102.2</v>
      </c>
      <c r="D52" s="8">
        <v>60.5</v>
      </c>
      <c r="E52" s="8">
        <v>178</v>
      </c>
      <c r="F52" s="8">
        <v>41.1</v>
      </c>
      <c r="G52" s="8">
        <v>34</v>
      </c>
      <c r="H52" s="14">
        <v>110854</v>
      </c>
      <c r="J52" s="31">
        <v>102.2</v>
      </c>
      <c r="K52" s="32">
        <v>60.5</v>
      </c>
      <c r="L52" s="32">
        <v>178</v>
      </c>
      <c r="M52" s="32">
        <v>41.1</v>
      </c>
      <c r="N52" s="32">
        <v>34</v>
      </c>
      <c r="O52" s="35">
        <f t="shared" si="1"/>
        <v>0</v>
      </c>
      <c r="P52" s="35">
        <f t="shared" si="2"/>
        <v>0</v>
      </c>
      <c r="Q52" s="35">
        <f t="shared" si="3"/>
        <v>0</v>
      </c>
      <c r="R52" s="35">
        <f t="shared" si="4"/>
        <v>0</v>
      </c>
      <c r="S52" s="35">
        <f t="shared" si="5"/>
        <v>0</v>
      </c>
    </row>
    <row r="53" spans="1:19" ht="64.5">
      <c r="A53" s="5" t="s">
        <v>94</v>
      </c>
      <c r="B53" s="5" t="s">
        <v>95</v>
      </c>
      <c r="C53" s="8">
        <v>42.8</v>
      </c>
      <c r="D53" s="8">
        <v>6</v>
      </c>
      <c r="E53" s="8">
        <v>1.4</v>
      </c>
      <c r="F53" s="8">
        <v>12.6</v>
      </c>
      <c r="G53" s="8">
        <v>12.6</v>
      </c>
      <c r="H53" s="14">
        <v>190</v>
      </c>
      <c r="J53" s="31">
        <v>42.8</v>
      </c>
      <c r="K53" s="32">
        <v>6</v>
      </c>
      <c r="L53" s="32">
        <v>1.4</v>
      </c>
      <c r="M53" s="32">
        <v>12.6</v>
      </c>
      <c r="N53" s="32">
        <v>12.6</v>
      </c>
      <c r="O53" s="35">
        <f t="shared" si="1"/>
        <v>0</v>
      </c>
      <c r="P53" s="35">
        <f t="shared" si="2"/>
        <v>0</v>
      </c>
      <c r="Q53" s="35">
        <f t="shared" si="3"/>
        <v>0</v>
      </c>
      <c r="R53" s="35">
        <f t="shared" si="4"/>
        <v>0</v>
      </c>
      <c r="S53" s="35">
        <f t="shared" si="5"/>
        <v>0</v>
      </c>
    </row>
    <row r="54" spans="1:19" s="18" customFormat="1" ht="39">
      <c r="A54" s="15" t="s">
        <v>128</v>
      </c>
      <c r="B54" s="15" t="s">
        <v>96</v>
      </c>
      <c r="C54" s="16">
        <v>312.5</v>
      </c>
      <c r="D54" s="16">
        <v>290.3</v>
      </c>
      <c r="E54" s="16">
        <v>2.8</v>
      </c>
      <c r="F54" s="16">
        <v>4.2</v>
      </c>
      <c r="G54" s="16">
        <v>1</v>
      </c>
      <c r="H54" s="17">
        <v>4464</v>
      </c>
      <c r="J54" s="29">
        <v>312.5</v>
      </c>
      <c r="K54" s="30">
        <v>290.3</v>
      </c>
      <c r="L54" s="30">
        <v>2.8</v>
      </c>
      <c r="M54" s="30">
        <v>4.2</v>
      </c>
      <c r="N54" s="30">
        <v>1</v>
      </c>
      <c r="O54" s="35">
        <f t="shared" si="1"/>
        <v>0</v>
      </c>
      <c r="P54" s="35">
        <f t="shared" si="2"/>
        <v>0</v>
      </c>
      <c r="Q54" s="35">
        <f t="shared" si="3"/>
        <v>0</v>
      </c>
      <c r="R54" s="35">
        <f t="shared" si="4"/>
        <v>0</v>
      </c>
      <c r="S54" s="35">
        <f t="shared" si="5"/>
        <v>0</v>
      </c>
    </row>
    <row r="55" spans="1:19" ht="51.75">
      <c r="A55" s="5" t="s">
        <v>97</v>
      </c>
      <c r="B55" s="5" t="s">
        <v>98</v>
      </c>
      <c r="C55" s="8">
        <v>312.5</v>
      </c>
      <c r="D55" s="8">
        <v>290.3</v>
      </c>
      <c r="E55" s="8">
        <v>2.8</v>
      </c>
      <c r="F55" s="8">
        <v>4.2</v>
      </c>
      <c r="G55" s="8">
        <v>1</v>
      </c>
      <c r="H55" s="14">
        <v>4464</v>
      </c>
      <c r="J55" s="31">
        <v>312.5</v>
      </c>
      <c r="K55" s="32">
        <v>290.3</v>
      </c>
      <c r="L55" s="32">
        <v>2.8</v>
      </c>
      <c r="M55" s="32">
        <v>4.2</v>
      </c>
      <c r="N55" s="32">
        <v>1</v>
      </c>
      <c r="O55" s="35">
        <f t="shared" si="1"/>
        <v>0</v>
      </c>
      <c r="P55" s="35">
        <f t="shared" si="2"/>
        <v>0</v>
      </c>
      <c r="Q55" s="35">
        <f t="shared" si="3"/>
        <v>0</v>
      </c>
      <c r="R55" s="35">
        <f t="shared" si="4"/>
        <v>0</v>
      </c>
      <c r="S55" s="35">
        <f t="shared" si="5"/>
        <v>0</v>
      </c>
    </row>
    <row r="56" spans="1:19" s="18" customFormat="1" ht="15.75">
      <c r="A56" s="15" t="s">
        <v>129</v>
      </c>
      <c r="B56" s="15" t="s">
        <v>99</v>
      </c>
      <c r="C56" s="16">
        <v>65.2</v>
      </c>
      <c r="D56" s="16">
        <v>48.8</v>
      </c>
      <c r="E56" s="16">
        <v>16.5</v>
      </c>
      <c r="F56" s="16">
        <v>11.4</v>
      </c>
      <c r="G56" s="16">
        <v>11.4</v>
      </c>
      <c r="H56" s="17">
        <v>794</v>
      </c>
      <c r="J56" s="29">
        <v>65.2</v>
      </c>
      <c r="K56" s="30">
        <v>48.8</v>
      </c>
      <c r="L56" s="30">
        <v>16.5</v>
      </c>
      <c r="M56" s="30">
        <v>11.4</v>
      </c>
      <c r="N56" s="30">
        <v>11.4</v>
      </c>
      <c r="O56" s="35">
        <f t="shared" si="1"/>
        <v>0</v>
      </c>
      <c r="P56" s="35">
        <f t="shared" si="2"/>
        <v>0</v>
      </c>
      <c r="Q56" s="35">
        <f t="shared" si="3"/>
        <v>0</v>
      </c>
      <c r="R56" s="35">
        <f t="shared" si="4"/>
        <v>0</v>
      </c>
      <c r="S56" s="35">
        <f t="shared" si="5"/>
        <v>0</v>
      </c>
    </row>
    <row r="57" spans="1:19" ht="16.5" thickBot="1">
      <c r="A57" s="5" t="s">
        <v>100</v>
      </c>
      <c r="B57" s="5" t="s">
        <v>101</v>
      </c>
      <c r="C57" s="8">
        <v>65.2</v>
      </c>
      <c r="D57" s="8">
        <v>48.8</v>
      </c>
      <c r="E57" s="8">
        <v>16.5</v>
      </c>
      <c r="F57" s="8">
        <v>11.4</v>
      </c>
      <c r="G57" s="8">
        <v>11.4</v>
      </c>
      <c r="H57" s="14">
        <v>794</v>
      </c>
      <c r="J57" s="31">
        <v>65.2</v>
      </c>
      <c r="K57" s="32">
        <v>48.8</v>
      </c>
      <c r="L57" s="32">
        <v>16.5</v>
      </c>
      <c r="M57" s="32">
        <v>11.4</v>
      </c>
      <c r="N57" s="32">
        <v>11.4</v>
      </c>
      <c r="O57" s="35">
        <f t="shared" si="1"/>
        <v>0</v>
      </c>
      <c r="P57" s="35">
        <f t="shared" si="2"/>
        <v>0</v>
      </c>
      <c r="Q57" s="35">
        <f t="shared" si="3"/>
        <v>0</v>
      </c>
      <c r="R57" s="35">
        <f t="shared" si="4"/>
        <v>0</v>
      </c>
      <c r="S57" s="35">
        <f t="shared" si="5"/>
        <v>0</v>
      </c>
    </row>
    <row r="58" spans="1:19" s="18" customFormat="1" ht="39">
      <c r="A58" s="15" t="s">
        <v>130</v>
      </c>
      <c r="B58" s="15" t="s">
        <v>102</v>
      </c>
      <c r="C58" s="16">
        <v>0</v>
      </c>
      <c r="D58" s="16">
        <v>0</v>
      </c>
      <c r="E58" s="16">
        <v>0</v>
      </c>
      <c r="F58" s="16">
        <v>0</v>
      </c>
      <c r="G58" s="16" t="s">
        <v>80</v>
      </c>
      <c r="H58" s="17">
        <v>11</v>
      </c>
      <c r="J58" s="27">
        <v>0</v>
      </c>
      <c r="K58" s="28">
        <v>0</v>
      </c>
      <c r="L58" s="28">
        <v>0</v>
      </c>
      <c r="M58" s="28">
        <v>0</v>
      </c>
      <c r="N58" s="28" t="s">
        <v>80</v>
      </c>
      <c r="O58" s="35">
        <f t="shared" si="1"/>
        <v>0</v>
      </c>
      <c r="P58" s="35">
        <f t="shared" si="2"/>
        <v>0</v>
      </c>
      <c r="Q58" s="35">
        <f t="shared" si="3"/>
        <v>0</v>
      </c>
      <c r="R58" s="35">
        <f t="shared" si="4"/>
        <v>0</v>
      </c>
      <c r="S58" s="35" t="e">
        <f t="shared" si="5"/>
        <v>#VALUE!</v>
      </c>
    </row>
    <row r="59" spans="1:19" ht="26.25">
      <c r="A59" s="5" t="s">
        <v>103</v>
      </c>
      <c r="B59" s="5" t="s">
        <v>104</v>
      </c>
      <c r="C59" s="8">
        <v>0</v>
      </c>
      <c r="D59" s="8">
        <v>0</v>
      </c>
      <c r="E59" s="8">
        <v>0</v>
      </c>
      <c r="F59" s="8">
        <v>0</v>
      </c>
      <c r="G59" s="8" t="s">
        <v>80</v>
      </c>
      <c r="H59" s="14">
        <v>11</v>
      </c>
      <c r="J59" s="31">
        <v>0</v>
      </c>
      <c r="K59" s="32">
        <v>0</v>
      </c>
      <c r="L59" s="32">
        <v>0</v>
      </c>
      <c r="M59" s="32">
        <v>0</v>
      </c>
      <c r="N59" s="32" t="s">
        <v>80</v>
      </c>
      <c r="O59" s="35">
        <f t="shared" si="1"/>
        <v>0</v>
      </c>
      <c r="P59" s="35">
        <f t="shared" si="2"/>
        <v>0</v>
      </c>
      <c r="Q59" s="35">
        <f t="shared" si="3"/>
        <v>0</v>
      </c>
      <c r="R59" s="35">
        <f t="shared" si="4"/>
        <v>0</v>
      </c>
      <c r="S59" s="35" t="e">
        <f t="shared" si="5"/>
        <v>#VALUE!</v>
      </c>
    </row>
    <row r="60" spans="1:19" s="18" customFormat="1" ht="39">
      <c r="A60" s="15" t="s">
        <v>131</v>
      </c>
      <c r="B60" s="15" t="s">
        <v>105</v>
      </c>
      <c r="C60" s="16">
        <v>185.5</v>
      </c>
      <c r="D60" s="16">
        <v>0</v>
      </c>
      <c r="E60" s="16">
        <v>13</v>
      </c>
      <c r="F60" s="16">
        <v>96.7</v>
      </c>
      <c r="G60" s="16">
        <v>96.7</v>
      </c>
      <c r="H60" s="17">
        <v>0</v>
      </c>
      <c r="J60" s="29">
        <v>185.5</v>
      </c>
      <c r="K60" s="30">
        <v>0</v>
      </c>
      <c r="L60" s="30">
        <v>13</v>
      </c>
      <c r="M60" s="30">
        <v>96.7</v>
      </c>
      <c r="N60" s="30">
        <v>96.7</v>
      </c>
      <c r="O60" s="35">
        <f t="shared" si="1"/>
        <v>0</v>
      </c>
      <c r="P60" s="35">
        <f t="shared" si="2"/>
        <v>0</v>
      </c>
      <c r="Q60" s="35">
        <f t="shared" si="3"/>
        <v>0</v>
      </c>
      <c r="R60" s="35">
        <f t="shared" si="4"/>
        <v>0</v>
      </c>
      <c r="S60" s="35">
        <f t="shared" si="5"/>
        <v>0</v>
      </c>
    </row>
    <row r="61" spans="1:19" ht="26.25">
      <c r="A61" s="5" t="s">
        <v>106</v>
      </c>
      <c r="B61" s="5" t="s">
        <v>107</v>
      </c>
      <c r="C61" s="8">
        <v>185.5</v>
      </c>
      <c r="D61" s="8">
        <v>0</v>
      </c>
      <c r="E61" s="8">
        <v>13</v>
      </c>
      <c r="F61" s="8">
        <v>96.7</v>
      </c>
      <c r="G61" s="8">
        <v>96.7</v>
      </c>
      <c r="H61" s="14">
        <v>0</v>
      </c>
      <c r="J61" s="31">
        <v>185.5</v>
      </c>
      <c r="K61" s="32">
        <v>0</v>
      </c>
      <c r="L61" s="32">
        <v>13</v>
      </c>
      <c r="M61" s="32">
        <v>96.7</v>
      </c>
      <c r="N61" s="32">
        <v>96.7</v>
      </c>
      <c r="O61" s="35">
        <f t="shared" si="1"/>
        <v>0</v>
      </c>
      <c r="P61" s="35">
        <f t="shared" si="2"/>
        <v>0</v>
      </c>
      <c r="Q61" s="35">
        <f t="shared" si="3"/>
        <v>0</v>
      </c>
      <c r="R61" s="35">
        <f t="shared" si="4"/>
        <v>0</v>
      </c>
      <c r="S61" s="35">
        <f t="shared" si="5"/>
        <v>0</v>
      </c>
    </row>
    <row r="62" spans="1:19" s="18" customFormat="1" ht="15.75">
      <c r="A62" s="15" t="s">
        <v>132</v>
      </c>
      <c r="B62" s="15" t="s">
        <v>108</v>
      </c>
      <c r="C62" s="16">
        <v>3042.2</v>
      </c>
      <c r="D62" s="16">
        <v>53.6</v>
      </c>
      <c r="E62" s="16">
        <v>354.7</v>
      </c>
      <c r="F62" s="16">
        <v>501.6</v>
      </c>
      <c r="G62" s="16">
        <v>79.5</v>
      </c>
      <c r="H62" s="17">
        <v>1877</v>
      </c>
      <c r="J62" s="29">
        <v>3042.2</v>
      </c>
      <c r="K62" s="30">
        <v>53.6</v>
      </c>
      <c r="L62" s="30">
        <v>354.7</v>
      </c>
      <c r="M62" s="30">
        <v>501.6</v>
      </c>
      <c r="N62" s="30">
        <v>79.5</v>
      </c>
      <c r="O62" s="35">
        <f t="shared" si="1"/>
        <v>0</v>
      </c>
      <c r="P62" s="35">
        <f t="shared" si="2"/>
        <v>0</v>
      </c>
      <c r="Q62" s="35">
        <f t="shared" si="3"/>
        <v>0</v>
      </c>
      <c r="R62" s="35">
        <f t="shared" si="4"/>
        <v>0</v>
      </c>
      <c r="S62" s="35">
        <f t="shared" si="5"/>
        <v>0</v>
      </c>
    </row>
    <row r="63" spans="1:19" ht="26.25">
      <c r="A63" s="5" t="s">
        <v>109</v>
      </c>
      <c r="B63" s="5" t="s">
        <v>110</v>
      </c>
      <c r="C63" s="8">
        <v>3788.4</v>
      </c>
      <c r="D63" s="8">
        <v>600.4</v>
      </c>
      <c r="E63" s="8">
        <v>303.5</v>
      </c>
      <c r="F63" s="8">
        <v>480</v>
      </c>
      <c r="G63" s="8">
        <v>21</v>
      </c>
      <c r="H63" s="14">
        <v>1830</v>
      </c>
      <c r="J63" s="31">
        <v>3788.4</v>
      </c>
      <c r="K63" s="32">
        <v>600.4</v>
      </c>
      <c r="L63" s="32">
        <v>303.5</v>
      </c>
      <c r="M63" s="32">
        <v>480</v>
      </c>
      <c r="N63" s="32">
        <v>21</v>
      </c>
      <c r="O63" s="35">
        <f t="shared" si="1"/>
        <v>0</v>
      </c>
      <c r="P63" s="35">
        <f t="shared" si="2"/>
        <v>0</v>
      </c>
      <c r="Q63" s="35">
        <f t="shared" si="3"/>
        <v>0</v>
      </c>
      <c r="R63" s="35">
        <f t="shared" si="4"/>
        <v>0</v>
      </c>
      <c r="S63" s="35">
        <f t="shared" si="5"/>
        <v>0</v>
      </c>
    </row>
    <row r="64" spans="1:19" ht="26.25">
      <c r="A64" s="5" t="s">
        <v>111</v>
      </c>
      <c r="B64" s="5" t="s">
        <v>112</v>
      </c>
      <c r="C64" s="8">
        <v>747.5</v>
      </c>
      <c r="D64" s="8">
        <v>1.5</v>
      </c>
      <c r="E64" s="8">
        <v>930.4</v>
      </c>
      <c r="F64" s="8">
        <v>744.5</v>
      </c>
      <c r="G64" s="8">
        <v>737.3</v>
      </c>
      <c r="H64" s="14">
        <v>48</v>
      </c>
      <c r="J64" s="31">
        <v>747.5</v>
      </c>
      <c r="K64" s="32">
        <v>1.5</v>
      </c>
      <c r="L64" s="32">
        <v>930.4</v>
      </c>
      <c r="M64" s="32">
        <v>744.5</v>
      </c>
      <c r="N64" s="32">
        <v>737.3</v>
      </c>
      <c r="O64" s="35">
        <f t="shared" si="1"/>
        <v>0</v>
      </c>
      <c r="P64" s="35">
        <f t="shared" si="2"/>
        <v>0</v>
      </c>
      <c r="Q64" s="35">
        <f t="shared" si="3"/>
        <v>0</v>
      </c>
      <c r="R64" s="35">
        <f t="shared" si="4"/>
        <v>0</v>
      </c>
      <c r="S64" s="35">
        <f t="shared" si="5"/>
        <v>0</v>
      </c>
    </row>
  </sheetData>
  <mergeCells count="6">
    <mergeCell ref="H5:H6"/>
    <mergeCell ref="A5:A6"/>
    <mergeCell ref="B5:B6"/>
    <mergeCell ref="B1:F1"/>
    <mergeCell ref="B2:F2"/>
    <mergeCell ref="B3:F3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13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T13</vt:lpstr>
      <vt:lpstr>'T13'!ExternalData_1</vt:lpstr>
      <vt:lpstr>'T13'!Заголовки_для_печати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2025-01-20T12:05:19Z</cp:lastPrinted>
  <dcterms:created xsi:type="dcterms:W3CDTF">2006-03-02T09:21:37Z</dcterms:created>
  <dcterms:modified xsi:type="dcterms:W3CDTF">2025-09-01T23:08:53Z</dcterms:modified>
</cp:coreProperties>
</file>