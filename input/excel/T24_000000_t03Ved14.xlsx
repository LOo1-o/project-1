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90" yWindow="120" windowWidth="8445" windowHeight="4350" tabRatio="358"/>
  </bookViews>
  <sheets>
    <sheet name="T3" sheetId="1" r:id="rId1"/>
  </sheets>
  <definedNames>
    <definedName name="ExternalData_1" localSheetId="0">'T3'!$A$9:$M$60</definedName>
    <definedName name="_xlnm.Print_Titles" localSheetId="0">'T3'!$A:$A,'T3'!$4:$8</definedName>
  </definedNames>
  <calcPr calcId="125725"/>
</workbook>
</file>

<file path=xl/calcChain.xml><?xml version="1.0" encoding="utf-8"?>
<calcChain xmlns="http://schemas.openxmlformats.org/spreadsheetml/2006/main">
  <c r="AA11" i="1"/>
  <c r="AB11"/>
  <c r="AC11"/>
  <c r="AD11"/>
  <c r="AE11"/>
  <c r="AF11"/>
  <c r="AG11"/>
  <c r="AH11"/>
  <c r="AI11"/>
  <c r="AJ11"/>
  <c r="AK11"/>
  <c r="AL11"/>
  <c r="AA12"/>
  <c r="AB12"/>
  <c r="AC12"/>
  <c r="AD12"/>
  <c r="AE12"/>
  <c r="AF12"/>
  <c r="AG12"/>
  <c r="AH12"/>
  <c r="AI12"/>
  <c r="AJ12"/>
  <c r="AK12"/>
  <c r="AL12"/>
  <c r="AA13"/>
  <c r="AB13"/>
  <c r="AC13"/>
  <c r="AD13"/>
  <c r="AE13"/>
  <c r="AF13"/>
  <c r="AG13"/>
  <c r="AH13"/>
  <c r="AI13"/>
  <c r="AJ13"/>
  <c r="AK13"/>
  <c r="AL13"/>
  <c r="AA14"/>
  <c r="AB14"/>
  <c r="AC14"/>
  <c r="AD14"/>
  <c r="AE14"/>
  <c r="AF14"/>
  <c r="AG14"/>
  <c r="AH14"/>
  <c r="AI14"/>
  <c r="AJ14"/>
  <c r="AK14"/>
  <c r="AL14"/>
  <c r="AA15"/>
  <c r="AB15"/>
  <c r="AC15"/>
  <c r="AD15"/>
  <c r="AE15"/>
  <c r="AF15"/>
  <c r="AG15"/>
  <c r="AH15"/>
  <c r="AI15"/>
  <c r="AJ15"/>
  <c r="AK15"/>
  <c r="AL15"/>
  <c r="AA16"/>
  <c r="AB16"/>
  <c r="AC16"/>
  <c r="AD16"/>
  <c r="AE16"/>
  <c r="AF16"/>
  <c r="AG16"/>
  <c r="AH16"/>
  <c r="AI16"/>
  <c r="AJ16"/>
  <c r="AK16"/>
  <c r="AL16"/>
  <c r="AA17"/>
  <c r="AB17"/>
  <c r="AC17"/>
  <c r="AD17"/>
  <c r="AE17"/>
  <c r="AF17"/>
  <c r="AG17"/>
  <c r="AH17"/>
  <c r="AI17"/>
  <c r="AJ17"/>
  <c r="AK17"/>
  <c r="AL17"/>
  <c r="AA18"/>
  <c r="AB18"/>
  <c r="AC18"/>
  <c r="AD18"/>
  <c r="AE18"/>
  <c r="AF18"/>
  <c r="AG18"/>
  <c r="AH18"/>
  <c r="AI18"/>
  <c r="AJ18"/>
  <c r="AK18"/>
  <c r="AL18"/>
  <c r="AA19"/>
  <c r="AB19"/>
  <c r="AC19"/>
  <c r="AD19"/>
  <c r="AE19"/>
  <c r="AF19"/>
  <c r="AG19"/>
  <c r="AH19"/>
  <c r="AI19"/>
  <c r="AJ19"/>
  <c r="AK19"/>
  <c r="AL19"/>
  <c r="AA20"/>
  <c r="AB20"/>
  <c r="AC20"/>
  <c r="AD20"/>
  <c r="AE20"/>
  <c r="AF20"/>
  <c r="AG20"/>
  <c r="AH20"/>
  <c r="AI20"/>
  <c r="AJ20"/>
  <c r="AK20"/>
  <c r="AL20"/>
  <c r="AA21"/>
  <c r="AB21"/>
  <c r="AC21"/>
  <c r="AD21"/>
  <c r="AE21"/>
  <c r="AF21"/>
  <c r="AG21"/>
  <c r="AH21"/>
  <c r="AI21"/>
  <c r="AJ21"/>
  <c r="AK21"/>
  <c r="AL21"/>
  <c r="AA22"/>
  <c r="AB22"/>
  <c r="AC22"/>
  <c r="AD22"/>
  <c r="AE22"/>
  <c r="AF22"/>
  <c r="AG22"/>
  <c r="AH22"/>
  <c r="AI22"/>
  <c r="AJ22"/>
  <c r="AK22"/>
  <c r="AL22"/>
  <c r="AA23"/>
  <c r="AB23"/>
  <c r="AC23"/>
  <c r="AD23"/>
  <c r="AE23"/>
  <c r="AF23"/>
  <c r="AG23"/>
  <c r="AH23"/>
  <c r="AI23"/>
  <c r="AJ23"/>
  <c r="AK23"/>
  <c r="AL23"/>
  <c r="AA24"/>
  <c r="AB24"/>
  <c r="AC24"/>
  <c r="AD24"/>
  <c r="AE24"/>
  <c r="AF24"/>
  <c r="AG24"/>
  <c r="AH24"/>
  <c r="AI24"/>
  <c r="AJ24"/>
  <c r="AK24"/>
  <c r="AL24"/>
  <c r="AA25"/>
  <c r="AB25"/>
  <c r="AC25"/>
  <c r="AD25"/>
  <c r="AE25"/>
  <c r="AF25"/>
  <c r="AG25"/>
  <c r="AH25"/>
  <c r="AI25"/>
  <c r="AJ25"/>
  <c r="AK25"/>
  <c r="AL25"/>
  <c r="AA26"/>
  <c r="AB26"/>
  <c r="AC26"/>
  <c r="AD26"/>
  <c r="AE26"/>
  <c r="AF26"/>
  <c r="AG26"/>
  <c r="AH26"/>
  <c r="AI26"/>
  <c r="AJ26"/>
  <c r="AK26"/>
  <c r="AL26"/>
  <c r="AA27"/>
  <c r="AB27"/>
  <c r="AC27"/>
  <c r="AD27"/>
  <c r="AE27"/>
  <c r="AF27"/>
  <c r="AG27"/>
  <c r="AH27"/>
  <c r="AI27"/>
  <c r="AJ27"/>
  <c r="AK27"/>
  <c r="AL27"/>
  <c r="AA28"/>
  <c r="AB28"/>
  <c r="AC28"/>
  <c r="AD28"/>
  <c r="AE28"/>
  <c r="AF28"/>
  <c r="AG28"/>
  <c r="AH28"/>
  <c r="AI28"/>
  <c r="AJ28"/>
  <c r="AK28"/>
  <c r="AL28"/>
  <c r="AA29"/>
  <c r="AB29"/>
  <c r="AC29"/>
  <c r="AD29"/>
  <c r="AE29"/>
  <c r="AF29"/>
  <c r="AG29"/>
  <c r="AH29"/>
  <c r="AI29"/>
  <c r="AJ29"/>
  <c r="AK29"/>
  <c r="AL29"/>
  <c r="AA30"/>
  <c r="AB30"/>
  <c r="AC30"/>
  <c r="AD30"/>
  <c r="AE30"/>
  <c r="AF30"/>
  <c r="AG30"/>
  <c r="AH30"/>
  <c r="AI30"/>
  <c r="AJ30"/>
  <c r="AK30"/>
  <c r="AL30"/>
  <c r="AA31"/>
  <c r="AB31"/>
  <c r="AC31"/>
  <c r="AD31"/>
  <c r="AE31"/>
  <c r="AF31"/>
  <c r="AG31"/>
  <c r="AH31"/>
  <c r="AI31"/>
  <c r="AJ31"/>
  <c r="AK31"/>
  <c r="AL31"/>
  <c r="AA32"/>
  <c r="AB32"/>
  <c r="AC32"/>
  <c r="AD32"/>
  <c r="AE32"/>
  <c r="AF32"/>
  <c r="AG32"/>
  <c r="AH32"/>
  <c r="AI32"/>
  <c r="AJ32"/>
  <c r="AK32"/>
  <c r="AL32"/>
  <c r="AA33"/>
  <c r="AB33"/>
  <c r="AC33"/>
  <c r="AD33"/>
  <c r="AE33"/>
  <c r="AF33"/>
  <c r="AG33"/>
  <c r="AH33"/>
  <c r="AI33"/>
  <c r="AJ33"/>
  <c r="AK33"/>
  <c r="AL33"/>
  <c r="AA34"/>
  <c r="AB34"/>
  <c r="AC34"/>
  <c r="AD34"/>
  <c r="AE34"/>
  <c r="AF34"/>
  <c r="AG34"/>
  <c r="AH34"/>
  <c r="AI34"/>
  <c r="AJ34"/>
  <c r="AK34"/>
  <c r="AL34"/>
  <c r="AA35"/>
  <c r="AB35"/>
  <c r="AC35"/>
  <c r="AD35"/>
  <c r="AE35"/>
  <c r="AF35"/>
  <c r="AG35"/>
  <c r="AH35"/>
  <c r="AI35"/>
  <c r="AJ35"/>
  <c r="AK35"/>
  <c r="AL35"/>
  <c r="AA36"/>
  <c r="AB36"/>
  <c r="AC36"/>
  <c r="AD36"/>
  <c r="AE36"/>
  <c r="AF36"/>
  <c r="AG36"/>
  <c r="AH36"/>
  <c r="AI36"/>
  <c r="AJ36"/>
  <c r="AK36"/>
  <c r="AL36"/>
  <c r="AA37"/>
  <c r="AB37"/>
  <c r="AC37"/>
  <c r="AD37"/>
  <c r="AE37"/>
  <c r="AF37"/>
  <c r="AG37"/>
  <c r="AH37"/>
  <c r="AI37"/>
  <c r="AJ37"/>
  <c r="AK37"/>
  <c r="AL37"/>
  <c r="AA38"/>
  <c r="AB38"/>
  <c r="AC38"/>
  <c r="AD38"/>
  <c r="AE38"/>
  <c r="AF38"/>
  <c r="AG38"/>
  <c r="AH38"/>
  <c r="AI38"/>
  <c r="AJ38"/>
  <c r="AK38"/>
  <c r="AL38"/>
  <c r="AA39"/>
  <c r="AB39"/>
  <c r="AC39"/>
  <c r="AD39"/>
  <c r="AE39"/>
  <c r="AF39"/>
  <c r="AG39"/>
  <c r="AH39"/>
  <c r="AI39"/>
  <c r="AJ39"/>
  <c r="AK39"/>
  <c r="AL39"/>
  <c r="AA40"/>
  <c r="AB40"/>
  <c r="AC40"/>
  <c r="AD40"/>
  <c r="AE40"/>
  <c r="AF40"/>
  <c r="AG40"/>
  <c r="AH40"/>
  <c r="AI40"/>
  <c r="AJ40"/>
  <c r="AK40"/>
  <c r="AL40"/>
  <c r="AA41"/>
  <c r="AB41"/>
  <c r="AC41"/>
  <c r="AD41"/>
  <c r="AE41"/>
  <c r="AF41"/>
  <c r="AG41"/>
  <c r="AH41"/>
  <c r="AI41"/>
  <c r="AJ41"/>
  <c r="AK41"/>
  <c r="AL41"/>
  <c r="AA42"/>
  <c r="AB42"/>
  <c r="AC42"/>
  <c r="AD42"/>
  <c r="AE42"/>
  <c r="AF42"/>
  <c r="AG42"/>
  <c r="AH42"/>
  <c r="AI42"/>
  <c r="AJ42"/>
  <c r="AK42"/>
  <c r="AL42"/>
  <c r="AA43"/>
  <c r="AB43"/>
  <c r="AC43"/>
  <c r="AD43"/>
  <c r="AE43"/>
  <c r="AF43"/>
  <c r="AG43"/>
  <c r="AH43"/>
  <c r="AI43"/>
  <c r="AJ43"/>
  <c r="AK43"/>
  <c r="AL43"/>
  <c r="AA44"/>
  <c r="AB44"/>
  <c r="AC44"/>
  <c r="AD44"/>
  <c r="AE44"/>
  <c r="AF44"/>
  <c r="AG44"/>
  <c r="AH44"/>
  <c r="AI44"/>
  <c r="AJ44"/>
  <c r="AK44"/>
  <c r="AL44"/>
  <c r="AA45"/>
  <c r="AB45"/>
  <c r="AC45"/>
  <c r="AD45"/>
  <c r="AE45"/>
  <c r="AF45"/>
  <c r="AG45"/>
  <c r="AH45"/>
  <c r="AI45"/>
  <c r="AJ45"/>
  <c r="AK45"/>
  <c r="AL45"/>
  <c r="AA46"/>
  <c r="AB46"/>
  <c r="AC46"/>
  <c r="AD46"/>
  <c r="AE46"/>
  <c r="AF46"/>
  <c r="AG46"/>
  <c r="AH46"/>
  <c r="AI46"/>
  <c r="AJ46"/>
  <c r="AK46"/>
  <c r="AL46"/>
  <c r="AA47"/>
  <c r="AB47"/>
  <c r="AC47"/>
  <c r="AD47"/>
  <c r="AE47"/>
  <c r="AF47"/>
  <c r="AG47"/>
  <c r="AH47"/>
  <c r="AI47"/>
  <c r="AJ47"/>
  <c r="AK47"/>
  <c r="AL47"/>
  <c r="AA48"/>
  <c r="AB48"/>
  <c r="AC48"/>
  <c r="AD48"/>
  <c r="AE48"/>
  <c r="AF48"/>
  <c r="AG48"/>
  <c r="AH48"/>
  <c r="AI48"/>
  <c r="AJ48"/>
  <c r="AK48"/>
  <c r="AL48"/>
  <c r="AA49"/>
  <c r="AB49"/>
  <c r="AC49"/>
  <c r="AD49"/>
  <c r="AE49"/>
  <c r="AF49"/>
  <c r="AG49"/>
  <c r="AH49"/>
  <c r="AI49"/>
  <c r="AJ49"/>
  <c r="AK49"/>
  <c r="AL49"/>
  <c r="AA50"/>
  <c r="AB50"/>
  <c r="AC50"/>
  <c r="AD50"/>
  <c r="AE50"/>
  <c r="AF50"/>
  <c r="AG50"/>
  <c r="AH50"/>
  <c r="AI50"/>
  <c r="AJ50"/>
  <c r="AK50"/>
  <c r="AL50"/>
  <c r="AA51"/>
  <c r="AB51"/>
  <c r="AC51"/>
  <c r="AD51"/>
  <c r="AE51"/>
  <c r="AF51"/>
  <c r="AG51"/>
  <c r="AH51"/>
  <c r="AI51"/>
  <c r="AJ51"/>
  <c r="AK51"/>
  <c r="AL51"/>
  <c r="AA52"/>
  <c r="AB52"/>
  <c r="AC52"/>
  <c r="AD52"/>
  <c r="AE52"/>
  <c r="AF52"/>
  <c r="AG52"/>
  <c r="AH52"/>
  <c r="AI52"/>
  <c r="AJ52"/>
  <c r="AK52"/>
  <c r="AL52"/>
  <c r="AA53"/>
  <c r="AB53"/>
  <c r="AC53"/>
  <c r="AD53"/>
  <c r="AE53"/>
  <c r="AF53"/>
  <c r="AG53"/>
  <c r="AH53"/>
  <c r="AI53"/>
  <c r="AJ53"/>
  <c r="AK53"/>
  <c r="AL53"/>
  <c r="AA54"/>
  <c r="AB54"/>
  <c r="AC54"/>
  <c r="AD54"/>
  <c r="AE54"/>
  <c r="AF54"/>
  <c r="AG54"/>
  <c r="AH54"/>
  <c r="AI54"/>
  <c r="AJ54"/>
  <c r="AK54"/>
  <c r="AL54"/>
  <c r="AA55"/>
  <c r="AB55"/>
  <c r="AC55"/>
  <c r="AD55"/>
  <c r="AE55"/>
  <c r="AF55"/>
  <c r="AG55"/>
  <c r="AH55"/>
  <c r="AI55"/>
  <c r="AJ55"/>
  <c r="AK55"/>
  <c r="AL55"/>
  <c r="AA56"/>
  <c r="AB56"/>
  <c r="AC56"/>
  <c r="AD56"/>
  <c r="AE56"/>
  <c r="AF56"/>
  <c r="AG56"/>
  <c r="AH56"/>
  <c r="AI56"/>
  <c r="AJ56"/>
  <c r="AK56"/>
  <c r="AL56"/>
  <c r="AA57"/>
  <c r="AB57"/>
  <c r="AC57"/>
  <c r="AD57"/>
  <c r="AE57"/>
  <c r="AF57"/>
  <c r="AG57"/>
  <c r="AH57"/>
  <c r="AI57"/>
  <c r="AJ57"/>
  <c r="AK57"/>
  <c r="AL57"/>
  <c r="AA58"/>
  <c r="AB58"/>
  <c r="AC58"/>
  <c r="AD58"/>
  <c r="AE58"/>
  <c r="AF58"/>
  <c r="AG58"/>
  <c r="AH58"/>
  <c r="AI58"/>
  <c r="AJ58"/>
  <c r="AK58"/>
  <c r="AL58"/>
  <c r="AA59"/>
  <c r="AB59"/>
  <c r="AC59"/>
  <c r="AD59"/>
  <c r="AE59"/>
  <c r="AF59"/>
  <c r="AG59"/>
  <c r="AH59"/>
  <c r="AI59"/>
  <c r="AJ59"/>
  <c r="AK59"/>
  <c r="AL59"/>
  <c r="AA60"/>
  <c r="AB60"/>
  <c r="AC60"/>
  <c r="AD60"/>
  <c r="AE60"/>
  <c r="AF60"/>
  <c r="AG60"/>
  <c r="AH60"/>
  <c r="AI60"/>
  <c r="AJ60"/>
  <c r="AK60"/>
  <c r="AL60"/>
  <c r="AB10"/>
  <c r="AC10"/>
  <c r="AD10"/>
  <c r="AE10"/>
  <c r="AF10"/>
  <c r="AG10"/>
  <c r="AH10"/>
  <c r="AI10"/>
  <c r="AJ10"/>
  <c r="AK10"/>
  <c r="AL10"/>
  <c r="AA10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2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<sst xmlns="http://schemas.openxmlformats.org/spreadsheetml/2006/main" count="307" uniqueCount="67">
  <si>
    <t>Внеоборотные активы</t>
  </si>
  <si>
    <t>в том числе:</t>
  </si>
  <si>
    <t>нематериальные активы</t>
  </si>
  <si>
    <t>основные средства</t>
  </si>
  <si>
    <t>Продолжение</t>
  </si>
  <si>
    <t>долгосрочные финансовые вложения</t>
  </si>
  <si>
    <t>отложенные налоговые активы</t>
  </si>
  <si>
    <t>Наименование</t>
  </si>
  <si>
    <t>прочие внеоборотные активы</t>
  </si>
  <si>
    <t>Б</t>
  </si>
  <si>
    <t>на конец предыдущего года</t>
  </si>
  <si>
    <t>на конец отчетного года</t>
  </si>
  <si>
    <t>Внеоборотные активы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</si>
  <si>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</si>
  <si>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</si>
  <si>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</si>
  <si>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-</t>
  </si>
  <si>
    <t>СЕЛЬСКОЕ, ЛЕСНОЕ ХОЗЯЙСТВО, ОХОТА, РЫБОЛОВСТВО И РЫБОВОДСТВО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</si>
  <si>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</si>
  <si>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</si>
  <si>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ДОБЫЧА ПОЛЕЗНЫХ ИСКОПАЕМЫХ</t>
  </si>
  <si>
    <t>Добыча металлических руд</t>
  </si>
  <si>
    <t>ОБРАБАТЫВАЮЩИЕ ПРОИЗВОДСТВА</t>
  </si>
  <si>
    <t>Производство пищевых продуктов</t>
  </si>
  <si>
    <t>Производство напитков</t>
  </si>
  <si>
    <t>Производство прочих готовых изделий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</si>
  <si>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</si>
  <si>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</si>
  <si>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</si>
  <si>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</si>
  <si>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Забор, очистка и распределение воды</t>
  </si>
  <si>
    <t>Сбор, обработка и утилизация отходов; обработка вторичного сырья</t>
  </si>
  <si>
    <t>СТРОИТЕЛЬСТВО</t>
  </si>
  <si>
    <t>Строительство зданий</t>
  </si>
  <si>
    <t>Строительство инженерных сооружений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</si>
  <si>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</si>
  <si>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</si>
  <si>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</si>
  <si>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</si>
  <si>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ТРАНСПОРТИРОВКА И ХРАНЕНИЕ</t>
  </si>
  <si>
    <t>Деятельность сухопутного и трубопроводного транспорта</t>
  </si>
  <si>
    <t>Деятельность водного транспорта</t>
  </si>
  <si>
    <t>Деятельность воздушного и космического транспорта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</si>
  <si>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</si>
  <si>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</si>
  <si>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Деятельность по предоставлению мест для временного проживания</t>
  </si>
  <si>
    <t>Деятельность по предоставлению продуктов питания и напитков</t>
  </si>
  <si>
    <t>ДЕЯТЕЛЬНОСТЬ ФИНАНСОВАЯ И СТРАХОВАЯ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</si>
  <si>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</si>
  <si>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</si>
  <si>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Операции с недвижимым имуществом</t>
  </si>
  <si>
    <t>ДЕЯТЕЛЬНОСТЬ ПРОФЕССИОНАЛЬНАЯ, НАУЧНАЯ И ТЕХНИЧЕСКАЯ</t>
  </si>
  <si>
    <t>Деятельность головных офисов; консультирование по вопросам управления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</si>
  <si>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</si>
  <si>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</si>
  <si>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</si>
  <si>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Аренда и лизинг</t>
  </si>
  <si>
    <t>Деятельность туристических агентств и прочих организаций, предоставляющих услуги в сфере туризма</t>
  </si>
  <si>
    <t>Деятельность по обслуживанию зданий и территорий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</si>
  <si>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</si>
  <si>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</si>
  <si>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</si>
  <si>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ДЕЯТЕЛЬНОСТЬ В ОБЛАСТИ ЗДРАВООХРАНЕНИЯ И СОЦИАЛЬНЫХ УСЛУГ</t>
  </si>
  <si>
    <t>Предоставление социальных услуг без обеспечения проживания</t>
  </si>
  <si>
    <t>ПРЕДОСТАВЛЕНИЕ ПРОЧИХ ВИДОВ УСЛУГ</t>
  </si>
  <si>
    <t>Деятельность общественных и прочих некоммерческих организаций</t>
  </si>
  <si>
    <t>Деятельность по предоставлению прочих персональных услуг</t>
  </si>
</sst>
</file>

<file path=xl/styles.xml><?xml version="1.0" encoding="utf-8"?>
<styleSheet xmlns="http://schemas.openxmlformats.org/spreadsheetml/2006/main">
  <fonts count="11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Arial Cyr"/>
      <charset val="204"/>
    </font>
    <font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 Cyr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 applyAlignment="1">
      <alignment horizontal="right"/>
    </xf>
    <xf numFmtId="0" fontId="3" fillId="0" borderId="0" xfId="0" applyFont="1"/>
    <xf numFmtId="1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0" fontId="8" fillId="0" borderId="0" xfId="0" applyFont="1"/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" fontId="5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7" xfId="0" applyFont="1" applyBorder="1" applyAlignment="1">
      <alignment horizontal="right"/>
    </xf>
    <xf numFmtId="1" fontId="7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61"/>
  <sheetViews>
    <sheetView tabSelected="1" topLeftCell="A29" zoomScaleNormal="100" workbookViewId="0">
      <pane xSplit="1" topLeftCell="W1" activePane="topRight" state="frozen"/>
      <selection pane="topRight" activeCell="AA10" sqref="AA10:AL60"/>
    </sheetView>
  </sheetViews>
  <sheetFormatPr defaultRowHeight="12.75"/>
  <cols>
    <col min="1" max="1" width="28.28515625" style="8" customWidth="1"/>
    <col min="2" max="3" width="12.7109375" style="3" customWidth="1"/>
    <col min="4" max="5" width="11.85546875" style="3" customWidth="1"/>
    <col min="6" max="7" width="12.7109375" style="3" customWidth="1"/>
    <col min="8" max="9" width="11.85546875" style="4" customWidth="1"/>
    <col min="10" max="10" width="14.28515625" style="4" customWidth="1"/>
    <col min="11" max="11" width="14.7109375" style="4" customWidth="1"/>
    <col min="12" max="12" width="14.42578125" style="4" customWidth="1"/>
    <col min="13" max="13" width="15.7109375" style="4" customWidth="1"/>
  </cols>
  <sheetData>
    <row r="1" spans="1:38" s="1" customFormat="1" ht="18" customHeight="1">
      <c r="A1" s="8"/>
      <c r="B1" s="27" t="s">
        <v>12</v>
      </c>
      <c r="C1" s="21"/>
      <c r="D1" s="21"/>
      <c r="E1" s="21"/>
      <c r="F1" s="22"/>
      <c r="G1" s="22"/>
      <c r="H1" s="22"/>
      <c r="I1" s="22"/>
      <c r="J1" s="21" t="s">
        <v>12</v>
      </c>
      <c r="K1" s="22"/>
      <c r="L1" s="22"/>
      <c r="M1" s="22"/>
    </row>
    <row r="2" spans="1:38" s="1" customFormat="1" ht="17.45" customHeight="1">
      <c r="A2" s="8"/>
      <c r="B2" s="19" t="s">
        <v>14</v>
      </c>
      <c r="C2" s="20"/>
      <c r="D2" s="20"/>
      <c r="E2" s="20"/>
      <c r="F2" s="22"/>
      <c r="G2" s="22"/>
      <c r="H2" s="22"/>
      <c r="I2" s="22"/>
      <c r="J2" s="19" t="s">
        <v>14</v>
      </c>
      <c r="K2" s="22"/>
      <c r="L2" s="22"/>
      <c r="M2" s="22"/>
    </row>
    <row r="3" spans="1:38" s="1" customFormat="1" ht="18" customHeight="1">
      <c r="A3" s="8"/>
      <c r="B3" s="19" t="s">
        <v>13</v>
      </c>
      <c r="C3" s="20"/>
      <c r="D3" s="20"/>
      <c r="E3" s="20"/>
      <c r="F3" s="22"/>
      <c r="G3" s="22"/>
      <c r="H3" s="22"/>
      <c r="I3" s="22"/>
      <c r="J3" s="25" t="s">
        <v>13</v>
      </c>
      <c r="K3" s="26"/>
      <c r="L3" s="26"/>
      <c r="M3" s="26"/>
    </row>
    <row r="4" spans="1:38" s="1" customFormat="1">
      <c r="A4" s="8"/>
      <c r="B4" s="3"/>
      <c r="C4" s="3"/>
      <c r="D4" s="3"/>
      <c r="E4" s="3"/>
      <c r="F4" s="3"/>
      <c r="G4" s="3"/>
      <c r="H4" s="3"/>
      <c r="I4" s="3" t="s">
        <v>4</v>
      </c>
      <c r="J4" s="3"/>
      <c r="K4" s="3"/>
      <c r="L4" s="4"/>
      <c r="M4" s="3" t="s">
        <v>4</v>
      </c>
    </row>
    <row r="5" spans="1:38" ht="13.15" customHeight="1">
      <c r="A5" s="16" t="s">
        <v>7</v>
      </c>
      <c r="B5" s="17" t="s">
        <v>0</v>
      </c>
      <c r="C5" s="24"/>
      <c r="D5" s="17" t="s">
        <v>1</v>
      </c>
      <c r="E5" s="18"/>
      <c r="F5" s="18"/>
      <c r="G5" s="18"/>
      <c r="H5" s="18"/>
      <c r="I5" s="18"/>
      <c r="J5" s="24" t="s">
        <v>1</v>
      </c>
      <c r="K5" s="24"/>
      <c r="L5" s="24"/>
      <c r="M5" s="24"/>
    </row>
    <row r="6" spans="1:38" ht="27.6" customHeight="1">
      <c r="A6" s="16"/>
      <c r="B6" s="24"/>
      <c r="C6" s="24"/>
      <c r="D6" s="17" t="s">
        <v>2</v>
      </c>
      <c r="E6" s="24"/>
      <c r="F6" s="17" t="s">
        <v>3</v>
      </c>
      <c r="G6" s="24"/>
      <c r="H6" s="23" t="s">
        <v>5</v>
      </c>
      <c r="I6" s="24"/>
      <c r="J6" s="23" t="s">
        <v>6</v>
      </c>
      <c r="K6" s="24"/>
      <c r="L6" s="23" t="s">
        <v>8</v>
      </c>
      <c r="M6" s="24"/>
    </row>
    <row r="7" spans="1:38" ht="42" customHeight="1">
      <c r="A7" s="16"/>
      <c r="B7" s="5" t="s">
        <v>10</v>
      </c>
      <c r="C7" s="5" t="s">
        <v>11</v>
      </c>
      <c r="D7" s="5" t="s">
        <v>10</v>
      </c>
      <c r="E7" s="5" t="s">
        <v>11</v>
      </c>
      <c r="F7" s="5" t="s">
        <v>10</v>
      </c>
      <c r="G7" s="5" t="s">
        <v>11</v>
      </c>
      <c r="H7" s="5" t="s">
        <v>10</v>
      </c>
      <c r="I7" s="5" t="s">
        <v>11</v>
      </c>
      <c r="J7" s="5" t="s">
        <v>10</v>
      </c>
      <c r="K7" s="5" t="s">
        <v>11</v>
      </c>
      <c r="L7" s="5" t="s">
        <v>10</v>
      </c>
      <c r="M7" s="5" t="s">
        <v>11</v>
      </c>
    </row>
    <row r="8" spans="1:38" s="2" customFormat="1" ht="13.15" customHeight="1">
      <c r="A8" s="6" t="s">
        <v>9</v>
      </c>
      <c r="B8" s="7">
        <v>1</v>
      </c>
      <c r="C8" s="7">
        <v>2</v>
      </c>
      <c r="D8" s="7">
        <v>3</v>
      </c>
      <c r="E8" s="7">
        <v>4</v>
      </c>
      <c r="F8" s="7">
        <v>11</v>
      </c>
      <c r="G8" s="7">
        <v>12</v>
      </c>
      <c r="H8" s="7">
        <v>15</v>
      </c>
      <c r="I8" s="7">
        <v>16</v>
      </c>
      <c r="J8" s="7">
        <v>17</v>
      </c>
      <c r="K8" s="7">
        <v>18</v>
      </c>
      <c r="L8" s="7">
        <v>19</v>
      </c>
      <c r="M8" s="7">
        <v>20</v>
      </c>
    </row>
    <row r="9" spans="1:38" s="12" customFormat="1" ht="13.5" thickBot="1">
      <c r="A9" s="9"/>
      <c r="B9" s="10"/>
      <c r="C9" s="10"/>
      <c r="D9" s="10"/>
      <c r="E9" s="10"/>
      <c r="F9" s="10"/>
      <c r="G9" s="10"/>
      <c r="H9" s="11"/>
      <c r="I9" s="11"/>
      <c r="J9" s="11"/>
      <c r="K9" s="11"/>
      <c r="L9" s="11"/>
      <c r="M9" s="11"/>
    </row>
    <row r="10" spans="1:38" s="12" customFormat="1" ht="26.25">
      <c r="A10" s="9" t="s">
        <v>15</v>
      </c>
      <c r="B10" s="10">
        <v>42117373.700000003</v>
      </c>
      <c r="C10" s="10">
        <v>518590386</v>
      </c>
      <c r="D10" s="10">
        <v>41923539</v>
      </c>
      <c r="E10" s="10">
        <v>39129795</v>
      </c>
      <c r="F10" s="10">
        <v>260057136</v>
      </c>
      <c r="G10" s="10">
        <v>297867545</v>
      </c>
      <c r="H10" s="11">
        <v>78208444</v>
      </c>
      <c r="I10" s="11">
        <v>116918203</v>
      </c>
      <c r="J10" s="11">
        <v>15866551</v>
      </c>
      <c r="K10" s="11">
        <v>35733370</v>
      </c>
      <c r="L10" s="11">
        <v>16334805</v>
      </c>
      <c r="M10" s="11">
        <v>18288310</v>
      </c>
      <c r="O10" s="28">
        <v>42117374</v>
      </c>
      <c r="P10" s="29">
        <v>518590386</v>
      </c>
      <c r="Q10" s="29">
        <v>41923539</v>
      </c>
      <c r="R10" s="29">
        <v>39129795</v>
      </c>
      <c r="S10" s="29">
        <v>260057136</v>
      </c>
      <c r="T10" s="29">
        <v>297867545</v>
      </c>
      <c r="U10" s="28">
        <v>78208444</v>
      </c>
      <c r="V10" s="29">
        <v>116918203</v>
      </c>
      <c r="W10" s="29">
        <v>15866551</v>
      </c>
      <c r="X10" s="29">
        <v>35733370</v>
      </c>
      <c r="Y10" s="29">
        <v>16334805</v>
      </c>
      <c r="Z10" s="29">
        <v>18288310</v>
      </c>
      <c r="AA10" s="38">
        <f>O10-B10</f>
        <v>0.29999999701976776</v>
      </c>
      <c r="AB10" s="38">
        <f t="shared" ref="AB10:AL10" si="0">P10-C10</f>
        <v>0</v>
      </c>
      <c r="AC10" s="38">
        <f t="shared" si="0"/>
        <v>0</v>
      </c>
      <c r="AD10" s="38">
        <f t="shared" si="0"/>
        <v>0</v>
      </c>
      <c r="AE10" s="38">
        <f t="shared" si="0"/>
        <v>0</v>
      </c>
      <c r="AF10" s="38">
        <f t="shared" si="0"/>
        <v>0</v>
      </c>
      <c r="AG10" s="38">
        <f t="shared" si="0"/>
        <v>0</v>
      </c>
      <c r="AH10" s="38">
        <f t="shared" si="0"/>
        <v>0</v>
      </c>
      <c r="AI10" s="38">
        <f t="shared" si="0"/>
        <v>0</v>
      </c>
      <c r="AJ10" s="38">
        <f t="shared" si="0"/>
        <v>0</v>
      </c>
      <c r="AK10" s="38">
        <f t="shared" si="0"/>
        <v>0</v>
      </c>
      <c r="AL10" s="38">
        <f t="shared" si="0"/>
        <v>0</v>
      </c>
    </row>
    <row r="11" spans="1:38" s="12" customFormat="1" ht="51.75">
      <c r="A11" s="9" t="s">
        <v>17</v>
      </c>
      <c r="B11" s="10">
        <v>197005764</v>
      </c>
      <c r="C11" s="10">
        <v>182190999</v>
      </c>
      <c r="D11" s="10">
        <v>26857580</v>
      </c>
      <c r="E11" s="10">
        <v>24327537</v>
      </c>
      <c r="F11" s="10">
        <v>117498144</v>
      </c>
      <c r="G11" s="10">
        <v>113384958</v>
      </c>
      <c r="H11" s="11">
        <v>45652782</v>
      </c>
      <c r="I11" s="11">
        <v>37728199</v>
      </c>
      <c r="J11" s="11">
        <v>2820644</v>
      </c>
      <c r="K11" s="11">
        <v>4057161</v>
      </c>
      <c r="L11" s="11">
        <v>4116805</v>
      </c>
      <c r="M11" s="11">
        <v>2629325</v>
      </c>
      <c r="O11" s="30">
        <v>197005764</v>
      </c>
      <c r="P11" s="31">
        <v>182190999</v>
      </c>
      <c r="Q11" s="31">
        <v>26857580</v>
      </c>
      <c r="R11" s="31">
        <v>24327537</v>
      </c>
      <c r="S11" s="31">
        <v>117498144</v>
      </c>
      <c r="T11" s="31">
        <v>113384958</v>
      </c>
      <c r="U11" s="30">
        <v>45652782</v>
      </c>
      <c r="V11" s="31">
        <v>37728199</v>
      </c>
      <c r="W11" s="31">
        <v>2820644</v>
      </c>
      <c r="X11" s="31">
        <v>4057161</v>
      </c>
      <c r="Y11" s="31">
        <v>4116805</v>
      </c>
      <c r="Z11" s="31">
        <v>2629325</v>
      </c>
      <c r="AA11" s="38">
        <f t="shared" ref="AA11:AA60" si="1">O11-B11</f>
        <v>0</v>
      </c>
      <c r="AB11" s="38">
        <f t="shared" ref="AB11:AB60" si="2">P11-C11</f>
        <v>0</v>
      </c>
      <c r="AC11" s="38">
        <f t="shared" ref="AC11:AC60" si="3">Q11-D11</f>
        <v>0</v>
      </c>
      <c r="AD11" s="38">
        <f t="shared" ref="AD11:AD60" si="4">R11-E11</f>
        <v>0</v>
      </c>
      <c r="AE11" s="38">
        <f t="shared" ref="AE11:AE60" si="5">S11-F11</f>
        <v>0</v>
      </c>
      <c r="AF11" s="38">
        <f t="shared" ref="AF11:AF60" si="6">T11-G11</f>
        <v>0</v>
      </c>
      <c r="AG11" s="38">
        <f t="shared" ref="AG11:AG60" si="7">U11-H11</f>
        <v>0</v>
      </c>
      <c r="AH11" s="38">
        <f t="shared" ref="AH11:AH60" si="8">V11-I11</f>
        <v>0</v>
      </c>
      <c r="AI11" s="38">
        <f t="shared" ref="AI11:AI60" si="9">W11-J11</f>
        <v>0</v>
      </c>
      <c r="AJ11" s="38">
        <f t="shared" ref="AJ11:AJ60" si="10">X11-K11</f>
        <v>0</v>
      </c>
      <c r="AK11" s="38">
        <f t="shared" ref="AK11:AK60" si="11">Y11-L11</f>
        <v>0</v>
      </c>
      <c r="AL11" s="38">
        <f t="shared" ref="AL11:AL60" si="12">Z11-M11</f>
        <v>0</v>
      </c>
    </row>
    <row r="12" spans="1:38" ht="64.5">
      <c r="A12" s="8" t="s">
        <v>18</v>
      </c>
      <c r="B12" s="3">
        <v>4669633</v>
      </c>
      <c r="C12" s="3">
        <v>5544284</v>
      </c>
      <c r="D12" s="3">
        <v>1052</v>
      </c>
      <c r="E12" s="3">
        <v>2874</v>
      </c>
      <c r="F12" s="3">
        <v>4583855</v>
      </c>
      <c r="G12" s="3">
        <v>5455496</v>
      </c>
      <c r="H12" s="4">
        <v>57700</v>
      </c>
      <c r="I12" s="4">
        <v>57700</v>
      </c>
      <c r="J12" s="4">
        <v>13724</v>
      </c>
      <c r="K12" s="4">
        <v>15044</v>
      </c>
      <c r="L12" s="4">
        <v>13302</v>
      </c>
      <c r="M12" s="4">
        <v>13170</v>
      </c>
      <c r="O12" s="32">
        <v>4669633</v>
      </c>
      <c r="P12" s="33">
        <v>5544284</v>
      </c>
      <c r="Q12" s="33">
        <v>1052</v>
      </c>
      <c r="R12" s="33">
        <v>2874</v>
      </c>
      <c r="S12" s="33">
        <v>4583855</v>
      </c>
      <c r="T12" s="33">
        <v>5455496</v>
      </c>
      <c r="U12" s="32">
        <v>57700</v>
      </c>
      <c r="V12" s="33">
        <v>57700</v>
      </c>
      <c r="W12" s="33">
        <v>13724</v>
      </c>
      <c r="X12" s="33">
        <v>15044</v>
      </c>
      <c r="Y12" s="33">
        <v>13302</v>
      </c>
      <c r="Z12" s="33">
        <v>13170</v>
      </c>
      <c r="AA12" s="38">
        <f t="shared" si="1"/>
        <v>0</v>
      </c>
      <c r="AB12" s="38">
        <f t="shared" si="2"/>
        <v>0</v>
      </c>
      <c r="AC12" s="38">
        <f t="shared" si="3"/>
        <v>0</v>
      </c>
      <c r="AD12" s="38">
        <f t="shared" si="4"/>
        <v>0</v>
      </c>
      <c r="AE12" s="38">
        <f t="shared" si="5"/>
        <v>0</v>
      </c>
      <c r="AF12" s="38">
        <f t="shared" si="6"/>
        <v>0</v>
      </c>
      <c r="AG12" s="38">
        <f t="shared" si="7"/>
        <v>0</v>
      </c>
      <c r="AH12" s="38">
        <f t="shared" si="8"/>
        <v>0</v>
      </c>
      <c r="AI12" s="38">
        <f t="shared" si="9"/>
        <v>0</v>
      </c>
      <c r="AJ12" s="38">
        <f t="shared" si="10"/>
        <v>0</v>
      </c>
      <c r="AK12" s="38">
        <f t="shared" si="11"/>
        <v>0</v>
      </c>
      <c r="AL12" s="38">
        <f t="shared" si="12"/>
        <v>0</v>
      </c>
    </row>
    <row r="13" spans="1:38" ht="15.75">
      <c r="A13" s="8" t="s">
        <v>19</v>
      </c>
      <c r="B13" s="3">
        <v>192336131</v>
      </c>
      <c r="C13" s="3">
        <v>176646715</v>
      </c>
      <c r="D13" s="3">
        <v>26856528</v>
      </c>
      <c r="E13" s="3">
        <v>24324663</v>
      </c>
      <c r="F13" s="3">
        <v>112914289</v>
      </c>
      <c r="G13" s="3">
        <v>107929462</v>
      </c>
      <c r="H13" s="4">
        <v>45595082</v>
      </c>
      <c r="I13" s="4">
        <v>37670499</v>
      </c>
      <c r="J13" s="4">
        <v>2806920</v>
      </c>
      <c r="K13" s="4">
        <v>4042117</v>
      </c>
      <c r="L13" s="4">
        <v>4103503</v>
      </c>
      <c r="M13" s="4">
        <v>2616155</v>
      </c>
      <c r="O13" s="32">
        <v>192336131</v>
      </c>
      <c r="P13" s="33">
        <v>176646715</v>
      </c>
      <c r="Q13" s="33">
        <v>26856528</v>
      </c>
      <c r="R13" s="33">
        <v>24324663</v>
      </c>
      <c r="S13" s="33">
        <v>112914289</v>
      </c>
      <c r="T13" s="33">
        <v>107929462</v>
      </c>
      <c r="U13" s="32">
        <v>45595082</v>
      </c>
      <c r="V13" s="33">
        <v>37670499</v>
      </c>
      <c r="W13" s="33">
        <v>2806920</v>
      </c>
      <c r="X13" s="33">
        <v>4042117</v>
      </c>
      <c r="Y13" s="33">
        <v>4103503</v>
      </c>
      <c r="Z13" s="33">
        <v>2616155</v>
      </c>
      <c r="AA13" s="38">
        <f t="shared" si="1"/>
        <v>0</v>
      </c>
      <c r="AB13" s="38">
        <f t="shared" si="2"/>
        <v>0</v>
      </c>
      <c r="AC13" s="38">
        <f t="shared" si="3"/>
        <v>0</v>
      </c>
      <c r="AD13" s="38">
        <f t="shared" si="4"/>
        <v>0</v>
      </c>
      <c r="AE13" s="38">
        <f t="shared" si="5"/>
        <v>0</v>
      </c>
      <c r="AF13" s="38">
        <f t="shared" si="6"/>
        <v>0</v>
      </c>
      <c r="AG13" s="38">
        <f t="shared" si="7"/>
        <v>0</v>
      </c>
      <c r="AH13" s="38">
        <f t="shared" si="8"/>
        <v>0</v>
      </c>
      <c r="AI13" s="38">
        <f t="shared" si="9"/>
        <v>0</v>
      </c>
      <c r="AJ13" s="38">
        <f t="shared" si="10"/>
        <v>0</v>
      </c>
      <c r="AK13" s="38">
        <f t="shared" si="11"/>
        <v>0</v>
      </c>
      <c r="AL13" s="38">
        <f t="shared" si="12"/>
        <v>0</v>
      </c>
    </row>
    <row r="14" spans="1:38" s="12" customFormat="1" ht="26.25">
      <c r="A14" s="9" t="s">
        <v>20</v>
      </c>
      <c r="B14" s="10">
        <v>75447894</v>
      </c>
      <c r="C14" s="10">
        <v>90849558</v>
      </c>
      <c r="D14" s="10">
        <v>11678070</v>
      </c>
      <c r="E14" s="10">
        <v>11183756</v>
      </c>
      <c r="F14" s="10">
        <v>29813174</v>
      </c>
      <c r="G14" s="10">
        <v>30574734</v>
      </c>
      <c r="H14" s="11">
        <v>20329607</v>
      </c>
      <c r="I14" s="11">
        <v>28192384</v>
      </c>
      <c r="J14" s="11">
        <v>7197939</v>
      </c>
      <c r="K14" s="11">
        <v>12982101</v>
      </c>
      <c r="L14" s="11">
        <v>3386415</v>
      </c>
      <c r="M14" s="11">
        <v>3641553</v>
      </c>
      <c r="O14" s="30">
        <v>75447894</v>
      </c>
      <c r="P14" s="31">
        <v>90849558</v>
      </c>
      <c r="Q14" s="31">
        <v>11678070</v>
      </c>
      <c r="R14" s="31">
        <v>11183756</v>
      </c>
      <c r="S14" s="31">
        <v>29813174</v>
      </c>
      <c r="T14" s="31">
        <v>30574734</v>
      </c>
      <c r="U14" s="30">
        <v>20329607</v>
      </c>
      <c r="V14" s="31">
        <v>28192384</v>
      </c>
      <c r="W14" s="31">
        <v>7197939</v>
      </c>
      <c r="X14" s="31">
        <v>12982101</v>
      </c>
      <c r="Y14" s="31">
        <v>3386415</v>
      </c>
      <c r="Z14" s="31">
        <v>3641553</v>
      </c>
      <c r="AA14" s="38">
        <f t="shared" si="1"/>
        <v>0</v>
      </c>
      <c r="AB14" s="38">
        <f t="shared" si="2"/>
        <v>0</v>
      </c>
      <c r="AC14" s="38">
        <f t="shared" si="3"/>
        <v>0</v>
      </c>
      <c r="AD14" s="38">
        <f t="shared" si="4"/>
        <v>0</v>
      </c>
      <c r="AE14" s="38">
        <f t="shared" si="5"/>
        <v>0</v>
      </c>
      <c r="AF14" s="38">
        <f t="shared" si="6"/>
        <v>0</v>
      </c>
      <c r="AG14" s="38">
        <f t="shared" si="7"/>
        <v>0</v>
      </c>
      <c r="AH14" s="38">
        <f t="shared" si="8"/>
        <v>0</v>
      </c>
      <c r="AI14" s="38">
        <f t="shared" si="9"/>
        <v>0</v>
      </c>
      <c r="AJ14" s="38">
        <f t="shared" si="10"/>
        <v>0</v>
      </c>
      <c r="AK14" s="38">
        <f t="shared" si="11"/>
        <v>0</v>
      </c>
      <c r="AL14" s="38">
        <f t="shared" si="12"/>
        <v>0</v>
      </c>
    </row>
    <row r="15" spans="1:38" ht="15.75">
      <c r="A15" s="8" t="s">
        <v>21</v>
      </c>
      <c r="B15" s="3">
        <v>75447894</v>
      </c>
      <c r="C15" s="3">
        <v>90849558</v>
      </c>
      <c r="D15" s="3">
        <v>11678070</v>
      </c>
      <c r="E15" s="3">
        <v>11183756</v>
      </c>
      <c r="F15" s="3">
        <v>29813174</v>
      </c>
      <c r="G15" s="3">
        <v>30574734</v>
      </c>
      <c r="H15" s="4">
        <v>20329607</v>
      </c>
      <c r="I15" s="4">
        <v>28192384</v>
      </c>
      <c r="J15" s="4">
        <v>7197939</v>
      </c>
      <c r="K15" s="4">
        <v>12982101</v>
      </c>
      <c r="L15" s="4">
        <v>3386415</v>
      </c>
      <c r="M15" s="4">
        <v>3641553</v>
      </c>
      <c r="O15" s="32">
        <v>75447894</v>
      </c>
      <c r="P15" s="33">
        <v>90849558</v>
      </c>
      <c r="Q15" s="33">
        <v>11678070</v>
      </c>
      <c r="R15" s="33">
        <v>11183756</v>
      </c>
      <c r="S15" s="33">
        <v>29813174</v>
      </c>
      <c r="T15" s="33">
        <v>30574734</v>
      </c>
      <c r="U15" s="32">
        <v>20329607</v>
      </c>
      <c r="V15" s="33">
        <v>28192384</v>
      </c>
      <c r="W15" s="33">
        <v>7197939</v>
      </c>
      <c r="X15" s="33">
        <v>12982101</v>
      </c>
      <c r="Y15" s="33">
        <v>3386415</v>
      </c>
      <c r="Z15" s="33">
        <v>3641553</v>
      </c>
      <c r="AA15" s="38">
        <f t="shared" si="1"/>
        <v>0</v>
      </c>
      <c r="AB15" s="38">
        <f t="shared" si="2"/>
        <v>0</v>
      </c>
      <c r="AC15" s="38">
        <f t="shared" si="3"/>
        <v>0</v>
      </c>
      <c r="AD15" s="38">
        <f t="shared" si="4"/>
        <v>0</v>
      </c>
      <c r="AE15" s="38">
        <f t="shared" si="5"/>
        <v>0</v>
      </c>
      <c r="AF15" s="38">
        <f t="shared" si="6"/>
        <v>0</v>
      </c>
      <c r="AG15" s="38">
        <f t="shared" si="7"/>
        <v>0</v>
      </c>
      <c r="AH15" s="38">
        <f t="shared" si="8"/>
        <v>0</v>
      </c>
      <c r="AI15" s="38">
        <f t="shared" si="9"/>
        <v>0</v>
      </c>
      <c r="AJ15" s="38">
        <f t="shared" si="10"/>
        <v>0</v>
      </c>
      <c r="AK15" s="38">
        <f t="shared" si="11"/>
        <v>0</v>
      </c>
      <c r="AL15" s="38">
        <f t="shared" si="12"/>
        <v>0</v>
      </c>
    </row>
    <row r="16" spans="1:38" s="12" customFormat="1" ht="26.25">
      <c r="A16" s="9" t="s">
        <v>22</v>
      </c>
      <c r="B16" s="10">
        <v>22134250</v>
      </c>
      <c r="C16" s="10">
        <v>21498478</v>
      </c>
      <c r="D16" s="10">
        <v>477964</v>
      </c>
      <c r="E16" s="10">
        <v>466337</v>
      </c>
      <c r="F16" s="10">
        <v>16486399</v>
      </c>
      <c r="G16" s="10">
        <v>16078654</v>
      </c>
      <c r="H16" s="11">
        <v>2202934</v>
      </c>
      <c r="I16" s="11">
        <v>2003997</v>
      </c>
      <c r="J16" s="11">
        <v>206465</v>
      </c>
      <c r="K16" s="11">
        <v>255167</v>
      </c>
      <c r="L16" s="11">
        <v>2171310</v>
      </c>
      <c r="M16" s="11">
        <v>2134000</v>
      </c>
      <c r="O16" s="30">
        <v>22134250</v>
      </c>
      <c r="P16" s="31">
        <v>21498478</v>
      </c>
      <c r="Q16" s="31">
        <v>477964</v>
      </c>
      <c r="R16" s="31">
        <v>466337</v>
      </c>
      <c r="S16" s="31">
        <v>16486399</v>
      </c>
      <c r="T16" s="31">
        <v>16078654</v>
      </c>
      <c r="U16" s="30">
        <v>2202934</v>
      </c>
      <c r="V16" s="31">
        <v>2003997</v>
      </c>
      <c r="W16" s="31">
        <v>206465</v>
      </c>
      <c r="X16" s="31">
        <v>255167</v>
      </c>
      <c r="Y16" s="31">
        <v>2171310</v>
      </c>
      <c r="Z16" s="31">
        <v>2134000</v>
      </c>
      <c r="AA16" s="38">
        <f t="shared" si="1"/>
        <v>0</v>
      </c>
      <c r="AB16" s="38">
        <f t="shared" si="2"/>
        <v>0</v>
      </c>
      <c r="AC16" s="38">
        <f t="shared" si="3"/>
        <v>0</v>
      </c>
      <c r="AD16" s="38">
        <f t="shared" si="4"/>
        <v>0</v>
      </c>
      <c r="AE16" s="38">
        <f t="shared" si="5"/>
        <v>0</v>
      </c>
      <c r="AF16" s="38">
        <f t="shared" si="6"/>
        <v>0</v>
      </c>
      <c r="AG16" s="38">
        <f t="shared" si="7"/>
        <v>0</v>
      </c>
      <c r="AH16" s="38">
        <f t="shared" si="8"/>
        <v>0</v>
      </c>
      <c r="AI16" s="38">
        <f t="shared" si="9"/>
        <v>0</v>
      </c>
      <c r="AJ16" s="38">
        <f t="shared" si="10"/>
        <v>0</v>
      </c>
      <c r="AK16" s="38">
        <f t="shared" si="11"/>
        <v>0</v>
      </c>
      <c r="AL16" s="38">
        <f t="shared" si="12"/>
        <v>0</v>
      </c>
    </row>
    <row r="17" spans="1:38" ht="26.25">
      <c r="A17" s="8" t="s">
        <v>23</v>
      </c>
      <c r="B17" s="3">
        <v>19568426</v>
      </c>
      <c r="C17" s="3">
        <v>18865955</v>
      </c>
      <c r="D17" s="3">
        <v>471552</v>
      </c>
      <c r="E17" s="3">
        <v>455225</v>
      </c>
      <c r="F17" s="3">
        <v>14681049</v>
      </c>
      <c r="G17" s="3">
        <v>14233904</v>
      </c>
      <c r="H17" s="4">
        <v>2190960</v>
      </c>
      <c r="I17" s="4">
        <v>1993971</v>
      </c>
      <c r="J17" s="4">
        <v>88163</v>
      </c>
      <c r="K17" s="4">
        <v>120835</v>
      </c>
      <c r="L17" s="4">
        <v>1567229</v>
      </c>
      <c r="M17" s="4">
        <v>1520761</v>
      </c>
      <c r="O17" s="32">
        <v>19568426</v>
      </c>
      <c r="P17" s="33">
        <v>18865955</v>
      </c>
      <c r="Q17" s="33">
        <v>471552</v>
      </c>
      <c r="R17" s="33">
        <v>455225</v>
      </c>
      <c r="S17" s="33">
        <v>14681049</v>
      </c>
      <c r="T17" s="33">
        <v>14233904</v>
      </c>
      <c r="U17" s="32">
        <v>2190960</v>
      </c>
      <c r="V17" s="33">
        <v>1993971</v>
      </c>
      <c r="W17" s="33">
        <v>88163</v>
      </c>
      <c r="X17" s="33">
        <v>120835</v>
      </c>
      <c r="Y17" s="33">
        <v>1567229</v>
      </c>
      <c r="Z17" s="33">
        <v>1520761</v>
      </c>
      <c r="AA17" s="38">
        <f t="shared" si="1"/>
        <v>0</v>
      </c>
      <c r="AB17" s="38">
        <f t="shared" si="2"/>
        <v>0</v>
      </c>
      <c r="AC17" s="38">
        <f t="shared" si="3"/>
        <v>0</v>
      </c>
      <c r="AD17" s="38">
        <f t="shared" si="4"/>
        <v>0</v>
      </c>
      <c r="AE17" s="38">
        <f t="shared" si="5"/>
        <v>0</v>
      </c>
      <c r="AF17" s="38">
        <f t="shared" si="6"/>
        <v>0</v>
      </c>
      <c r="AG17" s="38">
        <f t="shared" si="7"/>
        <v>0</v>
      </c>
      <c r="AH17" s="38">
        <f t="shared" si="8"/>
        <v>0</v>
      </c>
      <c r="AI17" s="38">
        <f t="shared" si="9"/>
        <v>0</v>
      </c>
      <c r="AJ17" s="38">
        <f t="shared" si="10"/>
        <v>0</v>
      </c>
      <c r="AK17" s="38">
        <f t="shared" si="11"/>
        <v>0</v>
      </c>
      <c r="AL17" s="38">
        <f t="shared" si="12"/>
        <v>0</v>
      </c>
    </row>
    <row r="18" spans="1:38" ht="15.75">
      <c r="A18" s="8" t="s">
        <v>24</v>
      </c>
      <c r="B18" s="3">
        <v>941901</v>
      </c>
      <c r="C18" s="3">
        <v>929892</v>
      </c>
      <c r="D18" s="3" t="s">
        <v>16</v>
      </c>
      <c r="E18" s="3" t="s">
        <v>16</v>
      </c>
      <c r="F18" s="3">
        <v>477680</v>
      </c>
      <c r="G18" s="3">
        <v>465764</v>
      </c>
      <c r="H18" s="4">
        <v>11974</v>
      </c>
      <c r="I18" s="4">
        <v>10026</v>
      </c>
      <c r="J18" s="4">
        <v>543</v>
      </c>
      <c r="K18" s="4">
        <v>2335</v>
      </c>
      <c r="L18" s="4">
        <v>451704</v>
      </c>
      <c r="M18" s="4">
        <v>451767</v>
      </c>
      <c r="O18" s="32">
        <v>941901</v>
      </c>
      <c r="P18" s="33">
        <v>929892</v>
      </c>
      <c r="Q18" s="33" t="s">
        <v>16</v>
      </c>
      <c r="R18" s="33" t="s">
        <v>16</v>
      </c>
      <c r="S18" s="33">
        <v>477680</v>
      </c>
      <c r="T18" s="33">
        <v>465764</v>
      </c>
      <c r="U18" s="32">
        <v>11974</v>
      </c>
      <c r="V18" s="33">
        <v>10026</v>
      </c>
      <c r="W18" s="33">
        <v>543</v>
      </c>
      <c r="X18" s="33">
        <v>2335</v>
      </c>
      <c r="Y18" s="33">
        <v>451704</v>
      </c>
      <c r="Z18" s="33">
        <v>451767</v>
      </c>
      <c r="AA18" s="38">
        <f t="shared" si="1"/>
        <v>0</v>
      </c>
      <c r="AB18" s="38">
        <f t="shared" si="2"/>
        <v>0</v>
      </c>
      <c r="AC18" s="38" t="e">
        <f t="shared" si="3"/>
        <v>#VALUE!</v>
      </c>
      <c r="AD18" s="38" t="e">
        <f t="shared" si="4"/>
        <v>#VALUE!</v>
      </c>
      <c r="AE18" s="38">
        <f t="shared" si="5"/>
        <v>0</v>
      </c>
      <c r="AF18" s="38">
        <f t="shared" si="6"/>
        <v>0</v>
      </c>
      <c r="AG18" s="38">
        <f t="shared" si="7"/>
        <v>0</v>
      </c>
      <c r="AH18" s="38">
        <f t="shared" si="8"/>
        <v>0</v>
      </c>
      <c r="AI18" s="38">
        <f t="shared" si="9"/>
        <v>0</v>
      </c>
      <c r="AJ18" s="38">
        <f t="shared" si="10"/>
        <v>0</v>
      </c>
      <c r="AK18" s="38">
        <f t="shared" si="11"/>
        <v>0</v>
      </c>
      <c r="AL18" s="38">
        <f t="shared" si="12"/>
        <v>0</v>
      </c>
    </row>
    <row r="19" spans="1:38" ht="26.25">
      <c r="A19" s="8" t="s">
        <v>25</v>
      </c>
      <c r="B19" s="3">
        <v>5524</v>
      </c>
      <c r="C19" s="3">
        <v>105983</v>
      </c>
      <c r="D19" s="3" t="s">
        <v>16</v>
      </c>
      <c r="E19" s="3" t="s">
        <v>16</v>
      </c>
      <c r="F19" s="3">
        <v>5524</v>
      </c>
      <c r="G19" s="3">
        <v>105983</v>
      </c>
      <c r="H19" s="4" t="s">
        <v>16</v>
      </c>
      <c r="I19" s="4" t="s">
        <v>16</v>
      </c>
      <c r="J19" s="4" t="s">
        <v>16</v>
      </c>
      <c r="K19" s="4" t="s">
        <v>16</v>
      </c>
      <c r="L19" s="4" t="s">
        <v>16</v>
      </c>
      <c r="M19" s="4" t="s">
        <v>16</v>
      </c>
      <c r="O19" s="32">
        <v>5524</v>
      </c>
      <c r="P19" s="33">
        <v>105983</v>
      </c>
      <c r="Q19" s="33" t="s">
        <v>16</v>
      </c>
      <c r="R19" s="33" t="s">
        <v>16</v>
      </c>
      <c r="S19" s="33">
        <v>5524</v>
      </c>
      <c r="T19" s="33">
        <v>105983</v>
      </c>
      <c r="U19" s="32"/>
      <c r="V19" s="33"/>
      <c r="W19" s="33"/>
      <c r="X19" s="33"/>
      <c r="Y19" s="33"/>
      <c r="Z19" s="33"/>
      <c r="AA19" s="38">
        <f t="shared" si="1"/>
        <v>0</v>
      </c>
      <c r="AB19" s="38">
        <f t="shared" si="2"/>
        <v>0</v>
      </c>
      <c r="AC19" s="38" t="e">
        <f t="shared" si="3"/>
        <v>#VALUE!</v>
      </c>
      <c r="AD19" s="38" t="e">
        <f t="shared" si="4"/>
        <v>#VALUE!</v>
      </c>
      <c r="AE19" s="38">
        <f t="shared" si="5"/>
        <v>0</v>
      </c>
      <c r="AF19" s="38">
        <f t="shared" si="6"/>
        <v>0</v>
      </c>
      <c r="AG19" s="38" t="e">
        <f t="shared" si="7"/>
        <v>#VALUE!</v>
      </c>
      <c r="AH19" s="38" t="e">
        <f t="shared" si="8"/>
        <v>#VALUE!</v>
      </c>
      <c r="AI19" s="38" t="e">
        <f t="shared" si="9"/>
        <v>#VALUE!</v>
      </c>
      <c r="AJ19" s="38" t="e">
        <f t="shared" si="10"/>
        <v>#VALUE!</v>
      </c>
      <c r="AK19" s="38" t="e">
        <f t="shared" si="11"/>
        <v>#VALUE!</v>
      </c>
      <c r="AL19" s="38" t="e">
        <f t="shared" si="12"/>
        <v>#VALUE!</v>
      </c>
    </row>
    <row r="20" spans="1:38" ht="26.25">
      <c r="A20" s="8" t="s">
        <v>26</v>
      </c>
      <c r="B20" s="3">
        <v>1618399</v>
      </c>
      <c r="C20" s="3">
        <v>1596648</v>
      </c>
      <c r="D20" s="3">
        <v>6412</v>
      </c>
      <c r="E20" s="3">
        <v>11112</v>
      </c>
      <c r="F20" s="3">
        <v>1322146</v>
      </c>
      <c r="G20" s="3">
        <v>1273003</v>
      </c>
      <c r="H20" s="4" t="s">
        <v>16</v>
      </c>
      <c r="I20" s="4" t="s">
        <v>16</v>
      </c>
      <c r="J20" s="4">
        <v>117759</v>
      </c>
      <c r="K20" s="4">
        <v>131997</v>
      </c>
      <c r="L20" s="4">
        <v>152377</v>
      </c>
      <c r="M20" s="4">
        <v>161472</v>
      </c>
      <c r="O20" s="32">
        <v>1618399</v>
      </c>
      <c r="P20" s="33">
        <v>1596648</v>
      </c>
      <c r="Q20" s="33">
        <v>6412</v>
      </c>
      <c r="R20" s="33">
        <v>11112</v>
      </c>
      <c r="S20" s="33">
        <v>1322146</v>
      </c>
      <c r="T20" s="33">
        <v>1273003</v>
      </c>
      <c r="U20" s="32" t="s">
        <v>16</v>
      </c>
      <c r="V20" s="33" t="s">
        <v>16</v>
      </c>
      <c r="W20" s="33">
        <v>117759</v>
      </c>
      <c r="X20" s="33">
        <v>131997</v>
      </c>
      <c r="Y20" s="33">
        <v>152377</v>
      </c>
      <c r="Z20" s="33">
        <v>161472</v>
      </c>
      <c r="AA20" s="38">
        <f t="shared" si="1"/>
        <v>0</v>
      </c>
      <c r="AB20" s="38">
        <f t="shared" si="2"/>
        <v>0</v>
      </c>
      <c r="AC20" s="38">
        <f t="shared" si="3"/>
        <v>0</v>
      </c>
      <c r="AD20" s="38">
        <f t="shared" si="4"/>
        <v>0</v>
      </c>
      <c r="AE20" s="38">
        <f t="shared" si="5"/>
        <v>0</v>
      </c>
      <c r="AF20" s="38">
        <f t="shared" si="6"/>
        <v>0</v>
      </c>
      <c r="AG20" s="38" t="e">
        <f t="shared" si="7"/>
        <v>#VALUE!</v>
      </c>
      <c r="AH20" s="38" t="e">
        <f t="shared" si="8"/>
        <v>#VALUE!</v>
      </c>
      <c r="AI20" s="38">
        <f t="shared" si="9"/>
        <v>0</v>
      </c>
      <c r="AJ20" s="38">
        <f t="shared" si="10"/>
        <v>0</v>
      </c>
      <c r="AK20" s="38">
        <f t="shared" si="11"/>
        <v>0</v>
      </c>
      <c r="AL20" s="38">
        <f t="shared" si="12"/>
        <v>0</v>
      </c>
    </row>
    <row r="21" spans="1:38" s="12" customFormat="1" ht="64.5">
      <c r="A21" s="9" t="s">
        <v>27</v>
      </c>
      <c r="B21" s="10">
        <v>33782163</v>
      </c>
      <c r="C21" s="10">
        <v>93178904</v>
      </c>
      <c r="D21" s="10">
        <v>119344</v>
      </c>
      <c r="E21" s="10">
        <v>206845</v>
      </c>
      <c r="F21" s="10">
        <v>30121618</v>
      </c>
      <c r="G21" s="10">
        <v>46930700</v>
      </c>
      <c r="H21" s="11">
        <v>619487</v>
      </c>
      <c r="I21" s="11">
        <v>40734236</v>
      </c>
      <c r="J21" s="11">
        <v>1211858</v>
      </c>
      <c r="K21" s="11">
        <v>3482086</v>
      </c>
      <c r="L21" s="11">
        <v>1609351</v>
      </c>
      <c r="M21" s="11">
        <v>1731188</v>
      </c>
      <c r="O21" s="30">
        <v>33782163</v>
      </c>
      <c r="P21" s="31">
        <v>93178904</v>
      </c>
      <c r="Q21" s="31">
        <v>119344</v>
      </c>
      <c r="R21" s="31">
        <v>206845</v>
      </c>
      <c r="S21" s="31">
        <v>30121618</v>
      </c>
      <c r="T21" s="31">
        <v>46930700</v>
      </c>
      <c r="U21" s="30">
        <v>619487</v>
      </c>
      <c r="V21" s="31">
        <v>40734236</v>
      </c>
      <c r="W21" s="31">
        <v>1211858</v>
      </c>
      <c r="X21" s="31">
        <v>3482086</v>
      </c>
      <c r="Y21" s="31">
        <v>1609351</v>
      </c>
      <c r="Z21" s="31">
        <v>1731188</v>
      </c>
      <c r="AA21" s="38">
        <f t="shared" si="1"/>
        <v>0</v>
      </c>
      <c r="AB21" s="38">
        <f t="shared" si="2"/>
        <v>0</v>
      </c>
      <c r="AC21" s="38">
        <f t="shared" si="3"/>
        <v>0</v>
      </c>
      <c r="AD21" s="38">
        <f t="shared" si="4"/>
        <v>0</v>
      </c>
      <c r="AE21" s="38">
        <f t="shared" si="5"/>
        <v>0</v>
      </c>
      <c r="AF21" s="38">
        <f t="shared" si="6"/>
        <v>0</v>
      </c>
      <c r="AG21" s="38">
        <f t="shared" si="7"/>
        <v>0</v>
      </c>
      <c r="AH21" s="38">
        <f t="shared" si="8"/>
        <v>0</v>
      </c>
      <c r="AI21" s="38">
        <f t="shared" si="9"/>
        <v>0</v>
      </c>
      <c r="AJ21" s="38">
        <f t="shared" si="10"/>
        <v>0</v>
      </c>
      <c r="AK21" s="38">
        <f t="shared" si="11"/>
        <v>0</v>
      </c>
      <c r="AL21" s="38">
        <f t="shared" si="12"/>
        <v>0</v>
      </c>
    </row>
    <row r="22" spans="1:38" ht="39">
      <c r="A22" s="8" t="s">
        <v>28</v>
      </c>
      <c r="B22" s="3">
        <v>33782163</v>
      </c>
      <c r="C22" s="3">
        <v>93178904</v>
      </c>
      <c r="D22" s="3">
        <v>119344</v>
      </c>
      <c r="E22" s="3">
        <v>206845</v>
      </c>
      <c r="F22" s="3">
        <v>30121618</v>
      </c>
      <c r="G22" s="3">
        <v>46930700</v>
      </c>
      <c r="H22" s="4">
        <v>619487</v>
      </c>
      <c r="I22" s="4">
        <v>40734236</v>
      </c>
      <c r="J22" s="4">
        <v>1211858</v>
      </c>
      <c r="K22" s="4">
        <v>3482086</v>
      </c>
      <c r="L22" s="4">
        <v>1609351</v>
      </c>
      <c r="M22" s="4">
        <v>1731188</v>
      </c>
      <c r="O22" s="32">
        <v>33782163</v>
      </c>
      <c r="P22" s="33">
        <v>93178904</v>
      </c>
      <c r="Q22" s="33">
        <v>119344</v>
      </c>
      <c r="R22" s="33">
        <v>206845</v>
      </c>
      <c r="S22" s="33">
        <v>30121618</v>
      </c>
      <c r="T22" s="33">
        <v>46930700</v>
      </c>
      <c r="U22" s="32">
        <v>619487</v>
      </c>
      <c r="V22" s="33">
        <v>40734236</v>
      </c>
      <c r="W22" s="33">
        <v>1211858</v>
      </c>
      <c r="X22" s="33">
        <v>3482086</v>
      </c>
      <c r="Y22" s="33">
        <v>1609351</v>
      </c>
      <c r="Z22" s="33">
        <v>1731188</v>
      </c>
      <c r="AA22" s="38">
        <f t="shared" si="1"/>
        <v>0</v>
      </c>
      <c r="AB22" s="38">
        <f t="shared" si="2"/>
        <v>0</v>
      </c>
      <c r="AC22" s="38">
        <f t="shared" si="3"/>
        <v>0</v>
      </c>
      <c r="AD22" s="38">
        <f t="shared" si="4"/>
        <v>0</v>
      </c>
      <c r="AE22" s="38">
        <f t="shared" si="5"/>
        <v>0</v>
      </c>
      <c r="AF22" s="38">
        <f t="shared" si="6"/>
        <v>0</v>
      </c>
      <c r="AG22" s="38">
        <f t="shared" si="7"/>
        <v>0</v>
      </c>
      <c r="AH22" s="38">
        <f t="shared" si="8"/>
        <v>0</v>
      </c>
      <c r="AI22" s="38">
        <f t="shared" si="9"/>
        <v>0</v>
      </c>
      <c r="AJ22" s="38">
        <f t="shared" si="10"/>
        <v>0</v>
      </c>
      <c r="AK22" s="38">
        <f t="shared" si="11"/>
        <v>0</v>
      </c>
      <c r="AL22" s="38">
        <f t="shared" si="12"/>
        <v>0</v>
      </c>
    </row>
    <row r="23" spans="1:38" s="12" customFormat="1" ht="77.25">
      <c r="A23" s="9" t="s">
        <v>29</v>
      </c>
      <c r="B23" s="10">
        <v>8030355</v>
      </c>
      <c r="C23" s="10">
        <v>7420750</v>
      </c>
      <c r="D23" s="10">
        <v>2703</v>
      </c>
      <c r="E23" s="10">
        <v>2238</v>
      </c>
      <c r="F23" s="10">
        <v>6935037</v>
      </c>
      <c r="G23" s="10">
        <v>5474053</v>
      </c>
      <c r="H23" s="11" t="s">
        <v>16</v>
      </c>
      <c r="I23" s="11">
        <v>5</v>
      </c>
      <c r="J23" s="11">
        <v>236875</v>
      </c>
      <c r="K23" s="11">
        <v>234186</v>
      </c>
      <c r="L23" s="11">
        <v>855740</v>
      </c>
      <c r="M23" s="11">
        <v>1706371</v>
      </c>
      <c r="O23" s="30">
        <v>8030355</v>
      </c>
      <c r="P23" s="31">
        <v>7420750</v>
      </c>
      <c r="Q23" s="31">
        <v>2703</v>
      </c>
      <c r="R23" s="31">
        <v>2238</v>
      </c>
      <c r="S23" s="31">
        <v>6935037</v>
      </c>
      <c r="T23" s="31">
        <v>5474053</v>
      </c>
      <c r="U23" s="30" t="s">
        <v>16</v>
      </c>
      <c r="V23" s="31">
        <v>5</v>
      </c>
      <c r="W23" s="31">
        <v>236875</v>
      </c>
      <c r="X23" s="31">
        <v>234186</v>
      </c>
      <c r="Y23" s="31">
        <v>855740</v>
      </c>
      <c r="Z23" s="31">
        <v>1706371</v>
      </c>
      <c r="AA23" s="38">
        <f t="shared" si="1"/>
        <v>0</v>
      </c>
      <c r="AB23" s="38">
        <f t="shared" si="2"/>
        <v>0</v>
      </c>
      <c r="AC23" s="38">
        <f t="shared" si="3"/>
        <v>0</v>
      </c>
      <c r="AD23" s="38">
        <f t="shared" si="4"/>
        <v>0</v>
      </c>
      <c r="AE23" s="38">
        <f t="shared" si="5"/>
        <v>0</v>
      </c>
      <c r="AF23" s="38">
        <f t="shared" si="6"/>
        <v>0</v>
      </c>
      <c r="AG23" s="38" t="e">
        <f t="shared" si="7"/>
        <v>#VALUE!</v>
      </c>
      <c r="AH23" s="38">
        <f t="shared" si="8"/>
        <v>0</v>
      </c>
      <c r="AI23" s="38">
        <f t="shared" si="9"/>
        <v>0</v>
      </c>
      <c r="AJ23" s="38">
        <f t="shared" si="10"/>
        <v>0</v>
      </c>
      <c r="AK23" s="38">
        <f t="shared" si="11"/>
        <v>0</v>
      </c>
      <c r="AL23" s="38">
        <f t="shared" si="12"/>
        <v>0</v>
      </c>
    </row>
    <row r="24" spans="1:38" ht="26.25">
      <c r="A24" s="8" t="s">
        <v>30</v>
      </c>
      <c r="B24" s="3">
        <v>6891371</v>
      </c>
      <c r="C24" s="3">
        <v>6204470</v>
      </c>
      <c r="D24" s="3" t="s">
        <v>16</v>
      </c>
      <c r="E24" s="3" t="s">
        <v>16</v>
      </c>
      <c r="F24" s="3">
        <v>5798756</v>
      </c>
      <c r="G24" s="3">
        <v>4263913</v>
      </c>
      <c r="H24" s="4" t="s">
        <v>16</v>
      </c>
      <c r="I24" s="4" t="s">
        <v>16</v>
      </c>
      <c r="J24" s="4">
        <v>236875</v>
      </c>
      <c r="K24" s="4">
        <v>234186</v>
      </c>
      <c r="L24" s="4">
        <v>855740</v>
      </c>
      <c r="M24" s="4">
        <v>1706371</v>
      </c>
      <c r="O24" s="32">
        <v>6891371</v>
      </c>
      <c r="P24" s="33">
        <v>6204470</v>
      </c>
      <c r="Q24" s="33" t="s">
        <v>16</v>
      </c>
      <c r="R24" s="33" t="s">
        <v>16</v>
      </c>
      <c r="S24" s="33">
        <v>5798756</v>
      </c>
      <c r="T24" s="33">
        <v>4263913</v>
      </c>
      <c r="U24" s="36" t="s">
        <v>16</v>
      </c>
      <c r="V24" s="37" t="s">
        <v>16</v>
      </c>
      <c r="W24" s="37">
        <v>236875</v>
      </c>
      <c r="X24" s="37">
        <v>234186</v>
      </c>
      <c r="Y24" s="37">
        <v>855740</v>
      </c>
      <c r="Z24" s="37">
        <v>1706371</v>
      </c>
      <c r="AA24" s="38">
        <f t="shared" si="1"/>
        <v>0</v>
      </c>
      <c r="AB24" s="38">
        <f t="shared" si="2"/>
        <v>0</v>
      </c>
      <c r="AC24" s="38" t="e">
        <f t="shared" si="3"/>
        <v>#VALUE!</v>
      </c>
      <c r="AD24" s="38" t="e">
        <f t="shared" si="4"/>
        <v>#VALUE!</v>
      </c>
      <c r="AE24" s="38">
        <f t="shared" si="5"/>
        <v>0</v>
      </c>
      <c r="AF24" s="38">
        <f t="shared" si="6"/>
        <v>0</v>
      </c>
      <c r="AG24" s="38" t="e">
        <f t="shared" si="7"/>
        <v>#VALUE!</v>
      </c>
      <c r="AH24" s="38" t="e">
        <f t="shared" si="8"/>
        <v>#VALUE!</v>
      </c>
      <c r="AI24" s="38">
        <f t="shared" si="9"/>
        <v>0</v>
      </c>
      <c r="AJ24" s="38">
        <f t="shared" si="10"/>
        <v>0</v>
      </c>
      <c r="AK24" s="38">
        <f t="shared" si="11"/>
        <v>0</v>
      </c>
      <c r="AL24" s="38">
        <f t="shared" si="12"/>
        <v>0</v>
      </c>
    </row>
    <row r="25" spans="1:38" ht="39">
      <c r="A25" s="8" t="s">
        <v>31</v>
      </c>
      <c r="B25" s="3">
        <v>1138984</v>
      </c>
      <c r="C25" s="3">
        <v>1216280</v>
      </c>
      <c r="D25" s="3">
        <v>2703</v>
      </c>
      <c r="E25" s="3">
        <v>2238</v>
      </c>
      <c r="F25" s="3">
        <v>1136281</v>
      </c>
      <c r="G25" s="3">
        <v>1210140</v>
      </c>
      <c r="H25" s="4" t="s">
        <v>16</v>
      </c>
      <c r="I25" s="4">
        <v>5</v>
      </c>
      <c r="J25" s="4" t="s">
        <v>16</v>
      </c>
      <c r="K25" s="4" t="s">
        <v>16</v>
      </c>
      <c r="L25" s="4" t="s">
        <v>16</v>
      </c>
      <c r="M25" s="4" t="s">
        <v>16</v>
      </c>
      <c r="O25" s="32">
        <v>1138984</v>
      </c>
      <c r="P25" s="33">
        <v>1216280</v>
      </c>
      <c r="Q25" s="33">
        <v>2703</v>
      </c>
      <c r="R25" s="33">
        <v>2238</v>
      </c>
      <c r="S25" s="33">
        <v>1136281</v>
      </c>
      <c r="T25" s="33">
        <v>1210140</v>
      </c>
      <c r="U25" s="32" t="s">
        <v>16</v>
      </c>
      <c r="V25" s="33">
        <v>5</v>
      </c>
      <c r="W25" s="33" t="s">
        <v>16</v>
      </c>
      <c r="X25" s="33" t="s">
        <v>16</v>
      </c>
      <c r="Y25" s="33" t="s">
        <v>16</v>
      </c>
      <c r="Z25" s="33" t="s">
        <v>16</v>
      </c>
      <c r="AA25" s="38">
        <f t="shared" si="1"/>
        <v>0</v>
      </c>
      <c r="AB25" s="38">
        <f t="shared" si="2"/>
        <v>0</v>
      </c>
      <c r="AC25" s="38">
        <f t="shared" si="3"/>
        <v>0</v>
      </c>
      <c r="AD25" s="38">
        <f t="shared" si="4"/>
        <v>0</v>
      </c>
      <c r="AE25" s="38">
        <f t="shared" si="5"/>
        <v>0</v>
      </c>
      <c r="AF25" s="38">
        <f t="shared" si="6"/>
        <v>0</v>
      </c>
      <c r="AG25" s="38" t="e">
        <f t="shared" si="7"/>
        <v>#VALUE!</v>
      </c>
      <c r="AH25" s="38">
        <f t="shared" si="8"/>
        <v>0</v>
      </c>
      <c r="AI25" s="38" t="e">
        <f t="shared" si="9"/>
        <v>#VALUE!</v>
      </c>
      <c r="AJ25" s="38" t="e">
        <f t="shared" si="10"/>
        <v>#VALUE!</v>
      </c>
      <c r="AK25" s="38" t="e">
        <f t="shared" si="11"/>
        <v>#VALUE!</v>
      </c>
      <c r="AL25" s="38" t="e">
        <f t="shared" si="12"/>
        <v>#VALUE!</v>
      </c>
    </row>
    <row r="26" spans="1:38" s="12" customFormat="1" ht="15.75">
      <c r="A26" s="9" t="s">
        <v>32</v>
      </c>
      <c r="B26" s="10">
        <v>3680885</v>
      </c>
      <c r="C26" s="10">
        <v>3782608</v>
      </c>
      <c r="D26" s="10">
        <v>9704</v>
      </c>
      <c r="E26" s="10">
        <v>17208</v>
      </c>
      <c r="F26" s="10">
        <v>3390860</v>
      </c>
      <c r="G26" s="10">
        <v>3377482</v>
      </c>
      <c r="H26" s="11" t="s">
        <v>16</v>
      </c>
      <c r="I26" s="11">
        <v>20</v>
      </c>
      <c r="J26" s="11">
        <v>270200</v>
      </c>
      <c r="K26" s="11">
        <v>366483</v>
      </c>
      <c r="L26" s="11">
        <v>5761</v>
      </c>
      <c r="M26" s="11">
        <v>13020</v>
      </c>
      <c r="O26" s="34">
        <v>3680885</v>
      </c>
      <c r="P26" s="35">
        <v>3782608</v>
      </c>
      <c r="Q26" s="35">
        <v>9704</v>
      </c>
      <c r="R26" s="35">
        <v>17208</v>
      </c>
      <c r="S26" s="35">
        <v>3390860</v>
      </c>
      <c r="T26" s="35">
        <v>3377482</v>
      </c>
      <c r="U26" s="30" t="s">
        <v>16</v>
      </c>
      <c r="V26" s="31">
        <v>20</v>
      </c>
      <c r="W26" s="31">
        <v>270200</v>
      </c>
      <c r="X26" s="31">
        <v>366483</v>
      </c>
      <c r="Y26" s="31">
        <v>5761</v>
      </c>
      <c r="Z26" s="31">
        <v>13020</v>
      </c>
      <c r="AA26" s="38">
        <f t="shared" si="1"/>
        <v>0</v>
      </c>
      <c r="AB26" s="38">
        <f t="shared" si="2"/>
        <v>0</v>
      </c>
      <c r="AC26" s="38">
        <f t="shared" si="3"/>
        <v>0</v>
      </c>
      <c r="AD26" s="38">
        <f t="shared" si="4"/>
        <v>0</v>
      </c>
      <c r="AE26" s="38">
        <f t="shared" si="5"/>
        <v>0</v>
      </c>
      <c r="AF26" s="38">
        <f t="shared" si="6"/>
        <v>0</v>
      </c>
      <c r="AG26" s="38" t="e">
        <f t="shared" si="7"/>
        <v>#VALUE!</v>
      </c>
      <c r="AH26" s="38">
        <f t="shared" si="8"/>
        <v>0</v>
      </c>
      <c r="AI26" s="38">
        <f t="shared" si="9"/>
        <v>0</v>
      </c>
      <c r="AJ26" s="38">
        <f t="shared" si="10"/>
        <v>0</v>
      </c>
      <c r="AK26" s="38">
        <f t="shared" si="11"/>
        <v>0</v>
      </c>
      <c r="AL26" s="38">
        <f t="shared" si="12"/>
        <v>0</v>
      </c>
    </row>
    <row r="27" spans="1:38" ht="15.75">
      <c r="A27" s="8" t="s">
        <v>33</v>
      </c>
      <c r="B27" s="3">
        <v>982580</v>
      </c>
      <c r="C27" s="3">
        <v>723643</v>
      </c>
      <c r="D27" s="3" t="s">
        <v>16</v>
      </c>
      <c r="E27" s="3" t="s">
        <v>16</v>
      </c>
      <c r="F27" s="3">
        <v>792268</v>
      </c>
      <c r="G27" s="3">
        <v>527266</v>
      </c>
      <c r="H27" s="4" t="s">
        <v>16</v>
      </c>
      <c r="I27" s="4">
        <v>20</v>
      </c>
      <c r="J27" s="4">
        <v>190312</v>
      </c>
      <c r="K27" s="4">
        <v>196357</v>
      </c>
      <c r="L27" s="4" t="s">
        <v>16</v>
      </c>
      <c r="M27" s="4" t="s">
        <v>16</v>
      </c>
      <c r="O27" s="32">
        <v>982580</v>
      </c>
      <c r="P27" s="33">
        <v>723643</v>
      </c>
      <c r="Q27" s="33" t="s">
        <v>16</v>
      </c>
      <c r="R27" s="33" t="s">
        <v>16</v>
      </c>
      <c r="S27" s="33">
        <v>792268</v>
      </c>
      <c r="T27" s="33">
        <v>527266</v>
      </c>
      <c r="U27" s="32" t="s">
        <v>16</v>
      </c>
      <c r="V27" s="33">
        <v>20</v>
      </c>
      <c r="W27" s="33">
        <v>190312</v>
      </c>
      <c r="X27" s="33">
        <v>196357</v>
      </c>
      <c r="Y27" s="33" t="s">
        <v>16</v>
      </c>
      <c r="Z27" s="33" t="s">
        <v>16</v>
      </c>
      <c r="AA27" s="38">
        <f t="shared" si="1"/>
        <v>0</v>
      </c>
      <c r="AB27" s="38">
        <f t="shared" si="2"/>
        <v>0</v>
      </c>
      <c r="AC27" s="38" t="e">
        <f t="shared" si="3"/>
        <v>#VALUE!</v>
      </c>
      <c r="AD27" s="38" t="e">
        <f t="shared" si="4"/>
        <v>#VALUE!</v>
      </c>
      <c r="AE27" s="38">
        <f t="shared" si="5"/>
        <v>0</v>
      </c>
      <c r="AF27" s="38">
        <f t="shared" si="6"/>
        <v>0</v>
      </c>
      <c r="AG27" s="38" t="e">
        <f t="shared" si="7"/>
        <v>#VALUE!</v>
      </c>
      <c r="AH27" s="38">
        <f t="shared" si="8"/>
        <v>0</v>
      </c>
      <c r="AI27" s="38">
        <f t="shared" si="9"/>
        <v>0</v>
      </c>
      <c r="AJ27" s="38">
        <f t="shared" si="10"/>
        <v>0</v>
      </c>
      <c r="AK27" s="38" t="e">
        <f t="shared" si="11"/>
        <v>#VALUE!</v>
      </c>
      <c r="AL27" s="38" t="e">
        <f t="shared" si="12"/>
        <v>#VALUE!</v>
      </c>
    </row>
    <row r="28" spans="1:38" ht="26.25">
      <c r="A28" s="8" t="s">
        <v>34</v>
      </c>
      <c r="B28" s="3">
        <v>2698305</v>
      </c>
      <c r="C28" s="3">
        <v>2992724</v>
      </c>
      <c r="D28" s="3">
        <v>9704</v>
      </c>
      <c r="E28" s="3">
        <v>17208</v>
      </c>
      <c r="F28" s="3">
        <v>2598592</v>
      </c>
      <c r="G28" s="3">
        <v>2787671</v>
      </c>
      <c r="H28" s="4" t="s">
        <v>16</v>
      </c>
      <c r="I28" s="4" t="s">
        <v>16</v>
      </c>
      <c r="J28" s="4">
        <v>79888</v>
      </c>
      <c r="K28" s="4">
        <v>166430</v>
      </c>
      <c r="L28" s="4">
        <v>5761</v>
      </c>
      <c r="M28" s="4">
        <v>13020</v>
      </c>
      <c r="O28" s="32">
        <v>2698305</v>
      </c>
      <c r="P28" s="33">
        <v>2992724</v>
      </c>
      <c r="Q28" s="33">
        <v>9704</v>
      </c>
      <c r="R28" s="33">
        <v>17208</v>
      </c>
      <c r="S28" s="33">
        <v>2598592</v>
      </c>
      <c r="T28" s="33">
        <v>2787671</v>
      </c>
      <c r="U28" s="32" t="s">
        <v>16</v>
      </c>
      <c r="V28" s="33" t="s">
        <v>16</v>
      </c>
      <c r="W28" s="33">
        <v>79888</v>
      </c>
      <c r="X28" s="33">
        <v>166430</v>
      </c>
      <c r="Y28" s="33">
        <v>5761</v>
      </c>
      <c r="Z28" s="33">
        <v>13020</v>
      </c>
      <c r="AA28" s="38">
        <f t="shared" si="1"/>
        <v>0</v>
      </c>
      <c r="AB28" s="38">
        <f t="shared" si="2"/>
        <v>0</v>
      </c>
      <c r="AC28" s="38">
        <f t="shared" si="3"/>
        <v>0</v>
      </c>
      <c r="AD28" s="38">
        <f t="shared" si="4"/>
        <v>0</v>
      </c>
      <c r="AE28" s="38">
        <f t="shared" si="5"/>
        <v>0</v>
      </c>
      <c r="AF28" s="38">
        <f t="shared" si="6"/>
        <v>0</v>
      </c>
      <c r="AG28" s="38" t="e">
        <f t="shared" si="7"/>
        <v>#VALUE!</v>
      </c>
      <c r="AH28" s="38" t="e">
        <f t="shared" si="8"/>
        <v>#VALUE!</v>
      </c>
      <c r="AI28" s="38">
        <f t="shared" si="9"/>
        <v>0</v>
      </c>
      <c r="AJ28" s="38">
        <f t="shared" si="10"/>
        <v>0</v>
      </c>
      <c r="AK28" s="38">
        <f t="shared" si="11"/>
        <v>0</v>
      </c>
      <c r="AL28" s="38">
        <f t="shared" si="12"/>
        <v>0</v>
      </c>
    </row>
    <row r="29" spans="1:38" ht="26.25">
      <c r="A29" s="8" t="s">
        <v>35</v>
      </c>
      <c r="B29" s="3" t="s">
        <v>16</v>
      </c>
      <c r="C29" s="3">
        <v>66241</v>
      </c>
      <c r="D29" s="3" t="s">
        <v>16</v>
      </c>
      <c r="E29" s="3" t="s">
        <v>16</v>
      </c>
      <c r="F29" s="3" t="s">
        <v>16</v>
      </c>
      <c r="G29" s="3">
        <v>62545</v>
      </c>
      <c r="H29" s="4" t="s">
        <v>16</v>
      </c>
      <c r="I29" s="4" t="s">
        <v>16</v>
      </c>
      <c r="J29" s="4" t="s">
        <v>16</v>
      </c>
      <c r="K29" s="4">
        <v>3696</v>
      </c>
      <c r="L29" s="4" t="s">
        <v>16</v>
      </c>
      <c r="M29" s="4" t="s">
        <v>16</v>
      </c>
      <c r="O29" s="32" t="s">
        <v>16</v>
      </c>
      <c r="P29" s="33">
        <v>66241</v>
      </c>
      <c r="Q29" s="33" t="s">
        <v>16</v>
      </c>
      <c r="R29" s="33" t="s">
        <v>16</v>
      </c>
      <c r="S29" s="33" t="s">
        <v>16</v>
      </c>
      <c r="T29" s="33">
        <v>62545</v>
      </c>
      <c r="U29" s="32" t="s">
        <v>16</v>
      </c>
      <c r="V29" s="33" t="s">
        <v>16</v>
      </c>
      <c r="W29" s="33" t="s">
        <v>16</v>
      </c>
      <c r="X29" s="33">
        <v>3696</v>
      </c>
      <c r="Y29" s="33" t="s">
        <v>16</v>
      </c>
      <c r="Z29" s="33" t="s">
        <v>16</v>
      </c>
      <c r="AA29" s="38" t="e">
        <f t="shared" si="1"/>
        <v>#VALUE!</v>
      </c>
      <c r="AB29" s="38">
        <f t="shared" si="2"/>
        <v>0</v>
      </c>
      <c r="AC29" s="38" t="e">
        <f t="shared" si="3"/>
        <v>#VALUE!</v>
      </c>
      <c r="AD29" s="38" t="e">
        <f t="shared" si="4"/>
        <v>#VALUE!</v>
      </c>
      <c r="AE29" s="38" t="e">
        <f t="shared" si="5"/>
        <v>#VALUE!</v>
      </c>
      <c r="AF29" s="38">
        <f t="shared" si="6"/>
        <v>0</v>
      </c>
      <c r="AG29" s="38" t="e">
        <f t="shared" si="7"/>
        <v>#VALUE!</v>
      </c>
      <c r="AH29" s="38" t="e">
        <f t="shared" si="8"/>
        <v>#VALUE!</v>
      </c>
      <c r="AI29" s="38" t="e">
        <f t="shared" si="9"/>
        <v>#VALUE!</v>
      </c>
      <c r="AJ29" s="38">
        <f t="shared" si="10"/>
        <v>0</v>
      </c>
      <c r="AK29" s="38" t="e">
        <f t="shared" si="11"/>
        <v>#VALUE!</v>
      </c>
      <c r="AL29" s="38" t="e">
        <f t="shared" si="12"/>
        <v>#VALUE!</v>
      </c>
    </row>
    <row r="30" spans="1:38" s="12" customFormat="1" ht="51.75">
      <c r="A30" s="9" t="s">
        <v>36</v>
      </c>
      <c r="B30" s="10">
        <v>5890431</v>
      </c>
      <c r="C30" s="10">
        <v>5564891</v>
      </c>
      <c r="D30" s="10">
        <v>21454</v>
      </c>
      <c r="E30" s="10">
        <v>39298</v>
      </c>
      <c r="F30" s="10">
        <v>3265520</v>
      </c>
      <c r="G30" s="10">
        <v>4132151</v>
      </c>
      <c r="H30" s="11">
        <v>2162729</v>
      </c>
      <c r="I30" s="11">
        <v>869979</v>
      </c>
      <c r="J30" s="11">
        <v>165754</v>
      </c>
      <c r="K30" s="11">
        <v>260470</v>
      </c>
      <c r="L30" s="11">
        <v>60012</v>
      </c>
      <c r="M30" s="11">
        <v>73434</v>
      </c>
      <c r="O30" s="30">
        <v>5890431</v>
      </c>
      <c r="P30" s="31">
        <v>5564891</v>
      </c>
      <c r="Q30" s="31">
        <v>21454</v>
      </c>
      <c r="R30" s="31">
        <v>39298</v>
      </c>
      <c r="S30" s="31">
        <v>3265520</v>
      </c>
      <c r="T30" s="31">
        <v>4132151</v>
      </c>
      <c r="U30" s="30">
        <v>2162729</v>
      </c>
      <c r="V30" s="31">
        <v>869979</v>
      </c>
      <c r="W30" s="31">
        <v>165754</v>
      </c>
      <c r="X30" s="31">
        <v>260470</v>
      </c>
      <c r="Y30" s="31">
        <v>60012</v>
      </c>
      <c r="Z30" s="31">
        <v>73434</v>
      </c>
      <c r="AA30" s="38">
        <f t="shared" si="1"/>
        <v>0</v>
      </c>
      <c r="AB30" s="38">
        <f t="shared" si="2"/>
        <v>0</v>
      </c>
      <c r="AC30" s="38">
        <f t="shared" si="3"/>
        <v>0</v>
      </c>
      <c r="AD30" s="38">
        <f t="shared" si="4"/>
        <v>0</v>
      </c>
      <c r="AE30" s="38">
        <f t="shared" si="5"/>
        <v>0</v>
      </c>
      <c r="AF30" s="38">
        <f t="shared" si="6"/>
        <v>0</v>
      </c>
      <c r="AG30" s="38">
        <f t="shared" si="7"/>
        <v>0</v>
      </c>
      <c r="AH30" s="38">
        <f t="shared" si="8"/>
        <v>0</v>
      </c>
      <c r="AI30" s="38">
        <f t="shared" si="9"/>
        <v>0</v>
      </c>
      <c r="AJ30" s="38">
        <f t="shared" si="10"/>
        <v>0</v>
      </c>
      <c r="AK30" s="38">
        <f t="shared" si="11"/>
        <v>0</v>
      </c>
      <c r="AL30" s="38">
        <f t="shared" si="12"/>
        <v>0</v>
      </c>
    </row>
    <row r="31" spans="1:38" ht="51.75">
      <c r="A31" s="8" t="s">
        <v>37</v>
      </c>
      <c r="B31" s="3">
        <v>4003826</v>
      </c>
      <c r="C31" s="3">
        <v>3765240</v>
      </c>
      <c r="D31" s="3">
        <v>17243</v>
      </c>
      <c r="E31" s="3">
        <v>35699</v>
      </c>
      <c r="F31" s="3">
        <v>1537126</v>
      </c>
      <c r="G31" s="3">
        <v>2495831</v>
      </c>
      <c r="H31" s="4">
        <v>2120067</v>
      </c>
      <c r="I31" s="4">
        <v>833217</v>
      </c>
      <c r="J31" s="4">
        <v>81827</v>
      </c>
      <c r="K31" s="4">
        <v>145369</v>
      </c>
      <c r="L31" s="4">
        <v>32601</v>
      </c>
      <c r="M31" s="4">
        <v>65565</v>
      </c>
      <c r="O31" s="32">
        <v>4003826</v>
      </c>
      <c r="P31" s="33">
        <v>3765240</v>
      </c>
      <c r="Q31" s="33">
        <v>17243</v>
      </c>
      <c r="R31" s="33">
        <v>35699</v>
      </c>
      <c r="S31" s="33">
        <v>1537126</v>
      </c>
      <c r="T31" s="33">
        <v>2495831</v>
      </c>
      <c r="U31" s="32">
        <v>2120067</v>
      </c>
      <c r="V31" s="33">
        <v>833217</v>
      </c>
      <c r="W31" s="33">
        <v>81827</v>
      </c>
      <c r="X31" s="33">
        <v>145369</v>
      </c>
      <c r="Y31" s="33">
        <v>32601</v>
      </c>
      <c r="Z31" s="33">
        <v>65565</v>
      </c>
      <c r="AA31" s="38">
        <f t="shared" si="1"/>
        <v>0</v>
      </c>
      <c r="AB31" s="38">
        <f t="shared" si="2"/>
        <v>0</v>
      </c>
      <c r="AC31" s="38">
        <f t="shared" si="3"/>
        <v>0</v>
      </c>
      <c r="AD31" s="38">
        <f t="shared" si="4"/>
        <v>0</v>
      </c>
      <c r="AE31" s="38">
        <f t="shared" si="5"/>
        <v>0</v>
      </c>
      <c r="AF31" s="38">
        <f t="shared" si="6"/>
        <v>0</v>
      </c>
      <c r="AG31" s="38">
        <f t="shared" si="7"/>
        <v>0</v>
      </c>
      <c r="AH31" s="38">
        <f t="shared" si="8"/>
        <v>0</v>
      </c>
      <c r="AI31" s="38">
        <f t="shared" si="9"/>
        <v>0</v>
      </c>
      <c r="AJ31" s="38">
        <f t="shared" si="10"/>
        <v>0</v>
      </c>
      <c r="AK31" s="38">
        <f t="shared" si="11"/>
        <v>0</v>
      </c>
      <c r="AL31" s="38">
        <f t="shared" si="12"/>
        <v>0</v>
      </c>
    </row>
    <row r="32" spans="1:38" ht="39">
      <c r="A32" s="8" t="s">
        <v>38</v>
      </c>
      <c r="B32" s="3">
        <v>1886605</v>
      </c>
      <c r="C32" s="3">
        <v>1799651</v>
      </c>
      <c r="D32" s="3">
        <v>4211</v>
      </c>
      <c r="E32" s="3">
        <v>3599</v>
      </c>
      <c r="F32" s="3">
        <v>1728394</v>
      </c>
      <c r="G32" s="3">
        <v>1636320</v>
      </c>
      <c r="H32" s="4">
        <v>42662</v>
      </c>
      <c r="I32" s="4">
        <v>36762</v>
      </c>
      <c r="J32" s="4">
        <v>83927</v>
      </c>
      <c r="K32" s="4">
        <v>115101</v>
      </c>
      <c r="L32" s="4">
        <v>27411</v>
      </c>
      <c r="M32" s="4">
        <v>7869</v>
      </c>
      <c r="O32" s="32">
        <v>1886605</v>
      </c>
      <c r="P32" s="33">
        <v>1799651</v>
      </c>
      <c r="Q32" s="33">
        <v>4211</v>
      </c>
      <c r="R32" s="33">
        <v>3599</v>
      </c>
      <c r="S32" s="33">
        <v>1728394</v>
      </c>
      <c r="T32" s="33">
        <v>1636320</v>
      </c>
      <c r="U32" s="32">
        <v>42662</v>
      </c>
      <c r="V32" s="33">
        <v>36762</v>
      </c>
      <c r="W32" s="33">
        <v>83927</v>
      </c>
      <c r="X32" s="33">
        <v>115101</v>
      </c>
      <c r="Y32" s="33">
        <v>27411</v>
      </c>
      <c r="Z32" s="33">
        <v>7869</v>
      </c>
      <c r="AA32" s="38">
        <f t="shared" si="1"/>
        <v>0</v>
      </c>
      <c r="AB32" s="38">
        <f t="shared" si="2"/>
        <v>0</v>
      </c>
      <c r="AC32" s="38">
        <f t="shared" si="3"/>
        <v>0</v>
      </c>
      <c r="AD32" s="38">
        <f t="shared" si="4"/>
        <v>0</v>
      </c>
      <c r="AE32" s="38">
        <f t="shared" si="5"/>
        <v>0</v>
      </c>
      <c r="AF32" s="38">
        <f t="shared" si="6"/>
        <v>0</v>
      </c>
      <c r="AG32" s="38">
        <f t="shared" si="7"/>
        <v>0</v>
      </c>
      <c r="AH32" s="38">
        <f t="shared" si="8"/>
        <v>0</v>
      </c>
      <c r="AI32" s="38">
        <f t="shared" si="9"/>
        <v>0</v>
      </c>
      <c r="AJ32" s="38">
        <f t="shared" si="10"/>
        <v>0</v>
      </c>
      <c r="AK32" s="38">
        <f t="shared" si="11"/>
        <v>0</v>
      </c>
      <c r="AL32" s="38">
        <f t="shared" si="12"/>
        <v>0</v>
      </c>
    </row>
    <row r="33" spans="1:38" s="12" customFormat="1" ht="26.25">
      <c r="A33" s="9" t="s">
        <v>39</v>
      </c>
      <c r="B33" s="10">
        <v>32610510</v>
      </c>
      <c r="C33" s="10">
        <v>42649561</v>
      </c>
      <c r="D33" s="10">
        <v>445551</v>
      </c>
      <c r="E33" s="10">
        <v>420606</v>
      </c>
      <c r="F33" s="10">
        <v>27507899</v>
      </c>
      <c r="G33" s="10">
        <v>35418361</v>
      </c>
      <c r="H33" s="11">
        <v>273439</v>
      </c>
      <c r="I33" s="11">
        <v>138591</v>
      </c>
      <c r="J33" s="11">
        <v>381117</v>
      </c>
      <c r="K33" s="11">
        <v>946280</v>
      </c>
      <c r="L33" s="11">
        <v>3997574</v>
      </c>
      <c r="M33" s="11">
        <v>5722380</v>
      </c>
      <c r="O33" s="30">
        <v>32610510</v>
      </c>
      <c r="P33" s="31">
        <v>42649561</v>
      </c>
      <c r="Q33" s="31">
        <v>445551</v>
      </c>
      <c r="R33" s="31">
        <v>420606</v>
      </c>
      <c r="S33" s="31">
        <v>27507899</v>
      </c>
      <c r="T33" s="31">
        <v>35418361</v>
      </c>
      <c r="U33" s="30">
        <v>273439</v>
      </c>
      <c r="V33" s="31">
        <v>138591</v>
      </c>
      <c r="W33" s="31">
        <v>381117</v>
      </c>
      <c r="X33" s="31">
        <v>946280</v>
      </c>
      <c r="Y33" s="31">
        <v>3997574</v>
      </c>
      <c r="Z33" s="31">
        <v>5722380</v>
      </c>
      <c r="AA33" s="38">
        <f t="shared" si="1"/>
        <v>0</v>
      </c>
      <c r="AB33" s="38">
        <f t="shared" si="2"/>
        <v>0</v>
      </c>
      <c r="AC33" s="38">
        <f t="shared" si="3"/>
        <v>0</v>
      </c>
      <c r="AD33" s="38">
        <f t="shared" si="4"/>
        <v>0</v>
      </c>
      <c r="AE33" s="38">
        <f t="shared" si="5"/>
        <v>0</v>
      </c>
      <c r="AF33" s="38">
        <f t="shared" si="6"/>
        <v>0</v>
      </c>
      <c r="AG33" s="38">
        <f t="shared" si="7"/>
        <v>0</v>
      </c>
      <c r="AH33" s="38">
        <f t="shared" si="8"/>
        <v>0</v>
      </c>
      <c r="AI33" s="38">
        <f t="shared" si="9"/>
        <v>0</v>
      </c>
      <c r="AJ33" s="38">
        <f t="shared" si="10"/>
        <v>0</v>
      </c>
      <c r="AK33" s="38">
        <f t="shared" si="11"/>
        <v>0</v>
      </c>
      <c r="AL33" s="38">
        <f t="shared" si="12"/>
        <v>0</v>
      </c>
    </row>
    <row r="34" spans="1:38" ht="26.25">
      <c r="A34" s="8" t="s">
        <v>40</v>
      </c>
      <c r="B34" s="3">
        <v>355696</v>
      </c>
      <c r="C34" s="3">
        <v>699619</v>
      </c>
      <c r="D34" s="3" t="s">
        <v>16</v>
      </c>
      <c r="E34" s="3" t="s">
        <v>16</v>
      </c>
      <c r="F34" s="3">
        <v>354772</v>
      </c>
      <c r="G34" s="3">
        <v>698462</v>
      </c>
      <c r="H34" s="4" t="s">
        <v>16</v>
      </c>
      <c r="I34" s="4" t="s">
        <v>16</v>
      </c>
      <c r="J34" s="4">
        <v>924</v>
      </c>
      <c r="K34" s="4">
        <v>1157</v>
      </c>
      <c r="L34" s="4" t="s">
        <v>16</v>
      </c>
      <c r="M34" s="4" t="s">
        <v>16</v>
      </c>
      <c r="O34" s="32">
        <v>355696</v>
      </c>
      <c r="P34" s="33">
        <v>699619</v>
      </c>
      <c r="Q34" s="33" t="s">
        <v>16</v>
      </c>
      <c r="R34" s="33" t="s">
        <v>16</v>
      </c>
      <c r="S34" s="33">
        <v>354772</v>
      </c>
      <c r="T34" s="33">
        <v>698462</v>
      </c>
      <c r="U34" s="32" t="s">
        <v>16</v>
      </c>
      <c r="V34" s="33" t="s">
        <v>16</v>
      </c>
      <c r="W34" s="33">
        <v>924</v>
      </c>
      <c r="X34" s="33">
        <v>1157</v>
      </c>
      <c r="Y34" s="33" t="s">
        <v>16</v>
      </c>
      <c r="Z34" s="33" t="s">
        <v>16</v>
      </c>
      <c r="AA34" s="38">
        <f t="shared" si="1"/>
        <v>0</v>
      </c>
      <c r="AB34" s="38">
        <f t="shared" si="2"/>
        <v>0</v>
      </c>
      <c r="AC34" s="38" t="e">
        <f t="shared" si="3"/>
        <v>#VALUE!</v>
      </c>
      <c r="AD34" s="38" t="e">
        <f t="shared" si="4"/>
        <v>#VALUE!</v>
      </c>
      <c r="AE34" s="38">
        <f t="shared" si="5"/>
        <v>0</v>
      </c>
      <c r="AF34" s="38">
        <f t="shared" si="6"/>
        <v>0</v>
      </c>
      <c r="AG34" s="38" t="e">
        <f t="shared" si="7"/>
        <v>#VALUE!</v>
      </c>
      <c r="AH34" s="38" t="e">
        <f t="shared" si="8"/>
        <v>#VALUE!</v>
      </c>
      <c r="AI34" s="38">
        <f t="shared" si="9"/>
        <v>0</v>
      </c>
      <c r="AJ34" s="38">
        <f t="shared" si="10"/>
        <v>0</v>
      </c>
      <c r="AK34" s="38" t="e">
        <f t="shared" si="11"/>
        <v>#VALUE!</v>
      </c>
      <c r="AL34" s="38" t="e">
        <f t="shared" si="12"/>
        <v>#VALUE!</v>
      </c>
    </row>
    <row r="35" spans="1:38" ht="26.25">
      <c r="A35" s="8" t="s">
        <v>41</v>
      </c>
      <c r="B35" s="3">
        <v>4757173</v>
      </c>
      <c r="C35" s="3">
        <v>4849747</v>
      </c>
      <c r="D35" s="3">
        <v>2264</v>
      </c>
      <c r="E35" s="3">
        <v>1836</v>
      </c>
      <c r="F35" s="3">
        <v>4733944</v>
      </c>
      <c r="G35" s="3">
        <v>4712640</v>
      </c>
      <c r="H35" s="4" t="s">
        <v>16</v>
      </c>
      <c r="I35" s="4" t="s">
        <v>16</v>
      </c>
      <c r="J35" s="4">
        <v>20965</v>
      </c>
      <c r="K35" s="4">
        <v>39337</v>
      </c>
      <c r="L35" s="4" t="s">
        <v>16</v>
      </c>
      <c r="M35" s="4">
        <v>95934</v>
      </c>
      <c r="O35" s="32">
        <v>4757173</v>
      </c>
      <c r="P35" s="33">
        <v>4849747</v>
      </c>
      <c r="Q35" s="33">
        <v>2264</v>
      </c>
      <c r="R35" s="33">
        <v>1836</v>
      </c>
      <c r="S35" s="33">
        <v>4733944</v>
      </c>
      <c r="T35" s="33">
        <v>4712640</v>
      </c>
      <c r="U35" s="32" t="s">
        <v>16</v>
      </c>
      <c r="V35" s="33" t="s">
        <v>16</v>
      </c>
      <c r="W35" s="33">
        <v>20965</v>
      </c>
      <c r="X35" s="33">
        <v>39337</v>
      </c>
      <c r="Y35" s="33" t="s">
        <v>16</v>
      </c>
      <c r="Z35" s="33">
        <v>95934</v>
      </c>
      <c r="AA35" s="38">
        <f t="shared" si="1"/>
        <v>0</v>
      </c>
      <c r="AB35" s="38">
        <f t="shared" si="2"/>
        <v>0</v>
      </c>
      <c r="AC35" s="38">
        <f t="shared" si="3"/>
        <v>0</v>
      </c>
      <c r="AD35" s="38">
        <f t="shared" si="4"/>
        <v>0</v>
      </c>
      <c r="AE35" s="38">
        <f t="shared" si="5"/>
        <v>0</v>
      </c>
      <c r="AF35" s="38">
        <f t="shared" si="6"/>
        <v>0</v>
      </c>
      <c r="AG35" s="38" t="e">
        <f t="shared" si="7"/>
        <v>#VALUE!</v>
      </c>
      <c r="AH35" s="38" t="e">
        <f t="shared" si="8"/>
        <v>#VALUE!</v>
      </c>
      <c r="AI35" s="38">
        <f t="shared" si="9"/>
        <v>0</v>
      </c>
      <c r="AJ35" s="38">
        <f t="shared" si="10"/>
        <v>0</v>
      </c>
      <c r="AK35" s="38" t="e">
        <f t="shared" si="11"/>
        <v>#VALUE!</v>
      </c>
      <c r="AL35" s="38">
        <f t="shared" si="12"/>
        <v>0</v>
      </c>
    </row>
    <row r="36" spans="1:38" ht="26.25">
      <c r="A36" s="8" t="s">
        <v>42</v>
      </c>
      <c r="B36" s="3">
        <v>4200304</v>
      </c>
      <c r="C36" s="3">
        <v>6541046</v>
      </c>
      <c r="D36" s="3">
        <v>1104</v>
      </c>
      <c r="E36" s="3">
        <v>969</v>
      </c>
      <c r="F36" s="3">
        <v>3888947</v>
      </c>
      <c r="G36" s="3">
        <v>5849940</v>
      </c>
      <c r="H36" s="4">
        <v>6850</v>
      </c>
      <c r="I36" s="4">
        <v>6000</v>
      </c>
      <c r="J36" s="4">
        <v>46952</v>
      </c>
      <c r="K36" s="4">
        <v>416922</v>
      </c>
      <c r="L36" s="4">
        <v>255669</v>
      </c>
      <c r="M36" s="4">
        <v>266735</v>
      </c>
      <c r="O36" s="32">
        <v>4200304</v>
      </c>
      <c r="P36" s="33">
        <v>6541046</v>
      </c>
      <c r="Q36" s="33">
        <v>1104</v>
      </c>
      <c r="R36" s="33">
        <v>969</v>
      </c>
      <c r="S36" s="33">
        <v>3888947</v>
      </c>
      <c r="T36" s="33">
        <v>5849940</v>
      </c>
      <c r="U36" s="32">
        <v>6850</v>
      </c>
      <c r="V36" s="33">
        <v>6000</v>
      </c>
      <c r="W36" s="33">
        <v>46952</v>
      </c>
      <c r="X36" s="33">
        <v>416922</v>
      </c>
      <c r="Y36" s="33">
        <v>255669</v>
      </c>
      <c r="Z36" s="33">
        <v>266735</v>
      </c>
      <c r="AA36" s="38">
        <f t="shared" si="1"/>
        <v>0</v>
      </c>
      <c r="AB36" s="38">
        <f t="shared" si="2"/>
        <v>0</v>
      </c>
      <c r="AC36" s="38">
        <f t="shared" si="3"/>
        <v>0</v>
      </c>
      <c r="AD36" s="38">
        <f t="shared" si="4"/>
        <v>0</v>
      </c>
      <c r="AE36" s="38">
        <f t="shared" si="5"/>
        <v>0</v>
      </c>
      <c r="AF36" s="38">
        <f t="shared" si="6"/>
        <v>0</v>
      </c>
      <c r="AG36" s="38">
        <f t="shared" si="7"/>
        <v>0</v>
      </c>
      <c r="AH36" s="38">
        <f t="shared" si="8"/>
        <v>0</v>
      </c>
      <c r="AI36" s="38">
        <f t="shared" si="9"/>
        <v>0</v>
      </c>
      <c r="AJ36" s="38">
        <f t="shared" si="10"/>
        <v>0</v>
      </c>
      <c r="AK36" s="38">
        <f t="shared" si="11"/>
        <v>0</v>
      </c>
      <c r="AL36" s="38">
        <f t="shared" si="12"/>
        <v>0</v>
      </c>
    </row>
    <row r="37" spans="1:38" ht="39">
      <c r="A37" s="8" t="s">
        <v>43</v>
      </c>
      <c r="B37" s="3">
        <v>23297337</v>
      </c>
      <c r="C37" s="3">
        <v>30559149</v>
      </c>
      <c r="D37" s="3">
        <v>442183</v>
      </c>
      <c r="E37" s="3">
        <v>417801</v>
      </c>
      <c r="F37" s="3">
        <v>18530236</v>
      </c>
      <c r="G37" s="3">
        <v>24157319</v>
      </c>
      <c r="H37" s="4">
        <v>266589</v>
      </c>
      <c r="I37" s="4">
        <v>132591</v>
      </c>
      <c r="J37" s="4">
        <v>312276</v>
      </c>
      <c r="K37" s="4">
        <v>488864</v>
      </c>
      <c r="L37" s="4">
        <v>3741905</v>
      </c>
      <c r="M37" s="4">
        <v>5359711</v>
      </c>
      <c r="O37" s="32">
        <v>23297337</v>
      </c>
      <c r="P37" s="33">
        <v>30559149</v>
      </c>
      <c r="Q37" s="33">
        <v>442183</v>
      </c>
      <c r="R37" s="33">
        <v>417801</v>
      </c>
      <c r="S37" s="33">
        <v>18530236</v>
      </c>
      <c r="T37" s="33">
        <v>24157319</v>
      </c>
      <c r="U37" s="32">
        <v>266589</v>
      </c>
      <c r="V37" s="33">
        <v>132591</v>
      </c>
      <c r="W37" s="33">
        <v>312276</v>
      </c>
      <c r="X37" s="33">
        <v>488864</v>
      </c>
      <c r="Y37" s="33">
        <v>3741905</v>
      </c>
      <c r="Z37" s="33">
        <v>5359711</v>
      </c>
      <c r="AA37" s="38">
        <f t="shared" si="1"/>
        <v>0</v>
      </c>
      <c r="AB37" s="38">
        <f t="shared" si="2"/>
        <v>0</v>
      </c>
      <c r="AC37" s="38">
        <f t="shared" si="3"/>
        <v>0</v>
      </c>
      <c r="AD37" s="38">
        <f t="shared" si="4"/>
        <v>0</v>
      </c>
      <c r="AE37" s="38">
        <f t="shared" si="5"/>
        <v>0</v>
      </c>
      <c r="AF37" s="38">
        <f t="shared" si="6"/>
        <v>0</v>
      </c>
      <c r="AG37" s="38">
        <f t="shared" si="7"/>
        <v>0</v>
      </c>
      <c r="AH37" s="38">
        <f t="shared" si="8"/>
        <v>0</v>
      </c>
      <c r="AI37" s="38">
        <f t="shared" si="9"/>
        <v>0</v>
      </c>
      <c r="AJ37" s="38">
        <f t="shared" si="10"/>
        <v>0</v>
      </c>
      <c r="AK37" s="38">
        <f t="shared" si="11"/>
        <v>0</v>
      </c>
      <c r="AL37" s="38">
        <f t="shared" si="12"/>
        <v>0</v>
      </c>
    </row>
    <row r="38" spans="1:38" s="12" customFormat="1" ht="39">
      <c r="A38" s="9" t="s">
        <v>44</v>
      </c>
      <c r="B38" s="10">
        <v>5309346</v>
      </c>
      <c r="C38" s="10">
        <v>5711050</v>
      </c>
      <c r="D38" s="10">
        <v>34</v>
      </c>
      <c r="E38" s="10">
        <v>69</v>
      </c>
      <c r="F38" s="10">
        <v>5248297</v>
      </c>
      <c r="G38" s="10">
        <v>5307539</v>
      </c>
      <c r="H38" s="11">
        <v>15097</v>
      </c>
      <c r="I38" s="11">
        <v>40898</v>
      </c>
      <c r="J38" s="11">
        <v>16306</v>
      </c>
      <c r="K38" s="11">
        <v>1239</v>
      </c>
      <c r="L38" s="11">
        <v>13818</v>
      </c>
      <c r="M38" s="11">
        <v>343838</v>
      </c>
      <c r="O38" s="30">
        <v>5309346</v>
      </c>
      <c r="P38" s="31">
        <v>5711050</v>
      </c>
      <c r="Q38" s="31">
        <v>34</v>
      </c>
      <c r="R38" s="31">
        <v>69</v>
      </c>
      <c r="S38" s="31">
        <v>5248297</v>
      </c>
      <c r="T38" s="31">
        <v>5307539</v>
      </c>
      <c r="U38" s="34">
        <v>15097</v>
      </c>
      <c r="V38" s="35">
        <v>40898</v>
      </c>
      <c r="W38" s="35">
        <v>16306</v>
      </c>
      <c r="X38" s="35">
        <v>1239</v>
      </c>
      <c r="Y38" s="35">
        <v>13818</v>
      </c>
      <c r="Z38" s="35">
        <v>343838</v>
      </c>
      <c r="AA38" s="38">
        <f t="shared" si="1"/>
        <v>0</v>
      </c>
      <c r="AB38" s="38">
        <f t="shared" si="2"/>
        <v>0</v>
      </c>
      <c r="AC38" s="38">
        <f t="shared" si="3"/>
        <v>0</v>
      </c>
      <c r="AD38" s="38">
        <f t="shared" si="4"/>
        <v>0</v>
      </c>
      <c r="AE38" s="38">
        <f t="shared" si="5"/>
        <v>0</v>
      </c>
      <c r="AF38" s="38">
        <f t="shared" si="6"/>
        <v>0</v>
      </c>
      <c r="AG38" s="38">
        <f t="shared" si="7"/>
        <v>0</v>
      </c>
      <c r="AH38" s="38">
        <f t="shared" si="8"/>
        <v>0</v>
      </c>
      <c r="AI38" s="38">
        <f t="shared" si="9"/>
        <v>0</v>
      </c>
      <c r="AJ38" s="38">
        <f t="shared" si="10"/>
        <v>0</v>
      </c>
      <c r="AK38" s="38">
        <f t="shared" si="11"/>
        <v>0</v>
      </c>
      <c r="AL38" s="38">
        <f t="shared" si="12"/>
        <v>0</v>
      </c>
    </row>
    <row r="39" spans="1:38" ht="39">
      <c r="A39" s="8" t="s">
        <v>45</v>
      </c>
      <c r="B39" s="3">
        <v>5309261</v>
      </c>
      <c r="C39" s="3">
        <v>5711000</v>
      </c>
      <c r="D39" s="3">
        <v>34</v>
      </c>
      <c r="E39" s="3">
        <v>69</v>
      </c>
      <c r="F39" s="3">
        <v>5248212</v>
      </c>
      <c r="G39" s="3">
        <v>5307489</v>
      </c>
      <c r="H39" s="4">
        <v>15097</v>
      </c>
      <c r="I39" s="4">
        <v>40898</v>
      </c>
      <c r="J39" s="4">
        <v>16306</v>
      </c>
      <c r="K39" s="4">
        <v>1239</v>
      </c>
      <c r="L39" s="4">
        <v>13818</v>
      </c>
      <c r="M39" s="4">
        <v>343838</v>
      </c>
      <c r="O39" s="32">
        <v>5309261</v>
      </c>
      <c r="P39" s="33">
        <v>5711000</v>
      </c>
      <c r="Q39" s="33">
        <v>34</v>
      </c>
      <c r="R39" s="33">
        <v>69</v>
      </c>
      <c r="S39" s="33">
        <v>5248212</v>
      </c>
      <c r="T39" s="33">
        <v>5307489</v>
      </c>
      <c r="U39" s="32">
        <v>15097</v>
      </c>
      <c r="V39" s="33">
        <v>40898</v>
      </c>
      <c r="W39" s="33">
        <v>16306</v>
      </c>
      <c r="X39" s="33">
        <v>1239</v>
      </c>
      <c r="Y39" s="33">
        <v>13818</v>
      </c>
      <c r="Z39" s="33">
        <v>343838</v>
      </c>
      <c r="AA39" s="38">
        <f t="shared" si="1"/>
        <v>0</v>
      </c>
      <c r="AB39" s="38">
        <f t="shared" si="2"/>
        <v>0</v>
      </c>
      <c r="AC39" s="38">
        <f t="shared" si="3"/>
        <v>0</v>
      </c>
      <c r="AD39" s="38">
        <f t="shared" si="4"/>
        <v>0</v>
      </c>
      <c r="AE39" s="38">
        <f t="shared" si="5"/>
        <v>0</v>
      </c>
      <c r="AF39" s="38">
        <f t="shared" si="6"/>
        <v>0</v>
      </c>
      <c r="AG39" s="38">
        <f t="shared" si="7"/>
        <v>0</v>
      </c>
      <c r="AH39" s="38">
        <f t="shared" si="8"/>
        <v>0</v>
      </c>
      <c r="AI39" s="38">
        <f t="shared" si="9"/>
        <v>0</v>
      </c>
      <c r="AJ39" s="38">
        <f t="shared" si="10"/>
        <v>0</v>
      </c>
      <c r="AK39" s="38">
        <f t="shared" si="11"/>
        <v>0</v>
      </c>
      <c r="AL39" s="38">
        <f t="shared" si="12"/>
        <v>0</v>
      </c>
    </row>
    <row r="40" spans="1:38" ht="26.25">
      <c r="A40" s="8" t="s">
        <v>46</v>
      </c>
      <c r="B40" s="3">
        <v>85</v>
      </c>
      <c r="C40" s="3">
        <v>50</v>
      </c>
      <c r="D40" s="3" t="s">
        <v>16</v>
      </c>
      <c r="E40" s="3" t="s">
        <v>16</v>
      </c>
      <c r="F40" s="3">
        <v>85</v>
      </c>
      <c r="G40" s="3">
        <v>50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  <c r="M40" s="4" t="s">
        <v>16</v>
      </c>
      <c r="O40" s="32">
        <v>85</v>
      </c>
      <c r="P40" s="33">
        <v>50</v>
      </c>
      <c r="Q40" s="33" t="s">
        <v>16</v>
      </c>
      <c r="R40" s="33" t="s">
        <v>16</v>
      </c>
      <c r="S40" s="33">
        <v>85</v>
      </c>
      <c r="T40" s="33">
        <v>50</v>
      </c>
      <c r="U40" s="32"/>
      <c r="V40" s="33"/>
      <c r="W40" s="33"/>
      <c r="X40" s="33"/>
      <c r="Y40" s="33"/>
      <c r="Z40" s="33"/>
      <c r="AA40" s="38">
        <f t="shared" si="1"/>
        <v>0</v>
      </c>
      <c r="AB40" s="38">
        <f t="shared" si="2"/>
        <v>0</v>
      </c>
      <c r="AC40" s="38" t="e">
        <f t="shared" si="3"/>
        <v>#VALUE!</v>
      </c>
      <c r="AD40" s="38" t="e">
        <f t="shared" si="4"/>
        <v>#VALUE!</v>
      </c>
      <c r="AE40" s="38">
        <f t="shared" si="5"/>
        <v>0</v>
      </c>
      <c r="AF40" s="38">
        <f t="shared" si="6"/>
        <v>0</v>
      </c>
      <c r="AG40" s="38" t="e">
        <f t="shared" si="7"/>
        <v>#VALUE!</v>
      </c>
      <c r="AH40" s="38" t="e">
        <f t="shared" si="8"/>
        <v>#VALUE!</v>
      </c>
      <c r="AI40" s="38" t="e">
        <f t="shared" si="9"/>
        <v>#VALUE!</v>
      </c>
      <c r="AJ40" s="38" t="e">
        <f t="shared" si="10"/>
        <v>#VALUE!</v>
      </c>
      <c r="AK40" s="38" t="e">
        <f t="shared" si="11"/>
        <v>#VALUE!</v>
      </c>
      <c r="AL40" s="38" t="e">
        <f t="shared" si="12"/>
        <v>#VALUE!</v>
      </c>
    </row>
    <row r="41" spans="1:38" s="12" customFormat="1" ht="39">
      <c r="A41" s="9" t="s">
        <v>47</v>
      </c>
      <c r="B41" s="10">
        <v>5081652</v>
      </c>
      <c r="C41" s="10">
        <v>12991318</v>
      </c>
      <c r="D41" s="10">
        <v>4102</v>
      </c>
      <c r="E41" s="10">
        <v>3904</v>
      </c>
      <c r="F41" s="10">
        <v>4693</v>
      </c>
      <c r="G41" s="10">
        <v>4543</v>
      </c>
      <c r="H41" s="11">
        <v>5022632</v>
      </c>
      <c r="I41" s="11">
        <v>5022632</v>
      </c>
      <c r="J41" s="11">
        <v>6528</v>
      </c>
      <c r="K41" s="11">
        <v>7858663</v>
      </c>
      <c r="L41" s="11" t="s">
        <v>16</v>
      </c>
      <c r="M41" s="11" t="s">
        <v>16</v>
      </c>
      <c r="O41" s="34">
        <v>5081652</v>
      </c>
      <c r="P41" s="35">
        <v>12991318</v>
      </c>
      <c r="Q41" s="35">
        <v>4102</v>
      </c>
      <c r="R41" s="35">
        <v>3904</v>
      </c>
      <c r="S41" s="35">
        <v>4693</v>
      </c>
      <c r="T41" s="35">
        <v>4543</v>
      </c>
      <c r="U41" s="30">
        <v>5022632</v>
      </c>
      <c r="V41" s="31">
        <v>5022632</v>
      </c>
      <c r="W41" s="31">
        <v>6528</v>
      </c>
      <c r="X41" s="31">
        <v>7858663</v>
      </c>
      <c r="Y41" s="31" t="s">
        <v>16</v>
      </c>
      <c r="Z41" s="31" t="s">
        <v>16</v>
      </c>
      <c r="AA41" s="38">
        <f t="shared" si="1"/>
        <v>0</v>
      </c>
      <c r="AB41" s="38">
        <f t="shared" si="2"/>
        <v>0</v>
      </c>
      <c r="AC41" s="38">
        <f t="shared" si="3"/>
        <v>0</v>
      </c>
      <c r="AD41" s="38">
        <f t="shared" si="4"/>
        <v>0</v>
      </c>
      <c r="AE41" s="38">
        <f t="shared" si="5"/>
        <v>0</v>
      </c>
      <c r="AF41" s="38">
        <f t="shared" si="6"/>
        <v>0</v>
      </c>
      <c r="AG41" s="38">
        <f t="shared" si="7"/>
        <v>0</v>
      </c>
      <c r="AH41" s="38">
        <f t="shared" si="8"/>
        <v>0</v>
      </c>
      <c r="AI41" s="38">
        <f t="shared" si="9"/>
        <v>0</v>
      </c>
      <c r="AJ41" s="38">
        <f t="shared" si="10"/>
        <v>0</v>
      </c>
      <c r="AK41" s="38" t="e">
        <f t="shared" si="11"/>
        <v>#VALUE!</v>
      </c>
      <c r="AL41" s="38" t="e">
        <f t="shared" si="12"/>
        <v>#VALUE!</v>
      </c>
    </row>
    <row r="42" spans="1:38" ht="51.75">
      <c r="A42" s="8" t="s">
        <v>48</v>
      </c>
      <c r="B42" s="3">
        <v>5081652</v>
      </c>
      <c r="C42" s="3">
        <v>12991318</v>
      </c>
      <c r="D42" s="3">
        <v>4102</v>
      </c>
      <c r="E42" s="3">
        <v>3904</v>
      </c>
      <c r="F42" s="3">
        <v>4693</v>
      </c>
      <c r="G42" s="3">
        <v>4543</v>
      </c>
      <c r="H42" s="4">
        <v>5022632</v>
      </c>
      <c r="I42" s="4">
        <v>5022632</v>
      </c>
      <c r="J42" s="4">
        <v>6528</v>
      </c>
      <c r="K42" s="4">
        <v>7858663</v>
      </c>
      <c r="L42" s="4" t="s">
        <v>16</v>
      </c>
      <c r="M42" s="4" t="s">
        <v>16</v>
      </c>
      <c r="O42" s="32">
        <v>5081652</v>
      </c>
      <c r="P42" s="33">
        <v>12991318</v>
      </c>
      <c r="Q42" s="33">
        <v>4102</v>
      </c>
      <c r="R42" s="33">
        <v>3904</v>
      </c>
      <c r="S42" s="33">
        <v>4693</v>
      </c>
      <c r="T42" s="33">
        <v>4543</v>
      </c>
      <c r="U42" s="32">
        <v>5022632</v>
      </c>
      <c r="V42" s="33">
        <v>5022632</v>
      </c>
      <c r="W42" s="33">
        <v>6528</v>
      </c>
      <c r="X42" s="33">
        <v>7858663</v>
      </c>
      <c r="Y42" s="33" t="s">
        <v>16</v>
      </c>
      <c r="Z42" s="33" t="s">
        <v>16</v>
      </c>
      <c r="AA42" s="38">
        <f t="shared" si="1"/>
        <v>0</v>
      </c>
      <c r="AB42" s="38">
        <f t="shared" si="2"/>
        <v>0</v>
      </c>
      <c r="AC42" s="38">
        <f t="shared" si="3"/>
        <v>0</v>
      </c>
      <c r="AD42" s="38">
        <f t="shared" si="4"/>
        <v>0</v>
      </c>
      <c r="AE42" s="38">
        <f t="shared" si="5"/>
        <v>0</v>
      </c>
      <c r="AF42" s="38">
        <f t="shared" si="6"/>
        <v>0</v>
      </c>
      <c r="AG42" s="38">
        <f t="shared" si="7"/>
        <v>0</v>
      </c>
      <c r="AH42" s="38">
        <f t="shared" si="8"/>
        <v>0</v>
      </c>
      <c r="AI42" s="38">
        <f t="shared" si="9"/>
        <v>0</v>
      </c>
      <c r="AJ42" s="38">
        <f t="shared" si="10"/>
        <v>0</v>
      </c>
      <c r="AK42" s="38" t="e">
        <f t="shared" si="11"/>
        <v>#VALUE!</v>
      </c>
      <c r="AL42" s="38" t="e">
        <f t="shared" si="12"/>
        <v>#VALUE!</v>
      </c>
    </row>
    <row r="43" spans="1:38" s="12" customFormat="1" ht="51.75">
      <c r="A43" s="9" t="s">
        <v>49</v>
      </c>
      <c r="B43" s="10">
        <v>7002506</v>
      </c>
      <c r="C43" s="10">
        <v>8137115</v>
      </c>
      <c r="D43" s="10">
        <v>14827</v>
      </c>
      <c r="E43" s="10">
        <v>18265</v>
      </c>
      <c r="F43" s="10">
        <v>4775731</v>
      </c>
      <c r="G43" s="10">
        <v>5872807</v>
      </c>
      <c r="H43" s="11">
        <v>19762</v>
      </c>
      <c r="I43" s="11">
        <v>24014</v>
      </c>
      <c r="J43" s="11">
        <v>196515</v>
      </c>
      <c r="K43" s="11">
        <v>265319</v>
      </c>
      <c r="L43" s="11">
        <v>39841</v>
      </c>
      <c r="M43" s="11">
        <v>37188</v>
      </c>
      <c r="O43" s="30">
        <v>7002506</v>
      </c>
      <c r="P43" s="31">
        <v>8137115</v>
      </c>
      <c r="Q43" s="31">
        <v>14827</v>
      </c>
      <c r="R43" s="31">
        <v>18265</v>
      </c>
      <c r="S43" s="31">
        <v>4775731</v>
      </c>
      <c r="T43" s="31">
        <v>5872807</v>
      </c>
      <c r="U43" s="30">
        <v>19762</v>
      </c>
      <c r="V43" s="31">
        <v>24014</v>
      </c>
      <c r="W43" s="31">
        <v>196515</v>
      </c>
      <c r="X43" s="31">
        <v>265319</v>
      </c>
      <c r="Y43" s="31">
        <v>39841</v>
      </c>
      <c r="Z43" s="31">
        <v>37188</v>
      </c>
      <c r="AA43" s="38">
        <f t="shared" si="1"/>
        <v>0</v>
      </c>
      <c r="AB43" s="38">
        <f t="shared" si="2"/>
        <v>0</v>
      </c>
      <c r="AC43" s="38">
        <f t="shared" si="3"/>
        <v>0</v>
      </c>
      <c r="AD43" s="38">
        <f t="shared" si="4"/>
        <v>0</v>
      </c>
      <c r="AE43" s="38">
        <f t="shared" si="5"/>
        <v>0</v>
      </c>
      <c r="AF43" s="38">
        <f t="shared" si="6"/>
        <v>0</v>
      </c>
      <c r="AG43" s="38">
        <f t="shared" si="7"/>
        <v>0</v>
      </c>
      <c r="AH43" s="38">
        <f t="shared" si="8"/>
        <v>0</v>
      </c>
      <c r="AI43" s="38">
        <f t="shared" si="9"/>
        <v>0</v>
      </c>
      <c r="AJ43" s="38">
        <f t="shared" si="10"/>
        <v>0</v>
      </c>
      <c r="AK43" s="38">
        <f t="shared" si="11"/>
        <v>0</v>
      </c>
      <c r="AL43" s="38">
        <f t="shared" si="12"/>
        <v>0</v>
      </c>
    </row>
    <row r="44" spans="1:38" ht="26.25">
      <c r="A44" s="8" t="s">
        <v>50</v>
      </c>
      <c r="B44" s="3">
        <v>7002506</v>
      </c>
      <c r="C44" s="3">
        <v>8137115</v>
      </c>
      <c r="D44" s="3">
        <v>14827</v>
      </c>
      <c r="E44" s="3">
        <v>18265</v>
      </c>
      <c r="F44" s="3">
        <v>4775731</v>
      </c>
      <c r="G44" s="3">
        <v>5872807</v>
      </c>
      <c r="H44" s="4">
        <v>19762</v>
      </c>
      <c r="I44" s="4">
        <v>24014</v>
      </c>
      <c r="J44" s="4">
        <v>196515</v>
      </c>
      <c r="K44" s="4">
        <v>265319</v>
      </c>
      <c r="L44" s="4">
        <v>39841</v>
      </c>
      <c r="M44" s="4">
        <v>37188</v>
      </c>
      <c r="O44" s="32">
        <v>7002506</v>
      </c>
      <c r="P44" s="33">
        <v>8137115</v>
      </c>
      <c r="Q44" s="33">
        <v>14827</v>
      </c>
      <c r="R44" s="33">
        <v>18265</v>
      </c>
      <c r="S44" s="33">
        <v>4775731</v>
      </c>
      <c r="T44" s="33">
        <v>5872807</v>
      </c>
      <c r="U44" s="32">
        <v>19762</v>
      </c>
      <c r="V44" s="33">
        <v>24014</v>
      </c>
      <c r="W44" s="33">
        <v>196515</v>
      </c>
      <c r="X44" s="33">
        <v>265319</v>
      </c>
      <c r="Y44" s="33">
        <v>39841</v>
      </c>
      <c r="Z44" s="33">
        <v>37188</v>
      </c>
      <c r="AA44" s="38">
        <f t="shared" si="1"/>
        <v>0</v>
      </c>
      <c r="AB44" s="38">
        <f t="shared" si="2"/>
        <v>0</v>
      </c>
      <c r="AC44" s="38">
        <f t="shared" si="3"/>
        <v>0</v>
      </c>
      <c r="AD44" s="38">
        <f t="shared" si="4"/>
        <v>0</v>
      </c>
      <c r="AE44" s="38">
        <f t="shared" si="5"/>
        <v>0</v>
      </c>
      <c r="AF44" s="38">
        <f t="shared" si="6"/>
        <v>0</v>
      </c>
      <c r="AG44" s="38">
        <f t="shared" si="7"/>
        <v>0</v>
      </c>
      <c r="AH44" s="38">
        <f t="shared" si="8"/>
        <v>0</v>
      </c>
      <c r="AI44" s="38">
        <f t="shared" si="9"/>
        <v>0</v>
      </c>
      <c r="AJ44" s="38">
        <f t="shared" si="10"/>
        <v>0</v>
      </c>
      <c r="AK44" s="38">
        <f t="shared" si="11"/>
        <v>0</v>
      </c>
      <c r="AL44" s="38">
        <f t="shared" si="12"/>
        <v>0</v>
      </c>
    </row>
    <row r="45" spans="1:38" s="12" customFormat="1" ht="39">
      <c r="A45" s="9" t="s">
        <v>51</v>
      </c>
      <c r="B45" s="10">
        <v>21965278</v>
      </c>
      <c r="C45" s="10">
        <v>40925244</v>
      </c>
      <c r="D45" s="10">
        <v>2284773</v>
      </c>
      <c r="E45" s="10">
        <v>2355506</v>
      </c>
      <c r="F45" s="10">
        <v>13537075</v>
      </c>
      <c r="G45" s="10">
        <v>29761997</v>
      </c>
      <c r="H45" s="11">
        <v>1842375</v>
      </c>
      <c r="I45" s="11">
        <v>2095648</v>
      </c>
      <c r="J45" s="11">
        <v>1549103</v>
      </c>
      <c r="K45" s="11">
        <v>3041280</v>
      </c>
      <c r="L45" s="11">
        <v>444</v>
      </c>
      <c r="M45" s="11">
        <v>254430</v>
      </c>
      <c r="O45" s="30">
        <v>21965278</v>
      </c>
      <c r="P45" s="31">
        <v>40925244</v>
      </c>
      <c r="Q45" s="31">
        <v>2284773</v>
      </c>
      <c r="R45" s="31">
        <v>2355506</v>
      </c>
      <c r="S45" s="31">
        <v>13537075</v>
      </c>
      <c r="T45" s="31">
        <v>29761997</v>
      </c>
      <c r="U45" s="30">
        <v>1842375</v>
      </c>
      <c r="V45" s="31">
        <v>2095648</v>
      </c>
      <c r="W45" s="31">
        <v>1549103</v>
      </c>
      <c r="X45" s="31">
        <v>3041280</v>
      </c>
      <c r="Y45" s="31">
        <v>444</v>
      </c>
      <c r="Z45" s="31">
        <v>254430</v>
      </c>
      <c r="AA45" s="38">
        <f t="shared" si="1"/>
        <v>0</v>
      </c>
      <c r="AB45" s="38">
        <f t="shared" si="2"/>
        <v>0</v>
      </c>
      <c r="AC45" s="38">
        <f t="shared" si="3"/>
        <v>0</v>
      </c>
      <c r="AD45" s="38">
        <f t="shared" si="4"/>
        <v>0</v>
      </c>
      <c r="AE45" s="38">
        <f t="shared" si="5"/>
        <v>0</v>
      </c>
      <c r="AF45" s="38">
        <f t="shared" si="6"/>
        <v>0</v>
      </c>
      <c r="AG45" s="38">
        <f t="shared" si="7"/>
        <v>0</v>
      </c>
      <c r="AH45" s="38">
        <f t="shared" si="8"/>
        <v>0</v>
      </c>
      <c r="AI45" s="38">
        <f t="shared" si="9"/>
        <v>0</v>
      </c>
      <c r="AJ45" s="38">
        <f t="shared" si="10"/>
        <v>0</v>
      </c>
      <c r="AK45" s="38">
        <f t="shared" si="11"/>
        <v>0</v>
      </c>
      <c r="AL45" s="38">
        <f t="shared" si="12"/>
        <v>0</v>
      </c>
    </row>
    <row r="46" spans="1:38" ht="39">
      <c r="A46" s="8" t="s">
        <v>52</v>
      </c>
      <c r="B46" s="3">
        <v>3127244</v>
      </c>
      <c r="C46" s="3">
        <v>4145867</v>
      </c>
      <c r="D46" s="3">
        <v>2259</v>
      </c>
      <c r="E46" s="3">
        <v>13246</v>
      </c>
      <c r="F46" s="3">
        <v>793771</v>
      </c>
      <c r="G46" s="3">
        <v>1172363</v>
      </c>
      <c r="H46" s="4">
        <v>1592307</v>
      </c>
      <c r="I46" s="4">
        <v>2092138</v>
      </c>
      <c r="J46" s="4">
        <v>428489</v>
      </c>
      <c r="K46" s="4">
        <v>576027</v>
      </c>
      <c r="L46" s="4">
        <v>95</v>
      </c>
      <c r="M46" s="4" t="s">
        <v>16</v>
      </c>
      <c r="O46" s="32">
        <v>3127244</v>
      </c>
      <c r="P46" s="33">
        <v>4145867</v>
      </c>
      <c r="Q46" s="33">
        <v>2259</v>
      </c>
      <c r="R46" s="33">
        <v>13246</v>
      </c>
      <c r="S46" s="33">
        <v>793771</v>
      </c>
      <c r="T46" s="33">
        <v>1172363</v>
      </c>
      <c r="U46" s="32">
        <v>1592307</v>
      </c>
      <c r="V46" s="33">
        <v>2092138</v>
      </c>
      <c r="W46" s="33">
        <v>428489</v>
      </c>
      <c r="X46" s="33">
        <v>576027</v>
      </c>
      <c r="Y46" s="33">
        <v>95</v>
      </c>
      <c r="Z46" s="33" t="s">
        <v>16</v>
      </c>
      <c r="AA46" s="38">
        <f t="shared" si="1"/>
        <v>0</v>
      </c>
      <c r="AB46" s="38">
        <f t="shared" si="2"/>
        <v>0</v>
      </c>
      <c r="AC46" s="38">
        <f t="shared" si="3"/>
        <v>0</v>
      </c>
      <c r="AD46" s="38">
        <f t="shared" si="4"/>
        <v>0</v>
      </c>
      <c r="AE46" s="38">
        <f t="shared" si="5"/>
        <v>0</v>
      </c>
      <c r="AF46" s="38">
        <f t="shared" si="6"/>
        <v>0</v>
      </c>
      <c r="AG46" s="38">
        <f t="shared" si="7"/>
        <v>0</v>
      </c>
      <c r="AH46" s="38">
        <f t="shared" si="8"/>
        <v>0</v>
      </c>
      <c r="AI46" s="38">
        <f t="shared" si="9"/>
        <v>0</v>
      </c>
      <c r="AJ46" s="38">
        <f t="shared" si="10"/>
        <v>0</v>
      </c>
      <c r="AK46" s="38">
        <f t="shared" si="11"/>
        <v>0</v>
      </c>
      <c r="AL46" s="38" t="e">
        <f t="shared" si="12"/>
        <v>#VALUE!</v>
      </c>
    </row>
    <row r="47" spans="1:38" ht="64.5">
      <c r="A47" s="8" t="s">
        <v>53</v>
      </c>
      <c r="B47" s="3">
        <v>18833313</v>
      </c>
      <c r="C47" s="3">
        <v>36775894</v>
      </c>
      <c r="D47" s="3">
        <v>2282514</v>
      </c>
      <c r="E47" s="3">
        <v>2342260</v>
      </c>
      <c r="F47" s="3">
        <v>12738782</v>
      </c>
      <c r="G47" s="3">
        <v>28586258</v>
      </c>
      <c r="H47" s="4">
        <v>250068</v>
      </c>
      <c r="I47" s="4">
        <v>3510</v>
      </c>
      <c r="J47" s="4">
        <v>1120614</v>
      </c>
      <c r="K47" s="4">
        <v>2465253</v>
      </c>
      <c r="L47" s="4">
        <v>150</v>
      </c>
      <c r="M47" s="4">
        <v>254323</v>
      </c>
      <c r="O47" s="32">
        <v>18833313</v>
      </c>
      <c r="P47" s="33">
        <v>36775894</v>
      </c>
      <c r="Q47" s="33">
        <v>2282514</v>
      </c>
      <c r="R47" s="33">
        <v>2342260</v>
      </c>
      <c r="S47" s="33">
        <v>12738782</v>
      </c>
      <c r="T47" s="33">
        <v>28586258</v>
      </c>
      <c r="U47" s="32">
        <v>250068</v>
      </c>
      <c r="V47" s="33">
        <v>3510</v>
      </c>
      <c r="W47" s="33">
        <v>1120614</v>
      </c>
      <c r="X47" s="33">
        <v>2465253</v>
      </c>
      <c r="Y47" s="33">
        <v>150</v>
      </c>
      <c r="Z47" s="33">
        <v>254323</v>
      </c>
      <c r="AA47" s="38">
        <f t="shared" si="1"/>
        <v>0</v>
      </c>
      <c r="AB47" s="38">
        <f t="shared" si="2"/>
        <v>0</v>
      </c>
      <c r="AC47" s="38">
        <f t="shared" si="3"/>
        <v>0</v>
      </c>
      <c r="AD47" s="38">
        <f t="shared" si="4"/>
        <v>0</v>
      </c>
      <c r="AE47" s="38">
        <f t="shared" si="5"/>
        <v>0</v>
      </c>
      <c r="AF47" s="38">
        <f t="shared" si="6"/>
        <v>0</v>
      </c>
      <c r="AG47" s="38">
        <f t="shared" si="7"/>
        <v>0</v>
      </c>
      <c r="AH47" s="38">
        <f t="shared" si="8"/>
        <v>0</v>
      </c>
      <c r="AI47" s="38">
        <f t="shared" si="9"/>
        <v>0</v>
      </c>
      <c r="AJ47" s="38">
        <f t="shared" si="10"/>
        <v>0</v>
      </c>
      <c r="AK47" s="38">
        <f t="shared" si="11"/>
        <v>0</v>
      </c>
      <c r="AL47" s="38">
        <f t="shared" si="12"/>
        <v>0</v>
      </c>
    </row>
    <row r="48" spans="1:38" ht="26.25">
      <c r="A48" s="8" t="s">
        <v>54</v>
      </c>
      <c r="B48" s="3">
        <v>4721</v>
      </c>
      <c r="C48" s="3">
        <v>3483</v>
      </c>
      <c r="D48" s="3" t="s">
        <v>16</v>
      </c>
      <c r="E48" s="3" t="s">
        <v>16</v>
      </c>
      <c r="F48" s="3">
        <v>4522</v>
      </c>
      <c r="G48" s="3">
        <v>3376</v>
      </c>
      <c r="H48" s="4" t="s">
        <v>16</v>
      </c>
      <c r="I48" s="4" t="s">
        <v>16</v>
      </c>
      <c r="J48" s="4" t="s">
        <v>16</v>
      </c>
      <c r="K48" s="4" t="s">
        <v>16</v>
      </c>
      <c r="L48" s="4">
        <v>199</v>
      </c>
      <c r="M48" s="4">
        <v>107</v>
      </c>
      <c r="O48" s="32">
        <v>4721</v>
      </c>
      <c r="P48" s="33">
        <v>3483</v>
      </c>
      <c r="Q48" s="33" t="s">
        <v>16</v>
      </c>
      <c r="R48" s="33" t="s">
        <v>16</v>
      </c>
      <c r="S48" s="33">
        <v>4522</v>
      </c>
      <c r="T48" s="33">
        <v>3376</v>
      </c>
      <c r="U48" s="32" t="s">
        <v>16</v>
      </c>
      <c r="V48" s="33" t="s">
        <v>16</v>
      </c>
      <c r="W48" s="33" t="s">
        <v>16</v>
      </c>
      <c r="X48" s="33" t="s">
        <v>16</v>
      </c>
      <c r="Y48" s="33">
        <v>199</v>
      </c>
      <c r="Z48" s="33">
        <v>107</v>
      </c>
      <c r="AA48" s="38">
        <f t="shared" si="1"/>
        <v>0</v>
      </c>
      <c r="AB48" s="38">
        <f t="shared" si="2"/>
        <v>0</v>
      </c>
      <c r="AC48" s="38" t="e">
        <f t="shared" si="3"/>
        <v>#VALUE!</v>
      </c>
      <c r="AD48" s="38" t="e">
        <f t="shared" si="4"/>
        <v>#VALUE!</v>
      </c>
      <c r="AE48" s="38">
        <f t="shared" si="5"/>
        <v>0</v>
      </c>
      <c r="AF48" s="38">
        <f t="shared" si="6"/>
        <v>0</v>
      </c>
      <c r="AG48" s="38" t="e">
        <f t="shared" si="7"/>
        <v>#VALUE!</v>
      </c>
      <c r="AH48" s="38" t="e">
        <f t="shared" si="8"/>
        <v>#VALUE!</v>
      </c>
      <c r="AI48" s="38" t="e">
        <f t="shared" si="9"/>
        <v>#VALUE!</v>
      </c>
      <c r="AJ48" s="38" t="e">
        <f t="shared" si="10"/>
        <v>#VALUE!</v>
      </c>
      <c r="AK48" s="38">
        <f t="shared" si="11"/>
        <v>0</v>
      </c>
      <c r="AL48" s="38">
        <f t="shared" si="12"/>
        <v>0</v>
      </c>
    </row>
    <row r="49" spans="1:38" s="12" customFormat="1" ht="64.5">
      <c r="A49" s="9" t="s">
        <v>55</v>
      </c>
      <c r="B49" s="10">
        <v>3099678</v>
      </c>
      <c r="C49" s="10">
        <v>3521007</v>
      </c>
      <c r="D49" s="10">
        <v>5172</v>
      </c>
      <c r="E49" s="10">
        <v>5172</v>
      </c>
      <c r="F49" s="10">
        <v>1396044</v>
      </c>
      <c r="G49" s="10">
        <v>1463717</v>
      </c>
      <c r="H49" s="11">
        <v>67600</v>
      </c>
      <c r="I49" s="11">
        <v>67600</v>
      </c>
      <c r="J49" s="11">
        <v>1607247</v>
      </c>
      <c r="K49" s="11">
        <v>1982935</v>
      </c>
      <c r="L49" s="11">
        <v>23615</v>
      </c>
      <c r="M49" s="11">
        <v>1583</v>
      </c>
      <c r="O49" s="30">
        <v>3099678</v>
      </c>
      <c r="P49" s="31">
        <v>3521007</v>
      </c>
      <c r="Q49" s="31">
        <v>5172</v>
      </c>
      <c r="R49" s="31">
        <v>5172</v>
      </c>
      <c r="S49" s="31">
        <v>1396044</v>
      </c>
      <c r="T49" s="31">
        <v>1463717</v>
      </c>
      <c r="U49" s="34">
        <v>67600</v>
      </c>
      <c r="V49" s="35">
        <v>67600</v>
      </c>
      <c r="W49" s="35">
        <v>1607247</v>
      </c>
      <c r="X49" s="35">
        <v>1982935</v>
      </c>
      <c r="Y49" s="35">
        <v>23615</v>
      </c>
      <c r="Z49" s="35">
        <v>1583</v>
      </c>
      <c r="AA49" s="38">
        <f t="shared" si="1"/>
        <v>0</v>
      </c>
      <c r="AB49" s="38">
        <f t="shared" si="2"/>
        <v>0</v>
      </c>
      <c r="AC49" s="38">
        <f t="shared" si="3"/>
        <v>0</v>
      </c>
      <c r="AD49" s="38">
        <f t="shared" si="4"/>
        <v>0</v>
      </c>
      <c r="AE49" s="38">
        <f t="shared" si="5"/>
        <v>0</v>
      </c>
      <c r="AF49" s="38">
        <f t="shared" si="6"/>
        <v>0</v>
      </c>
      <c r="AG49" s="38">
        <f t="shared" si="7"/>
        <v>0</v>
      </c>
      <c r="AH49" s="38">
        <f t="shared" si="8"/>
        <v>0</v>
      </c>
      <c r="AI49" s="38">
        <f t="shared" si="9"/>
        <v>0</v>
      </c>
      <c r="AJ49" s="38">
        <f t="shared" si="10"/>
        <v>0</v>
      </c>
      <c r="AK49" s="38">
        <f t="shared" si="11"/>
        <v>0</v>
      </c>
      <c r="AL49" s="38">
        <f t="shared" si="12"/>
        <v>0</v>
      </c>
    </row>
    <row r="50" spans="1:38" ht="15.75">
      <c r="A50" s="8" t="s">
        <v>56</v>
      </c>
      <c r="B50" s="3">
        <v>1619575</v>
      </c>
      <c r="C50" s="3">
        <v>1992993</v>
      </c>
      <c r="D50" s="3">
        <v>5172</v>
      </c>
      <c r="E50" s="3">
        <v>5172</v>
      </c>
      <c r="F50" s="3">
        <v>174614</v>
      </c>
      <c r="G50" s="3">
        <v>181208</v>
      </c>
      <c r="H50" s="4">
        <v>67600</v>
      </c>
      <c r="I50" s="4">
        <v>67600</v>
      </c>
      <c r="J50" s="4">
        <v>1372189</v>
      </c>
      <c r="K50" s="4">
        <v>1739013</v>
      </c>
      <c r="L50" s="4" t="s">
        <v>16</v>
      </c>
      <c r="M50" s="4" t="s">
        <v>16</v>
      </c>
      <c r="O50" s="32">
        <v>1619575</v>
      </c>
      <c r="P50" s="33">
        <v>1992993</v>
      </c>
      <c r="Q50" s="33">
        <v>5172</v>
      </c>
      <c r="R50" s="33">
        <v>5172</v>
      </c>
      <c r="S50" s="33">
        <v>174614</v>
      </c>
      <c r="T50" s="33">
        <v>181208</v>
      </c>
      <c r="U50" s="32">
        <v>67600</v>
      </c>
      <c r="V50" s="33">
        <v>67600</v>
      </c>
      <c r="W50" s="33">
        <v>1372189</v>
      </c>
      <c r="X50" s="33">
        <v>1739013</v>
      </c>
      <c r="Y50" s="33" t="s">
        <v>16</v>
      </c>
      <c r="Z50" s="33" t="s">
        <v>16</v>
      </c>
      <c r="AA50" s="38">
        <f t="shared" si="1"/>
        <v>0</v>
      </c>
      <c r="AB50" s="38">
        <f t="shared" si="2"/>
        <v>0</v>
      </c>
      <c r="AC50" s="38">
        <f t="shared" si="3"/>
        <v>0</v>
      </c>
      <c r="AD50" s="38">
        <f t="shared" si="4"/>
        <v>0</v>
      </c>
      <c r="AE50" s="38">
        <f t="shared" si="5"/>
        <v>0</v>
      </c>
      <c r="AF50" s="38">
        <f t="shared" si="6"/>
        <v>0</v>
      </c>
      <c r="AG50" s="38">
        <f t="shared" si="7"/>
        <v>0</v>
      </c>
      <c r="AH50" s="38">
        <f t="shared" si="8"/>
        <v>0</v>
      </c>
      <c r="AI50" s="38">
        <f t="shared" si="9"/>
        <v>0</v>
      </c>
      <c r="AJ50" s="38">
        <f t="shared" si="10"/>
        <v>0</v>
      </c>
      <c r="AK50" s="38" t="e">
        <f t="shared" si="11"/>
        <v>#VALUE!</v>
      </c>
      <c r="AL50" s="38" t="e">
        <f t="shared" si="12"/>
        <v>#VALUE!</v>
      </c>
    </row>
    <row r="51" spans="1:38" ht="51.75">
      <c r="A51" s="8" t="s">
        <v>57</v>
      </c>
      <c r="B51" s="3">
        <v>630156</v>
      </c>
      <c r="C51" s="3">
        <v>741535</v>
      </c>
      <c r="D51" s="3" t="s">
        <v>16</v>
      </c>
      <c r="E51" s="3" t="s">
        <v>16</v>
      </c>
      <c r="F51" s="3">
        <v>604906</v>
      </c>
      <c r="G51" s="3">
        <v>720099</v>
      </c>
      <c r="H51" s="4" t="s">
        <v>16</v>
      </c>
      <c r="I51" s="4" t="s">
        <v>16</v>
      </c>
      <c r="J51" s="4">
        <v>1635</v>
      </c>
      <c r="K51" s="4">
        <v>19853</v>
      </c>
      <c r="L51" s="4">
        <v>23615</v>
      </c>
      <c r="M51" s="4">
        <v>1583</v>
      </c>
      <c r="O51" s="32">
        <v>630156</v>
      </c>
      <c r="P51" s="33">
        <v>741535</v>
      </c>
      <c r="Q51" s="33" t="s">
        <v>16</v>
      </c>
      <c r="R51" s="33" t="s">
        <v>16</v>
      </c>
      <c r="S51" s="33">
        <v>604906</v>
      </c>
      <c r="T51" s="33">
        <v>720099</v>
      </c>
      <c r="U51" s="32" t="s">
        <v>16</v>
      </c>
      <c r="V51" s="33" t="s">
        <v>16</v>
      </c>
      <c r="W51" s="33">
        <v>1635</v>
      </c>
      <c r="X51" s="33">
        <v>19853</v>
      </c>
      <c r="Y51" s="33">
        <v>23615</v>
      </c>
      <c r="Z51" s="33">
        <v>1583</v>
      </c>
      <c r="AA51" s="38">
        <f t="shared" si="1"/>
        <v>0</v>
      </c>
      <c r="AB51" s="38">
        <f t="shared" si="2"/>
        <v>0</v>
      </c>
      <c r="AC51" s="38" t="e">
        <f t="shared" si="3"/>
        <v>#VALUE!</v>
      </c>
      <c r="AD51" s="38" t="e">
        <f t="shared" si="4"/>
        <v>#VALUE!</v>
      </c>
      <c r="AE51" s="38">
        <f t="shared" si="5"/>
        <v>0</v>
      </c>
      <c r="AF51" s="38">
        <f t="shared" si="6"/>
        <v>0</v>
      </c>
      <c r="AG51" s="38" t="e">
        <f t="shared" si="7"/>
        <v>#VALUE!</v>
      </c>
      <c r="AH51" s="38" t="e">
        <f t="shared" si="8"/>
        <v>#VALUE!</v>
      </c>
      <c r="AI51" s="38">
        <f t="shared" si="9"/>
        <v>0</v>
      </c>
      <c r="AJ51" s="38">
        <f t="shared" si="10"/>
        <v>0</v>
      </c>
      <c r="AK51" s="38">
        <f t="shared" si="11"/>
        <v>0</v>
      </c>
      <c r="AL51" s="38">
        <f t="shared" si="12"/>
        <v>0</v>
      </c>
    </row>
    <row r="52" spans="1:38" ht="26.25">
      <c r="A52" s="8" t="s">
        <v>58</v>
      </c>
      <c r="B52" s="3">
        <v>834932</v>
      </c>
      <c r="C52" s="3">
        <v>772621</v>
      </c>
      <c r="D52" s="3" t="s">
        <v>16</v>
      </c>
      <c r="E52" s="3" t="s">
        <v>16</v>
      </c>
      <c r="F52" s="3">
        <v>601509</v>
      </c>
      <c r="G52" s="3">
        <v>548552</v>
      </c>
      <c r="H52" s="4" t="s">
        <v>16</v>
      </c>
      <c r="I52" s="4" t="s">
        <v>16</v>
      </c>
      <c r="J52" s="4">
        <v>233423</v>
      </c>
      <c r="K52" s="4">
        <v>224069</v>
      </c>
      <c r="L52" s="4" t="s">
        <v>16</v>
      </c>
      <c r="M52" s="4" t="s">
        <v>16</v>
      </c>
      <c r="O52" s="32">
        <v>834932</v>
      </c>
      <c r="P52" s="33">
        <v>772621</v>
      </c>
      <c r="Q52" s="33" t="s">
        <v>16</v>
      </c>
      <c r="R52" s="33" t="s">
        <v>16</v>
      </c>
      <c r="S52" s="33">
        <v>601509</v>
      </c>
      <c r="T52" s="33">
        <v>548552</v>
      </c>
      <c r="U52" s="32" t="s">
        <v>16</v>
      </c>
      <c r="V52" s="33" t="s">
        <v>16</v>
      </c>
      <c r="W52" s="33">
        <v>233423</v>
      </c>
      <c r="X52" s="33">
        <v>224069</v>
      </c>
      <c r="Y52" s="33" t="s">
        <v>16</v>
      </c>
      <c r="Z52" s="33" t="s">
        <v>16</v>
      </c>
      <c r="AA52" s="38">
        <f t="shared" si="1"/>
        <v>0</v>
      </c>
      <c r="AB52" s="38">
        <f t="shared" si="2"/>
        <v>0</v>
      </c>
      <c r="AC52" s="38" t="e">
        <f t="shared" si="3"/>
        <v>#VALUE!</v>
      </c>
      <c r="AD52" s="38" t="e">
        <f t="shared" si="4"/>
        <v>#VALUE!</v>
      </c>
      <c r="AE52" s="38">
        <f t="shared" si="5"/>
        <v>0</v>
      </c>
      <c r="AF52" s="38">
        <f t="shared" si="6"/>
        <v>0</v>
      </c>
      <c r="AG52" s="38" t="e">
        <f t="shared" si="7"/>
        <v>#VALUE!</v>
      </c>
      <c r="AH52" s="38" t="e">
        <f t="shared" si="8"/>
        <v>#VALUE!</v>
      </c>
      <c r="AI52" s="38">
        <f t="shared" si="9"/>
        <v>0</v>
      </c>
      <c r="AJ52" s="38">
        <f t="shared" si="10"/>
        <v>0</v>
      </c>
      <c r="AK52" s="38" t="e">
        <f t="shared" si="11"/>
        <v>#VALUE!</v>
      </c>
      <c r="AL52" s="38" t="e">
        <f t="shared" si="12"/>
        <v>#VALUE!</v>
      </c>
    </row>
    <row r="53" spans="1:38" ht="90">
      <c r="A53" s="8" t="s">
        <v>59</v>
      </c>
      <c r="B53" s="3">
        <v>15015</v>
      </c>
      <c r="C53" s="3">
        <v>13858</v>
      </c>
      <c r="D53" s="3" t="s">
        <v>16</v>
      </c>
      <c r="E53" s="3" t="s">
        <v>16</v>
      </c>
      <c r="F53" s="3">
        <v>15015</v>
      </c>
      <c r="G53" s="3">
        <v>13858</v>
      </c>
      <c r="H53" s="4" t="s">
        <v>16</v>
      </c>
      <c r="I53" s="4" t="s">
        <v>16</v>
      </c>
      <c r="J53" s="4" t="s">
        <v>16</v>
      </c>
      <c r="K53" s="4" t="s">
        <v>16</v>
      </c>
      <c r="L53" s="4" t="s">
        <v>16</v>
      </c>
      <c r="M53" s="4" t="s">
        <v>16</v>
      </c>
      <c r="O53" s="36">
        <v>15015</v>
      </c>
      <c r="P53" s="37">
        <v>13858</v>
      </c>
      <c r="Q53" s="37" t="s">
        <v>16</v>
      </c>
      <c r="R53" s="37" t="s">
        <v>16</v>
      </c>
      <c r="S53" s="37">
        <v>15015</v>
      </c>
      <c r="T53" s="37">
        <v>13858</v>
      </c>
      <c r="U53" s="32"/>
      <c r="V53" s="33"/>
      <c r="W53" s="33"/>
      <c r="X53" s="33"/>
      <c r="Y53" s="33"/>
      <c r="Z53" s="33"/>
      <c r="AA53" s="38">
        <f t="shared" si="1"/>
        <v>0</v>
      </c>
      <c r="AB53" s="38">
        <f t="shared" si="2"/>
        <v>0</v>
      </c>
      <c r="AC53" s="38" t="e">
        <f t="shared" si="3"/>
        <v>#VALUE!</v>
      </c>
      <c r="AD53" s="38" t="e">
        <f t="shared" si="4"/>
        <v>#VALUE!</v>
      </c>
      <c r="AE53" s="38">
        <f t="shared" si="5"/>
        <v>0</v>
      </c>
      <c r="AF53" s="38">
        <f t="shared" si="6"/>
        <v>0</v>
      </c>
      <c r="AG53" s="38" t="e">
        <f t="shared" si="7"/>
        <v>#VALUE!</v>
      </c>
      <c r="AH53" s="38" t="e">
        <f t="shared" si="8"/>
        <v>#VALUE!</v>
      </c>
      <c r="AI53" s="38" t="e">
        <f t="shared" si="9"/>
        <v>#VALUE!</v>
      </c>
      <c r="AJ53" s="38" t="e">
        <f t="shared" si="10"/>
        <v>#VALUE!</v>
      </c>
      <c r="AK53" s="38" t="e">
        <f t="shared" si="11"/>
        <v>#VALUE!</v>
      </c>
      <c r="AL53" s="38" t="e">
        <f t="shared" si="12"/>
        <v>#VALUE!</v>
      </c>
    </row>
    <row r="54" spans="1:38" s="12" customFormat="1" ht="64.5">
      <c r="A54" s="9" t="s">
        <v>60</v>
      </c>
      <c r="B54" s="10">
        <v>107369</v>
      </c>
      <c r="C54" s="10">
        <v>147702</v>
      </c>
      <c r="D54" s="10">
        <v>2261</v>
      </c>
      <c r="E54" s="10">
        <v>83054</v>
      </c>
      <c r="F54" s="10">
        <v>50989</v>
      </c>
      <c r="G54" s="10">
        <v>64648</v>
      </c>
      <c r="H54" s="11" t="s">
        <v>16</v>
      </c>
      <c r="I54" s="11" t="s">
        <v>16</v>
      </c>
      <c r="J54" s="11" t="s">
        <v>16</v>
      </c>
      <c r="K54" s="11" t="s">
        <v>16</v>
      </c>
      <c r="L54" s="11">
        <v>54119</v>
      </c>
      <c r="M54" s="11" t="s">
        <v>16</v>
      </c>
      <c r="O54" s="30">
        <v>107369</v>
      </c>
      <c r="P54" s="31">
        <v>147702</v>
      </c>
      <c r="Q54" s="31">
        <v>2261</v>
      </c>
      <c r="R54" s="31">
        <v>83054</v>
      </c>
      <c r="S54" s="31">
        <v>50989</v>
      </c>
      <c r="T54" s="31">
        <v>64648</v>
      </c>
      <c r="U54" s="30" t="s">
        <v>16</v>
      </c>
      <c r="V54" s="31" t="s">
        <v>16</v>
      </c>
      <c r="W54" s="31" t="s">
        <v>16</v>
      </c>
      <c r="X54" s="31" t="s">
        <v>16</v>
      </c>
      <c r="Y54" s="31">
        <v>54119</v>
      </c>
      <c r="Z54" s="31" t="s">
        <v>16</v>
      </c>
      <c r="AA54" s="38">
        <f t="shared" si="1"/>
        <v>0</v>
      </c>
      <c r="AB54" s="38">
        <f t="shared" si="2"/>
        <v>0</v>
      </c>
      <c r="AC54" s="38">
        <f t="shared" si="3"/>
        <v>0</v>
      </c>
      <c r="AD54" s="38">
        <f t="shared" si="4"/>
        <v>0</v>
      </c>
      <c r="AE54" s="38">
        <f t="shared" si="5"/>
        <v>0</v>
      </c>
      <c r="AF54" s="38">
        <f t="shared" si="6"/>
        <v>0</v>
      </c>
      <c r="AG54" s="38" t="e">
        <f t="shared" si="7"/>
        <v>#VALUE!</v>
      </c>
      <c r="AH54" s="38" t="e">
        <f t="shared" si="8"/>
        <v>#VALUE!</v>
      </c>
      <c r="AI54" s="38" t="e">
        <f t="shared" si="9"/>
        <v>#VALUE!</v>
      </c>
      <c r="AJ54" s="38" t="e">
        <f t="shared" si="10"/>
        <v>#VALUE!</v>
      </c>
      <c r="AK54" s="38">
        <f t="shared" si="11"/>
        <v>0</v>
      </c>
      <c r="AL54" s="38" t="e">
        <f t="shared" si="12"/>
        <v>#VALUE!</v>
      </c>
    </row>
    <row r="55" spans="1:38" ht="64.5">
      <c r="A55" s="8" t="s">
        <v>61</v>
      </c>
      <c r="B55" s="3">
        <v>107369</v>
      </c>
      <c r="C55" s="3">
        <v>147702</v>
      </c>
      <c r="D55" s="3">
        <v>2261</v>
      </c>
      <c r="E55" s="3">
        <v>83054</v>
      </c>
      <c r="F55" s="3">
        <v>50989</v>
      </c>
      <c r="G55" s="3">
        <v>64648</v>
      </c>
      <c r="H55" s="4" t="s">
        <v>16</v>
      </c>
      <c r="I55" s="4" t="s">
        <v>16</v>
      </c>
      <c r="J55" s="4" t="s">
        <v>16</v>
      </c>
      <c r="K55" s="4" t="s">
        <v>16</v>
      </c>
      <c r="L55" s="4">
        <v>54119</v>
      </c>
      <c r="M55" s="4" t="s">
        <v>16</v>
      </c>
      <c r="O55" s="32">
        <v>107369</v>
      </c>
      <c r="P55" s="33">
        <v>147702</v>
      </c>
      <c r="Q55" s="33">
        <v>2261</v>
      </c>
      <c r="R55" s="33">
        <v>83054</v>
      </c>
      <c r="S55" s="33">
        <v>50989</v>
      </c>
      <c r="T55" s="33">
        <v>64648</v>
      </c>
      <c r="U55" s="32" t="s">
        <v>16</v>
      </c>
      <c r="V55" s="33" t="s">
        <v>16</v>
      </c>
      <c r="W55" s="33" t="s">
        <v>16</v>
      </c>
      <c r="X55" s="33" t="s">
        <v>16</v>
      </c>
      <c r="Y55" s="33">
        <v>54119</v>
      </c>
      <c r="Z55" s="33" t="s">
        <v>16</v>
      </c>
      <c r="AA55" s="38">
        <f t="shared" si="1"/>
        <v>0</v>
      </c>
      <c r="AB55" s="38">
        <f t="shared" si="2"/>
        <v>0</v>
      </c>
      <c r="AC55" s="38">
        <f t="shared" si="3"/>
        <v>0</v>
      </c>
      <c r="AD55" s="38">
        <f t="shared" si="4"/>
        <v>0</v>
      </c>
      <c r="AE55" s="38">
        <f t="shared" si="5"/>
        <v>0</v>
      </c>
      <c r="AF55" s="38">
        <f t="shared" si="6"/>
        <v>0</v>
      </c>
      <c r="AG55" s="38" t="e">
        <f t="shared" si="7"/>
        <v>#VALUE!</v>
      </c>
      <c r="AH55" s="38" t="e">
        <f t="shared" si="8"/>
        <v>#VALUE!</v>
      </c>
      <c r="AI55" s="38" t="e">
        <f t="shared" si="9"/>
        <v>#VALUE!</v>
      </c>
      <c r="AJ55" s="38" t="e">
        <f t="shared" si="10"/>
        <v>#VALUE!</v>
      </c>
      <c r="AK55" s="38">
        <f t="shared" si="11"/>
        <v>0</v>
      </c>
      <c r="AL55" s="38" t="e">
        <f t="shared" si="12"/>
        <v>#VALUE!</v>
      </c>
    </row>
    <row r="56" spans="1:38" s="12" customFormat="1" ht="39">
      <c r="A56" s="9" t="s">
        <v>62</v>
      </c>
      <c r="B56" s="10">
        <v>99</v>
      </c>
      <c r="C56" s="10">
        <v>99</v>
      </c>
      <c r="D56" s="10" t="s">
        <v>16</v>
      </c>
      <c r="E56" s="10" t="s">
        <v>16</v>
      </c>
      <c r="F56" s="10">
        <v>99</v>
      </c>
      <c r="G56" s="10">
        <v>99</v>
      </c>
      <c r="H56" s="11" t="s">
        <v>16</v>
      </c>
      <c r="I56" s="11" t="s">
        <v>16</v>
      </c>
      <c r="J56" s="11" t="s">
        <v>16</v>
      </c>
      <c r="K56" s="11" t="s">
        <v>16</v>
      </c>
      <c r="L56" s="11" t="s">
        <v>16</v>
      </c>
      <c r="M56" s="11" t="s">
        <v>16</v>
      </c>
      <c r="O56" s="30">
        <v>99</v>
      </c>
      <c r="P56" s="31">
        <v>99</v>
      </c>
      <c r="Q56" s="31" t="s">
        <v>16</v>
      </c>
      <c r="R56" s="31" t="s">
        <v>16</v>
      </c>
      <c r="S56" s="31">
        <v>99</v>
      </c>
      <c r="T56" s="31">
        <v>99</v>
      </c>
      <c r="U56"/>
      <c r="V56"/>
      <c r="W56"/>
      <c r="X56"/>
      <c r="Y56"/>
      <c r="Z56"/>
      <c r="AA56" s="38">
        <f t="shared" si="1"/>
        <v>0</v>
      </c>
      <c r="AB56" s="38">
        <f t="shared" si="2"/>
        <v>0</v>
      </c>
      <c r="AC56" s="38" t="e">
        <f t="shared" si="3"/>
        <v>#VALUE!</v>
      </c>
      <c r="AD56" s="38" t="e">
        <f t="shared" si="4"/>
        <v>#VALUE!</v>
      </c>
      <c r="AE56" s="38">
        <f t="shared" si="5"/>
        <v>0</v>
      </c>
      <c r="AF56" s="38">
        <f t="shared" si="6"/>
        <v>0</v>
      </c>
      <c r="AG56" s="38" t="e">
        <f t="shared" si="7"/>
        <v>#VALUE!</v>
      </c>
      <c r="AH56" s="38" t="e">
        <f t="shared" si="8"/>
        <v>#VALUE!</v>
      </c>
      <c r="AI56" s="38" t="e">
        <f t="shared" si="9"/>
        <v>#VALUE!</v>
      </c>
      <c r="AJ56" s="38" t="e">
        <f t="shared" si="10"/>
        <v>#VALUE!</v>
      </c>
      <c r="AK56" s="38" t="e">
        <f t="shared" si="11"/>
        <v>#VALUE!</v>
      </c>
      <c r="AL56" s="38" t="e">
        <f t="shared" si="12"/>
        <v>#VALUE!</v>
      </c>
    </row>
    <row r="57" spans="1:38" ht="39">
      <c r="A57" s="8" t="s">
        <v>63</v>
      </c>
      <c r="B57" s="3">
        <v>99</v>
      </c>
      <c r="C57" s="3">
        <v>99</v>
      </c>
      <c r="D57" s="3" t="s">
        <v>16</v>
      </c>
      <c r="E57" s="3" t="s">
        <v>16</v>
      </c>
      <c r="F57" s="3">
        <v>99</v>
      </c>
      <c r="G57" s="3">
        <v>99</v>
      </c>
      <c r="H57" s="4" t="s">
        <v>16</v>
      </c>
      <c r="I57" s="4" t="s">
        <v>16</v>
      </c>
      <c r="J57" s="4" t="s">
        <v>16</v>
      </c>
      <c r="K57" s="4" t="s">
        <v>16</v>
      </c>
      <c r="L57" s="4" t="s">
        <v>16</v>
      </c>
      <c r="M57" s="4" t="s">
        <v>16</v>
      </c>
      <c r="O57" s="32">
        <v>99</v>
      </c>
      <c r="P57" s="33">
        <v>99</v>
      </c>
      <c r="Q57" s="33" t="s">
        <v>16</v>
      </c>
      <c r="R57" s="33" t="s">
        <v>16</v>
      </c>
      <c r="S57" s="33">
        <v>99</v>
      </c>
      <c r="T57" s="33">
        <v>99</v>
      </c>
      <c r="U57" s="12"/>
      <c r="V57" s="12"/>
      <c r="W57" s="12"/>
      <c r="X57" s="12"/>
      <c r="Y57" s="12"/>
      <c r="Z57" s="12"/>
      <c r="AA57" s="38">
        <f t="shared" si="1"/>
        <v>0</v>
      </c>
      <c r="AB57" s="38">
        <f t="shared" si="2"/>
        <v>0</v>
      </c>
      <c r="AC57" s="38" t="e">
        <f t="shared" si="3"/>
        <v>#VALUE!</v>
      </c>
      <c r="AD57" s="38" t="e">
        <f t="shared" si="4"/>
        <v>#VALUE!</v>
      </c>
      <c r="AE57" s="38">
        <f t="shared" si="5"/>
        <v>0</v>
      </c>
      <c r="AF57" s="38">
        <f t="shared" si="6"/>
        <v>0</v>
      </c>
      <c r="AG57" s="38" t="e">
        <f t="shared" si="7"/>
        <v>#VALUE!</v>
      </c>
      <c r="AH57" s="38" t="e">
        <f t="shared" si="8"/>
        <v>#VALUE!</v>
      </c>
      <c r="AI57" s="38" t="e">
        <f t="shared" si="9"/>
        <v>#VALUE!</v>
      </c>
      <c r="AJ57" s="38" t="e">
        <f t="shared" si="10"/>
        <v>#VALUE!</v>
      </c>
      <c r="AK57" s="38" t="e">
        <f t="shared" si="11"/>
        <v>#VALUE!</v>
      </c>
      <c r="AL57" s="38" t="e">
        <f t="shared" si="12"/>
        <v>#VALUE!</v>
      </c>
    </row>
    <row r="58" spans="1:38" s="12" customFormat="1" ht="26.25">
      <c r="A58" s="13" t="s">
        <v>64</v>
      </c>
      <c r="B58" s="14">
        <v>25557</v>
      </c>
      <c r="C58" s="14">
        <v>21102</v>
      </c>
      <c r="D58" s="14" t="s">
        <v>16</v>
      </c>
      <c r="E58" s="14" t="s">
        <v>16</v>
      </c>
      <c r="F58" s="14">
        <v>25557</v>
      </c>
      <c r="G58" s="14">
        <v>21102</v>
      </c>
      <c r="H58" s="15" t="s">
        <v>16</v>
      </c>
      <c r="I58" s="15" t="s">
        <v>16</v>
      </c>
      <c r="J58" s="15" t="s">
        <v>16</v>
      </c>
      <c r="K58" s="15" t="s">
        <v>16</v>
      </c>
      <c r="L58" s="15" t="s">
        <v>16</v>
      </c>
      <c r="M58" s="15" t="s">
        <v>16</v>
      </c>
      <c r="O58" s="30">
        <v>25557</v>
      </c>
      <c r="P58" s="31">
        <v>21102</v>
      </c>
      <c r="Q58" s="31" t="s">
        <v>16</v>
      </c>
      <c r="R58" s="31" t="s">
        <v>16</v>
      </c>
      <c r="S58" s="31">
        <v>25557</v>
      </c>
      <c r="T58" s="31">
        <v>21102</v>
      </c>
      <c r="U58"/>
      <c r="V58"/>
      <c r="W58"/>
      <c r="X58"/>
      <c r="Y58"/>
      <c r="Z58"/>
      <c r="AA58" s="38">
        <f t="shared" si="1"/>
        <v>0</v>
      </c>
      <c r="AB58" s="38">
        <f t="shared" si="2"/>
        <v>0</v>
      </c>
      <c r="AC58" s="38" t="e">
        <f t="shared" si="3"/>
        <v>#VALUE!</v>
      </c>
      <c r="AD58" s="38" t="e">
        <f t="shared" si="4"/>
        <v>#VALUE!</v>
      </c>
      <c r="AE58" s="38">
        <f t="shared" si="5"/>
        <v>0</v>
      </c>
      <c r="AF58" s="38">
        <f t="shared" si="6"/>
        <v>0</v>
      </c>
      <c r="AG58" s="38" t="e">
        <f t="shared" si="7"/>
        <v>#VALUE!</v>
      </c>
      <c r="AH58" s="38" t="e">
        <f t="shared" si="8"/>
        <v>#VALUE!</v>
      </c>
      <c r="AI58" s="38" t="e">
        <f t="shared" si="9"/>
        <v>#VALUE!</v>
      </c>
      <c r="AJ58" s="38" t="e">
        <f t="shared" si="10"/>
        <v>#VALUE!</v>
      </c>
      <c r="AK58" s="38" t="e">
        <f t="shared" si="11"/>
        <v>#VALUE!</v>
      </c>
      <c r="AL58" s="38" t="e">
        <f t="shared" si="12"/>
        <v>#VALUE!</v>
      </c>
    </row>
    <row r="59" spans="1:38" ht="39">
      <c r="A59" s="8" t="s">
        <v>65</v>
      </c>
      <c r="B59" s="3">
        <v>22705</v>
      </c>
      <c r="C59" s="3">
        <v>18518</v>
      </c>
      <c r="D59" s="3" t="s">
        <v>16</v>
      </c>
      <c r="E59" s="3" t="s">
        <v>16</v>
      </c>
      <c r="F59" s="3">
        <v>22705</v>
      </c>
      <c r="G59" s="3">
        <v>18518</v>
      </c>
      <c r="H59" s="4" t="s">
        <v>16</v>
      </c>
      <c r="I59" s="4" t="s">
        <v>16</v>
      </c>
      <c r="J59" s="4" t="s">
        <v>16</v>
      </c>
      <c r="K59" s="4" t="s">
        <v>16</v>
      </c>
      <c r="L59" s="4" t="s">
        <v>16</v>
      </c>
      <c r="M59" s="4" t="s">
        <v>16</v>
      </c>
      <c r="O59" s="32">
        <v>22705</v>
      </c>
      <c r="P59" s="33">
        <v>18518</v>
      </c>
      <c r="Q59" s="33" t="s">
        <v>16</v>
      </c>
      <c r="R59" s="33" t="s">
        <v>16</v>
      </c>
      <c r="S59" s="33">
        <v>22705</v>
      </c>
      <c r="T59" s="33">
        <v>18518</v>
      </c>
      <c r="U59" s="12"/>
      <c r="V59" s="12"/>
      <c r="W59" s="12"/>
      <c r="X59" s="12"/>
      <c r="Y59" s="12"/>
      <c r="Z59" s="12"/>
      <c r="AA59" s="38">
        <f t="shared" si="1"/>
        <v>0</v>
      </c>
      <c r="AB59" s="38">
        <f t="shared" si="2"/>
        <v>0</v>
      </c>
      <c r="AC59" s="38" t="e">
        <f t="shared" si="3"/>
        <v>#VALUE!</v>
      </c>
      <c r="AD59" s="38" t="e">
        <f t="shared" si="4"/>
        <v>#VALUE!</v>
      </c>
      <c r="AE59" s="38">
        <f t="shared" si="5"/>
        <v>0</v>
      </c>
      <c r="AF59" s="38">
        <f t="shared" si="6"/>
        <v>0</v>
      </c>
      <c r="AG59" s="38" t="e">
        <f t="shared" si="7"/>
        <v>#VALUE!</v>
      </c>
      <c r="AH59" s="38" t="e">
        <f t="shared" si="8"/>
        <v>#VALUE!</v>
      </c>
      <c r="AI59" s="38" t="e">
        <f t="shared" si="9"/>
        <v>#VALUE!</v>
      </c>
      <c r="AJ59" s="38" t="e">
        <f t="shared" si="10"/>
        <v>#VALUE!</v>
      </c>
      <c r="AK59" s="38" t="e">
        <f t="shared" si="11"/>
        <v>#VALUE!</v>
      </c>
      <c r="AL59" s="38" t="e">
        <f t="shared" si="12"/>
        <v>#VALUE!</v>
      </c>
    </row>
    <row r="60" spans="1:38" ht="26.25">
      <c r="A60" s="8" t="s">
        <v>66</v>
      </c>
      <c r="B60" s="3">
        <v>2852</v>
      </c>
      <c r="C60" s="3">
        <v>2584</v>
      </c>
      <c r="D60" s="3" t="s">
        <v>16</v>
      </c>
      <c r="E60" s="3" t="s">
        <v>16</v>
      </c>
      <c r="F60" s="3">
        <v>2852</v>
      </c>
      <c r="G60" s="3">
        <v>2584</v>
      </c>
      <c r="H60" s="4" t="s">
        <v>16</v>
      </c>
      <c r="I60" s="4" t="s">
        <v>16</v>
      </c>
      <c r="J60" s="4" t="s">
        <v>16</v>
      </c>
      <c r="K60" s="4" t="s">
        <v>16</v>
      </c>
      <c r="L60" s="4" t="s">
        <v>16</v>
      </c>
      <c r="M60" s="4" t="s">
        <v>16</v>
      </c>
      <c r="O60" s="32">
        <v>2852</v>
      </c>
      <c r="P60" s="33">
        <v>2584</v>
      </c>
      <c r="Q60" s="33" t="s">
        <v>16</v>
      </c>
      <c r="R60" s="33" t="s">
        <v>16</v>
      </c>
      <c r="S60" s="33">
        <v>2852</v>
      </c>
      <c r="T60" s="33">
        <v>2584</v>
      </c>
      <c r="AA60" s="38">
        <f t="shared" si="1"/>
        <v>0</v>
      </c>
      <c r="AB60" s="38">
        <f t="shared" si="2"/>
        <v>0</v>
      </c>
      <c r="AC60" s="38" t="e">
        <f t="shared" si="3"/>
        <v>#VALUE!</v>
      </c>
      <c r="AD60" s="38" t="e">
        <f t="shared" si="4"/>
        <v>#VALUE!</v>
      </c>
      <c r="AE60" s="38">
        <f t="shared" si="5"/>
        <v>0</v>
      </c>
      <c r="AF60" s="38">
        <f t="shared" si="6"/>
        <v>0</v>
      </c>
      <c r="AG60" s="38" t="e">
        <f t="shared" si="7"/>
        <v>#VALUE!</v>
      </c>
      <c r="AH60" s="38" t="e">
        <f t="shared" si="8"/>
        <v>#VALUE!</v>
      </c>
      <c r="AI60" s="38" t="e">
        <f t="shared" si="9"/>
        <v>#VALUE!</v>
      </c>
      <c r="AJ60" s="38" t="e">
        <f t="shared" si="10"/>
        <v>#VALUE!</v>
      </c>
      <c r="AK60" s="38" t="e">
        <f t="shared" si="11"/>
        <v>#VALUE!</v>
      </c>
      <c r="AL60" s="38" t="e">
        <f t="shared" si="12"/>
        <v>#VALUE!</v>
      </c>
    </row>
    <row r="61" spans="1:38">
      <c r="U61" s="12"/>
      <c r="V61" s="12"/>
      <c r="W61" s="12"/>
      <c r="X61" s="12"/>
      <c r="Y61" s="12"/>
      <c r="Z61" s="12"/>
    </row>
  </sheetData>
  <mergeCells count="19">
    <mergeCell ref="J1:M1"/>
    <mergeCell ref="H6:I6"/>
    <mergeCell ref="J6:K6"/>
    <mergeCell ref="B5:C6"/>
    <mergeCell ref="L6:M6"/>
    <mergeCell ref="F6:G6"/>
    <mergeCell ref="D6:E6"/>
    <mergeCell ref="J2:M2"/>
    <mergeCell ref="J3:M3"/>
    <mergeCell ref="J5:M5"/>
    <mergeCell ref="B1:E1"/>
    <mergeCell ref="F1:I1"/>
    <mergeCell ref="F2:I2"/>
    <mergeCell ref="F3:I3"/>
    <mergeCell ref="A5:A7"/>
    <mergeCell ref="D5:E5"/>
    <mergeCell ref="F5:I5"/>
    <mergeCell ref="B2:E2"/>
    <mergeCell ref="B3:E3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3 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T3</vt:lpstr>
      <vt:lpstr>'T3'!ExternalData_1</vt:lpstr>
      <vt:lpstr>'T3'!Заголовки_для_печати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2017-11-27T08:21:38Z</cp:lastPrinted>
  <dcterms:created xsi:type="dcterms:W3CDTF">2006-02-28T09:53:56Z</dcterms:created>
  <dcterms:modified xsi:type="dcterms:W3CDTF">2025-09-01T22:18:18Z</dcterms:modified>
</cp:coreProperties>
</file>