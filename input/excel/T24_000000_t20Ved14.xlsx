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/>
  </bookViews>
  <sheets>
    <sheet name="Лист1" sheetId="1" r:id="rId1"/>
  </sheets>
  <definedNames>
    <definedName name="ExternalData_1" localSheetId="0">Лист1!$A$8:$I$53</definedName>
    <definedName name="_xlnm.Print_Titles" localSheetId="0">Лист1!$A:$A,Лист1!$4:$7</definedName>
  </definedNames>
  <calcPr calcId="125725"/>
</workbook>
</file>

<file path=xl/calcChain.xml><?xml version="1.0" encoding="utf-8"?>
<calcChain xmlns="http://schemas.openxmlformats.org/spreadsheetml/2006/main">
  <c r="U10" i="1"/>
  <c r="V10"/>
  <c r="W10"/>
  <c r="X10"/>
  <c r="Y10"/>
  <c r="Z10"/>
  <c r="AA10"/>
  <c r="AB10"/>
  <c r="U11"/>
  <c r="V11"/>
  <c r="W11"/>
  <c r="X11"/>
  <c r="Y11"/>
  <c r="Z11"/>
  <c r="AA11"/>
  <c r="AB11"/>
  <c r="U12"/>
  <c r="V12"/>
  <c r="W12"/>
  <c r="X12"/>
  <c r="Y12"/>
  <c r="Z12"/>
  <c r="AA12"/>
  <c r="AB12"/>
  <c r="U13"/>
  <c r="V13"/>
  <c r="W13"/>
  <c r="X13"/>
  <c r="Y13"/>
  <c r="Z13"/>
  <c r="AA13"/>
  <c r="AB13"/>
  <c r="U14"/>
  <c r="V14"/>
  <c r="W14"/>
  <c r="X14"/>
  <c r="Y14"/>
  <c r="Z14"/>
  <c r="AA14"/>
  <c r="AB14"/>
  <c r="U15"/>
  <c r="V15"/>
  <c r="W15"/>
  <c r="X15"/>
  <c r="Y15"/>
  <c r="Z15"/>
  <c r="AA15"/>
  <c r="AB15"/>
  <c r="U16"/>
  <c r="V16"/>
  <c r="W16"/>
  <c r="X16"/>
  <c r="Y16"/>
  <c r="Z16"/>
  <c r="AA16"/>
  <c r="AB16"/>
  <c r="U17"/>
  <c r="V17"/>
  <c r="W17"/>
  <c r="X17"/>
  <c r="Y17"/>
  <c r="Z17"/>
  <c r="AA17"/>
  <c r="AB17"/>
  <c r="U18"/>
  <c r="V18"/>
  <c r="W18"/>
  <c r="X18"/>
  <c r="Y18"/>
  <c r="Z18"/>
  <c r="AA18"/>
  <c r="AB18"/>
  <c r="U19"/>
  <c r="V19"/>
  <c r="W19"/>
  <c r="X19"/>
  <c r="Y19"/>
  <c r="Z19"/>
  <c r="AA19"/>
  <c r="AB19"/>
  <c r="U20"/>
  <c r="V20"/>
  <c r="W20"/>
  <c r="X20"/>
  <c r="Y20"/>
  <c r="Z20"/>
  <c r="AA20"/>
  <c r="AB20"/>
  <c r="U21"/>
  <c r="V21"/>
  <c r="W21"/>
  <c r="X21"/>
  <c r="Y21"/>
  <c r="Z21"/>
  <c r="AA21"/>
  <c r="AB21"/>
  <c r="U22"/>
  <c r="V22"/>
  <c r="W22"/>
  <c r="X22"/>
  <c r="Y22"/>
  <c r="Z22"/>
  <c r="AA22"/>
  <c r="AB22"/>
  <c r="U23"/>
  <c r="V23"/>
  <c r="W23"/>
  <c r="X23"/>
  <c r="Y23"/>
  <c r="Z23"/>
  <c r="AA23"/>
  <c r="AB23"/>
  <c r="U24"/>
  <c r="V24"/>
  <c r="W24"/>
  <c r="X24"/>
  <c r="Y24"/>
  <c r="Z24"/>
  <c r="AA24"/>
  <c r="AB24"/>
  <c r="U25"/>
  <c r="V25"/>
  <c r="W25"/>
  <c r="X25"/>
  <c r="Y25"/>
  <c r="Z25"/>
  <c r="AA25"/>
  <c r="AB25"/>
  <c r="U26"/>
  <c r="V26"/>
  <c r="W26"/>
  <c r="X26"/>
  <c r="Y26"/>
  <c r="Z26"/>
  <c r="AA26"/>
  <c r="AB26"/>
  <c r="U27"/>
  <c r="V27"/>
  <c r="W27"/>
  <c r="X27"/>
  <c r="Y27"/>
  <c r="Z27"/>
  <c r="AA27"/>
  <c r="AB27"/>
  <c r="U28"/>
  <c r="V28"/>
  <c r="W28"/>
  <c r="X28"/>
  <c r="Y28"/>
  <c r="Z28"/>
  <c r="AA28"/>
  <c r="AB28"/>
  <c r="U29"/>
  <c r="V29"/>
  <c r="W29"/>
  <c r="X29"/>
  <c r="Y29"/>
  <c r="Z29"/>
  <c r="AA29"/>
  <c r="AB29"/>
  <c r="U30"/>
  <c r="V30"/>
  <c r="W30"/>
  <c r="X30"/>
  <c r="Y30"/>
  <c r="Z30"/>
  <c r="AA30"/>
  <c r="AB30"/>
  <c r="U31"/>
  <c r="V31"/>
  <c r="W31"/>
  <c r="X31"/>
  <c r="Y31"/>
  <c r="Z31"/>
  <c r="AA31"/>
  <c r="AB31"/>
  <c r="U32"/>
  <c r="V32"/>
  <c r="W32"/>
  <c r="X32"/>
  <c r="Y32"/>
  <c r="Z32"/>
  <c r="AA32"/>
  <c r="AB32"/>
  <c r="U33"/>
  <c r="V33"/>
  <c r="W33"/>
  <c r="X33"/>
  <c r="Y33"/>
  <c r="Z33"/>
  <c r="AA33"/>
  <c r="AB33"/>
  <c r="U34"/>
  <c r="V34"/>
  <c r="W34"/>
  <c r="X34"/>
  <c r="Y34"/>
  <c r="Z34"/>
  <c r="AA34"/>
  <c r="AB34"/>
  <c r="U35"/>
  <c r="V35"/>
  <c r="W35"/>
  <c r="X35"/>
  <c r="Y35"/>
  <c r="Z35"/>
  <c r="AA35"/>
  <c r="AB35"/>
  <c r="U36"/>
  <c r="V36"/>
  <c r="W36"/>
  <c r="X36"/>
  <c r="Y36"/>
  <c r="Z36"/>
  <c r="AA36"/>
  <c r="AB36"/>
  <c r="U37"/>
  <c r="V37"/>
  <c r="W37"/>
  <c r="X37"/>
  <c r="Y37"/>
  <c r="Z37"/>
  <c r="AA37"/>
  <c r="AB37"/>
  <c r="U38"/>
  <c r="V38"/>
  <c r="W38"/>
  <c r="X38"/>
  <c r="Y38"/>
  <c r="Z38"/>
  <c r="AA38"/>
  <c r="AB38"/>
  <c r="U39"/>
  <c r="V39"/>
  <c r="W39"/>
  <c r="X39"/>
  <c r="Y39"/>
  <c r="Z39"/>
  <c r="AA39"/>
  <c r="AB39"/>
  <c r="U40"/>
  <c r="V40"/>
  <c r="W40"/>
  <c r="X40"/>
  <c r="Y40"/>
  <c r="Z40"/>
  <c r="AA40"/>
  <c r="AB40"/>
  <c r="U41"/>
  <c r="V41"/>
  <c r="W41"/>
  <c r="X41"/>
  <c r="Y41"/>
  <c r="Z41"/>
  <c r="AA41"/>
  <c r="AB41"/>
  <c r="U42"/>
  <c r="V42"/>
  <c r="W42"/>
  <c r="X42"/>
  <c r="Y42"/>
  <c r="Z42"/>
  <c r="AA42"/>
  <c r="AB42"/>
  <c r="U43"/>
  <c r="V43"/>
  <c r="W43"/>
  <c r="X43"/>
  <c r="Y43"/>
  <c r="Z43"/>
  <c r="AA43"/>
  <c r="AB43"/>
  <c r="U44"/>
  <c r="V44"/>
  <c r="W44"/>
  <c r="X44"/>
  <c r="Y44"/>
  <c r="Z44"/>
  <c r="AA44"/>
  <c r="AB44"/>
  <c r="U45"/>
  <c r="V45"/>
  <c r="W45"/>
  <c r="X45"/>
  <c r="Y45"/>
  <c r="Z45"/>
  <c r="AA45"/>
  <c r="AB45"/>
  <c r="U46"/>
  <c r="V46"/>
  <c r="W46"/>
  <c r="X46"/>
  <c r="Y46"/>
  <c r="Z46"/>
  <c r="AA46"/>
  <c r="AB46"/>
  <c r="U47"/>
  <c r="V47"/>
  <c r="W47"/>
  <c r="X47"/>
  <c r="Y47"/>
  <c r="Z47"/>
  <c r="AA47"/>
  <c r="AB47"/>
  <c r="U48"/>
  <c r="V48"/>
  <c r="W48"/>
  <c r="X48"/>
  <c r="Y48"/>
  <c r="Z48"/>
  <c r="AA48"/>
  <c r="AB48"/>
  <c r="U49"/>
  <c r="V49"/>
  <c r="W49"/>
  <c r="X49"/>
  <c r="Y49"/>
  <c r="Z49"/>
  <c r="AA49"/>
  <c r="AB49"/>
  <c r="U50"/>
  <c r="V50"/>
  <c r="W50"/>
  <c r="X50"/>
  <c r="Y50"/>
  <c r="Z50"/>
  <c r="AA50"/>
  <c r="AB50"/>
  <c r="U51"/>
  <c r="V51"/>
  <c r="W51"/>
  <c r="X51"/>
  <c r="Y51"/>
  <c r="Z51"/>
  <c r="AA51"/>
  <c r="AB51"/>
  <c r="U52"/>
  <c r="V52"/>
  <c r="W52"/>
  <c r="X52"/>
  <c r="Y52"/>
  <c r="Z52"/>
  <c r="AA52"/>
  <c r="AB52"/>
  <c r="U53"/>
  <c r="V53"/>
  <c r="W53"/>
  <c r="X53"/>
  <c r="Y53"/>
  <c r="Z53"/>
  <c r="AA53"/>
  <c r="AB53"/>
  <c r="V9"/>
  <c r="W9"/>
  <c r="X9"/>
  <c r="Y9"/>
  <c r="Z9"/>
  <c r="AA9"/>
  <c r="AB9"/>
  <c r="U9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0"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<sst xmlns="http://schemas.openxmlformats.org/spreadsheetml/2006/main" count="338" uniqueCount="61">
  <si>
    <t>Займы и кредиты</t>
  </si>
  <si>
    <t>тыс.руб.</t>
  </si>
  <si>
    <t>Б</t>
  </si>
  <si>
    <t>Наименование</t>
  </si>
  <si>
    <t>Отложенные налоговые обязательства</t>
  </si>
  <si>
    <t>Прочие долгосрочные обязательства</t>
  </si>
  <si>
    <t>на конец отчетного года</t>
  </si>
  <si>
    <t>Оценочные обязательства</t>
  </si>
  <si>
    <t>на конец преды-дущего года</t>
  </si>
  <si>
    <t>7</t>
  </si>
  <si>
    <t>8</t>
  </si>
  <si>
    <t>Продолжение</t>
  </si>
  <si>
    <t>Долгосрочные обязательства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</si>
  <si>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</si>
  <si>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</si>
  <si>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</si>
  <si>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</si>
  <si>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-</t>
  </si>
  <si>
    <t>Растениеводство и животноводство, охота и предоставление соответствующих услуг в этих областях</t>
  </si>
  <si>
    <t>Рыболовство и рыбоводство</t>
  </si>
  <si>
    <t>ДОБЫЧА ПОЛЕЗНЫХ ИСКОПАЕМЫХ</t>
  </si>
  <si>
    <t>Добыча металлических руд</t>
  </si>
  <si>
    <t>ОБРАБАТЫВАЮЩИЕ ПРОИЗВОДСТВА</t>
  </si>
  <si>
    <t>Производство пищевых продуктов</t>
  </si>
  <si>
    <t>Производство напитков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</si>
  <si>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</si>
  <si>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</si>
  <si>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</si>
  <si>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</si>
  <si>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Забор, очистка и распределение воды</t>
  </si>
  <si>
    <t>Сбор, обработка и утилизация отходов; обработка вторичного сырья</t>
  </si>
  <si>
    <t>СТРОИТЕЛЬСТВО</t>
  </si>
  <si>
    <t>Строительство зданий</t>
  </si>
  <si>
    <t>Строительство инженерных сооружений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</si>
  <si>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</si>
  <si>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</si>
  <si>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Торговля оптовая, кроме оптовой торговли автотранспортными средствами и мотоциклами</t>
  </si>
  <si>
    <t>Торговля розничная, кроме торговли автотранспортными средствами и мотоциклами</t>
  </si>
  <si>
    <t>ТРАНСПОРТИРОВКА И ХРАНЕНИЕ</t>
  </si>
  <si>
    <t>Деятельность сухопутного и трубопроводного транспорта</t>
  </si>
  <si>
    <t>Деятельность водного транспорта</t>
  </si>
  <si>
    <t>Деятельность воздушного и космического транспорта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</si>
  <si>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</si>
  <si>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</si>
  <si>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Деятельность по предоставлению мест для временного проживания</t>
  </si>
  <si>
    <t>ДЕЯТЕЛЬНОСТЬ ФИНАНСОВАЯ И СТРАХОВАЯ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</si>
  <si>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</si>
  <si>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</si>
  <si>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Операции с недвижимым имуществом</t>
  </si>
  <si>
    <t>ДЕЯТЕЛЬНОСТЬ ПРОФЕССИОНАЛЬНАЯ, НАУЧНАЯ И ТЕХНИЧЕСКАЯ</t>
  </si>
  <si>
    <t>Деятельность головных офисов; консультирование по вопросам управления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</si>
  <si>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</si>
  <si>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</si>
  <si>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</si>
  <si>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Аренда и лизинг</t>
  </si>
  <si>
    <t>Деятельность туристических агентств и прочих организаций, предоставляющих услуги в сфере туризма</t>
  </si>
  <si>
    <t>Деятельность по обслуживанию зданий и территорий</t>
  </si>
  <si>
    <t>ГОСУДАРСТВЕННОЕ УПРАВЛЕНИЕ И ОБЕСПЕЧЕНИЕ ВОЕННОЙ БЕЗОПАСНОСТИ; СОЦИАЛЬНОЕ ОБЕСПЕЧЕНИЕ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</si>
  <si>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</si>
  <si>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ПРЕДОСТАВЛЕНИЕ ПРОЧИХ ВИДОВ УСЛУГ</t>
  </si>
  <si>
    <t>Деятельность общественных и прочих некоммерческих организаций</t>
  </si>
</sst>
</file>

<file path=xl/styles.xml><?xml version="1.0" encoding="utf-8"?>
<styleSheet xmlns="http://schemas.openxmlformats.org/spreadsheetml/2006/main">
  <fonts count="1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0" fontId="7" fillId="0" borderId="0" xfId="0" applyFont="1"/>
    <xf numFmtId="49" fontId="8" fillId="0" borderId="0" xfId="0" applyNumberFormat="1" applyFont="1" applyAlignment="1">
      <alignment horizontal="left" wrapText="1"/>
    </xf>
    <xf numFmtId="1" fontId="8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1" fontId="7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3"/>
  <sheetViews>
    <sheetView tabSelected="1" zoomScaleNormal="100" workbookViewId="0">
      <pane xSplit="1" ySplit="7" topLeftCell="P8" activePane="bottomRight" state="frozen"/>
      <selection pane="topRight" activeCell="C1" sqref="C1"/>
      <selection pane="bottomLeft" activeCell="A8" sqref="A8"/>
      <selection pane="bottomRight" activeCell="U9" sqref="U9:AB53"/>
    </sheetView>
  </sheetViews>
  <sheetFormatPr defaultColWidth="8.85546875" defaultRowHeight="12.75"/>
  <cols>
    <col min="1" max="1" width="48.85546875" style="4" customWidth="1"/>
    <col min="2" max="9" width="17.28515625" style="5" customWidth="1"/>
    <col min="10" max="16384" width="8.85546875" style="1"/>
  </cols>
  <sheetData>
    <row r="1" spans="1:28" s="2" customFormat="1" ht="19.899999999999999" customHeight="1">
      <c r="B1" s="17" t="s">
        <v>12</v>
      </c>
      <c r="C1" s="18"/>
      <c r="D1" s="18"/>
      <c r="E1" s="18"/>
      <c r="F1" s="17" t="s">
        <v>12</v>
      </c>
      <c r="G1" s="18"/>
      <c r="H1" s="18"/>
      <c r="I1" s="18"/>
    </row>
    <row r="2" spans="1:28" s="2" customFormat="1" ht="17.45" customHeight="1">
      <c r="A2" s="3"/>
      <c r="B2" s="19" t="s">
        <v>14</v>
      </c>
      <c r="C2" s="18"/>
      <c r="D2" s="18"/>
      <c r="E2" s="18"/>
      <c r="F2" s="19" t="s">
        <v>14</v>
      </c>
      <c r="G2" s="18"/>
      <c r="H2" s="18"/>
      <c r="I2" s="18"/>
    </row>
    <row r="3" spans="1:28" s="2" customFormat="1" ht="17.45" customHeight="1">
      <c r="A3" s="3"/>
      <c r="B3" s="19" t="s">
        <v>13</v>
      </c>
      <c r="C3" s="18"/>
      <c r="D3" s="18"/>
      <c r="E3" s="18"/>
      <c r="F3" s="19" t="s">
        <v>13</v>
      </c>
      <c r="G3" s="18"/>
      <c r="H3" s="18"/>
      <c r="I3" s="18"/>
    </row>
    <row r="4" spans="1:28" s="2" customFormat="1">
      <c r="A4" s="3"/>
      <c r="B4" s="3"/>
      <c r="C4" s="3"/>
      <c r="D4" s="3"/>
      <c r="E4" s="6" t="s">
        <v>1</v>
      </c>
      <c r="F4" s="3"/>
      <c r="H4" s="3"/>
      <c r="I4" s="6" t="s">
        <v>11</v>
      </c>
    </row>
    <row r="5" spans="1:28" s="2" customFormat="1" ht="16.149999999999999" customHeight="1">
      <c r="A5" s="15" t="s">
        <v>3</v>
      </c>
      <c r="B5" s="15" t="s">
        <v>0</v>
      </c>
      <c r="C5" s="16"/>
      <c r="D5" s="15" t="s">
        <v>4</v>
      </c>
      <c r="E5" s="16"/>
      <c r="F5" s="15" t="s">
        <v>7</v>
      </c>
      <c r="G5" s="16"/>
      <c r="H5" s="15" t="s">
        <v>5</v>
      </c>
      <c r="I5" s="16"/>
    </row>
    <row r="6" spans="1:28" s="2" customFormat="1" ht="28.9" customHeight="1">
      <c r="A6" s="16"/>
      <c r="B6" s="9" t="s">
        <v>8</v>
      </c>
      <c r="C6" s="9" t="s">
        <v>6</v>
      </c>
      <c r="D6" s="9" t="s">
        <v>8</v>
      </c>
      <c r="E6" s="9" t="s">
        <v>6</v>
      </c>
      <c r="F6" s="9" t="s">
        <v>8</v>
      </c>
      <c r="G6" s="9" t="s">
        <v>6</v>
      </c>
      <c r="H6" s="9" t="s">
        <v>8</v>
      </c>
      <c r="I6" s="9" t="s">
        <v>6</v>
      </c>
    </row>
    <row r="7" spans="1:28" s="8" customFormat="1" ht="11.25">
      <c r="A7" s="7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 t="s">
        <v>9</v>
      </c>
      <c r="I7" s="7" t="s">
        <v>10</v>
      </c>
    </row>
    <row r="8" spans="1:28" s="12" customFormat="1" ht="13.5" thickBot="1">
      <c r="A8" s="10"/>
      <c r="B8" s="11"/>
      <c r="C8" s="11"/>
      <c r="D8" s="11"/>
      <c r="E8" s="11"/>
      <c r="F8" s="11"/>
      <c r="G8" s="11"/>
      <c r="H8" s="11"/>
      <c r="I8" s="11"/>
    </row>
    <row r="9" spans="1:28" s="12" customFormat="1" ht="26.25">
      <c r="A9" s="10" t="s">
        <v>15</v>
      </c>
      <c r="B9" s="11">
        <v>251385152</v>
      </c>
      <c r="C9" s="11">
        <v>409118493</v>
      </c>
      <c r="D9" s="11">
        <v>11119363</v>
      </c>
      <c r="E9" s="11">
        <v>23501373</v>
      </c>
      <c r="F9" s="11">
        <v>3162264</v>
      </c>
      <c r="G9" s="11">
        <v>2893853</v>
      </c>
      <c r="H9" s="11">
        <v>26386300</v>
      </c>
      <c r="I9" s="11">
        <v>25923441</v>
      </c>
      <c r="L9" s="20">
        <v>251385152</v>
      </c>
      <c r="M9" s="21">
        <v>409118493</v>
      </c>
      <c r="N9" s="21">
        <v>11119363</v>
      </c>
      <c r="O9" s="21">
        <v>23501373</v>
      </c>
      <c r="P9" s="21">
        <v>3162264</v>
      </c>
      <c r="Q9" s="21">
        <v>2893853</v>
      </c>
      <c r="R9" s="21">
        <v>26386300</v>
      </c>
      <c r="S9" s="21">
        <v>25923441</v>
      </c>
      <c r="U9" s="30">
        <f>B9-L9</f>
        <v>0</v>
      </c>
      <c r="V9" s="30">
        <f t="shared" ref="V9:AB9" si="0">C9-M9</f>
        <v>0</v>
      </c>
      <c r="W9" s="30">
        <f t="shared" si="0"/>
        <v>0</v>
      </c>
      <c r="X9" s="30">
        <f t="shared" si="0"/>
        <v>0</v>
      </c>
      <c r="Y9" s="30">
        <f t="shared" si="0"/>
        <v>0</v>
      </c>
      <c r="Z9" s="30">
        <f t="shared" si="0"/>
        <v>0</v>
      </c>
      <c r="AA9" s="30">
        <f t="shared" si="0"/>
        <v>0</v>
      </c>
      <c r="AB9" s="30">
        <f t="shared" si="0"/>
        <v>0</v>
      </c>
    </row>
    <row r="10" spans="1:28" s="12" customFormat="1" ht="26.25">
      <c r="A10" s="10" t="s">
        <v>16</v>
      </c>
      <c r="B10" s="11">
        <v>158178772</v>
      </c>
      <c r="C10" s="11">
        <v>150077911</v>
      </c>
      <c r="D10" s="11">
        <v>2985460</v>
      </c>
      <c r="E10" s="11">
        <v>3798434</v>
      </c>
      <c r="F10" s="11" t="s">
        <v>17</v>
      </c>
      <c r="G10" s="11" t="s">
        <v>17</v>
      </c>
      <c r="H10" s="11">
        <v>6669519</v>
      </c>
      <c r="I10" s="11">
        <v>6321436</v>
      </c>
      <c r="L10" s="22">
        <v>158178772</v>
      </c>
      <c r="M10" s="23">
        <v>150077911</v>
      </c>
      <c r="N10" s="23">
        <v>2985460</v>
      </c>
      <c r="O10" s="23">
        <v>3798434</v>
      </c>
      <c r="P10" s="23" t="s">
        <v>17</v>
      </c>
      <c r="Q10" s="23" t="s">
        <v>17</v>
      </c>
      <c r="R10" s="23">
        <v>6669519</v>
      </c>
      <c r="S10" s="23">
        <v>6321436</v>
      </c>
      <c r="U10" s="30">
        <f t="shared" ref="U10:U53" si="1">B10-L10</f>
        <v>0</v>
      </c>
      <c r="V10" s="30">
        <f t="shared" ref="V10:V53" si="2">C10-M10</f>
        <v>0</v>
      </c>
      <c r="W10" s="30">
        <f t="shared" ref="W10:W53" si="3">D10-N10</f>
        <v>0</v>
      </c>
      <c r="X10" s="30">
        <f t="shared" ref="X10:X53" si="4">E10-O10</f>
        <v>0</v>
      </c>
      <c r="Y10" s="30" t="e">
        <f t="shared" ref="Y10:Y53" si="5">F10-P10</f>
        <v>#VALUE!</v>
      </c>
      <c r="Z10" s="30" t="e">
        <f t="shared" ref="Z10:Z53" si="6">G10-Q10</f>
        <v>#VALUE!</v>
      </c>
      <c r="AA10" s="30">
        <f t="shared" ref="AA10:AA53" si="7">H10-R10</f>
        <v>0</v>
      </c>
      <c r="AB10" s="30">
        <f t="shared" ref="AB10:AB53" si="8">I10-S10</f>
        <v>0</v>
      </c>
    </row>
    <row r="11" spans="1:28" ht="26.25">
      <c r="A11" s="4" t="s">
        <v>18</v>
      </c>
      <c r="B11" s="5">
        <v>3411019</v>
      </c>
      <c r="C11" s="5">
        <v>4259202</v>
      </c>
      <c r="D11" s="5">
        <v>3152</v>
      </c>
      <c r="E11" s="5">
        <v>4474</v>
      </c>
      <c r="F11" s="5" t="s">
        <v>17</v>
      </c>
      <c r="G11" s="5" t="s">
        <v>17</v>
      </c>
      <c r="H11" s="5">
        <v>205953</v>
      </c>
      <c r="I11" s="5">
        <v>252372</v>
      </c>
      <c r="L11" s="24">
        <v>3411019</v>
      </c>
      <c r="M11" s="25">
        <v>4259202</v>
      </c>
      <c r="N11" s="25">
        <v>3152</v>
      </c>
      <c r="O11" s="25">
        <v>4474</v>
      </c>
      <c r="P11" s="25" t="s">
        <v>17</v>
      </c>
      <c r="Q11" s="25" t="s">
        <v>17</v>
      </c>
      <c r="R11" s="25">
        <v>205953</v>
      </c>
      <c r="S11" s="25">
        <v>252372</v>
      </c>
      <c r="U11" s="30">
        <f t="shared" si="1"/>
        <v>0</v>
      </c>
      <c r="V11" s="30">
        <f t="shared" si="2"/>
        <v>0</v>
      </c>
      <c r="W11" s="30">
        <f t="shared" si="3"/>
        <v>0</v>
      </c>
      <c r="X11" s="30">
        <f t="shared" si="4"/>
        <v>0</v>
      </c>
      <c r="Y11" s="30" t="e">
        <f t="shared" si="5"/>
        <v>#VALUE!</v>
      </c>
      <c r="Z11" s="30" t="e">
        <f t="shared" si="6"/>
        <v>#VALUE!</v>
      </c>
      <c r="AA11" s="30">
        <f t="shared" si="7"/>
        <v>0</v>
      </c>
      <c r="AB11" s="30">
        <f t="shared" si="8"/>
        <v>0</v>
      </c>
    </row>
    <row r="12" spans="1:28" ht="15.75">
      <c r="A12" s="4" t="s">
        <v>19</v>
      </c>
      <c r="B12" s="5">
        <v>154767753</v>
      </c>
      <c r="C12" s="5">
        <v>145818709</v>
      </c>
      <c r="D12" s="5">
        <v>2982308</v>
      </c>
      <c r="E12" s="5">
        <v>3793960</v>
      </c>
      <c r="F12" s="5" t="s">
        <v>17</v>
      </c>
      <c r="G12" s="5" t="s">
        <v>17</v>
      </c>
      <c r="H12" s="5">
        <v>6463566</v>
      </c>
      <c r="I12" s="5">
        <v>6069064</v>
      </c>
      <c r="L12" s="24">
        <v>154767753</v>
      </c>
      <c r="M12" s="25">
        <v>145818709</v>
      </c>
      <c r="N12" s="25">
        <v>2982308</v>
      </c>
      <c r="O12" s="25">
        <v>3793960</v>
      </c>
      <c r="P12" s="25" t="s">
        <v>17</v>
      </c>
      <c r="Q12" s="25" t="s">
        <v>17</v>
      </c>
      <c r="R12" s="25">
        <v>6463566</v>
      </c>
      <c r="S12" s="25">
        <v>6069064</v>
      </c>
      <c r="U12" s="30">
        <f t="shared" si="1"/>
        <v>0</v>
      </c>
      <c r="V12" s="30">
        <f t="shared" si="2"/>
        <v>0</v>
      </c>
      <c r="W12" s="30">
        <f t="shared" si="3"/>
        <v>0</v>
      </c>
      <c r="X12" s="30">
        <f t="shared" si="4"/>
        <v>0</v>
      </c>
      <c r="Y12" s="30" t="e">
        <f t="shared" si="5"/>
        <v>#VALUE!</v>
      </c>
      <c r="Z12" s="30" t="e">
        <f t="shared" si="6"/>
        <v>#VALUE!</v>
      </c>
      <c r="AA12" s="30">
        <f t="shared" si="7"/>
        <v>0</v>
      </c>
      <c r="AB12" s="30">
        <f t="shared" si="8"/>
        <v>0</v>
      </c>
    </row>
    <row r="13" spans="1:28" s="12" customFormat="1" ht="15.75">
      <c r="A13" s="10" t="s">
        <v>20</v>
      </c>
      <c r="B13" s="11">
        <v>46429324</v>
      </c>
      <c r="C13" s="11">
        <v>25027936</v>
      </c>
      <c r="D13" s="11">
        <v>3915823</v>
      </c>
      <c r="E13" s="11">
        <v>7570516</v>
      </c>
      <c r="F13" s="11">
        <v>3089151</v>
      </c>
      <c r="G13" s="11">
        <v>2815864</v>
      </c>
      <c r="H13" s="11">
        <v>795992</v>
      </c>
      <c r="I13" s="11">
        <v>2281991</v>
      </c>
      <c r="L13" s="22">
        <v>46429324</v>
      </c>
      <c r="M13" s="23">
        <v>25027936</v>
      </c>
      <c r="N13" s="23">
        <v>3915823</v>
      </c>
      <c r="O13" s="23">
        <v>7570516</v>
      </c>
      <c r="P13" s="23">
        <v>3089151</v>
      </c>
      <c r="Q13" s="23">
        <v>2815864</v>
      </c>
      <c r="R13" s="23">
        <v>795992</v>
      </c>
      <c r="S13" s="23">
        <v>2281991</v>
      </c>
      <c r="U13" s="30">
        <f t="shared" si="1"/>
        <v>0</v>
      </c>
      <c r="V13" s="30">
        <f t="shared" si="2"/>
        <v>0</v>
      </c>
      <c r="W13" s="30">
        <f t="shared" si="3"/>
        <v>0</v>
      </c>
      <c r="X13" s="30">
        <f t="shared" si="4"/>
        <v>0</v>
      </c>
      <c r="Y13" s="30">
        <f t="shared" si="5"/>
        <v>0</v>
      </c>
      <c r="Z13" s="30">
        <f t="shared" si="6"/>
        <v>0</v>
      </c>
      <c r="AA13" s="30">
        <f t="shared" si="7"/>
        <v>0</v>
      </c>
      <c r="AB13" s="30">
        <f t="shared" si="8"/>
        <v>0</v>
      </c>
    </row>
    <row r="14" spans="1:28" ht="15.75">
      <c r="A14" s="4" t="s">
        <v>21</v>
      </c>
      <c r="B14" s="5">
        <v>46429324</v>
      </c>
      <c r="C14" s="5">
        <v>25027936</v>
      </c>
      <c r="D14" s="5">
        <v>3915823</v>
      </c>
      <c r="E14" s="5">
        <v>7570516</v>
      </c>
      <c r="F14" s="5">
        <v>3089151</v>
      </c>
      <c r="G14" s="5">
        <v>2815864</v>
      </c>
      <c r="H14" s="5">
        <v>795992</v>
      </c>
      <c r="I14" s="5">
        <v>2281991</v>
      </c>
      <c r="L14" s="24">
        <v>46429324</v>
      </c>
      <c r="M14" s="25">
        <v>25027936</v>
      </c>
      <c r="N14" s="25">
        <v>3915823</v>
      </c>
      <c r="O14" s="25">
        <v>7570516</v>
      </c>
      <c r="P14" s="25">
        <v>3089151</v>
      </c>
      <c r="Q14" s="25">
        <v>2815864</v>
      </c>
      <c r="R14" s="25">
        <v>795992</v>
      </c>
      <c r="S14" s="25">
        <v>2281991</v>
      </c>
      <c r="U14" s="30">
        <f t="shared" si="1"/>
        <v>0</v>
      </c>
      <c r="V14" s="30">
        <f t="shared" si="2"/>
        <v>0</v>
      </c>
      <c r="W14" s="30">
        <f t="shared" si="3"/>
        <v>0</v>
      </c>
      <c r="X14" s="30">
        <f t="shared" si="4"/>
        <v>0</v>
      </c>
      <c r="Y14" s="30">
        <f t="shared" si="5"/>
        <v>0</v>
      </c>
      <c r="Z14" s="30">
        <f t="shared" si="6"/>
        <v>0</v>
      </c>
      <c r="AA14" s="30">
        <f t="shared" si="7"/>
        <v>0</v>
      </c>
      <c r="AB14" s="30">
        <f t="shared" si="8"/>
        <v>0</v>
      </c>
    </row>
    <row r="15" spans="1:28" s="12" customFormat="1" ht="15.75">
      <c r="A15" s="10" t="s">
        <v>22</v>
      </c>
      <c r="B15" s="11">
        <v>5028608</v>
      </c>
      <c r="C15" s="11">
        <v>8038396</v>
      </c>
      <c r="D15" s="11">
        <v>337946</v>
      </c>
      <c r="E15" s="11">
        <v>485252</v>
      </c>
      <c r="F15" s="11" t="s">
        <v>17</v>
      </c>
      <c r="G15" s="11" t="s">
        <v>17</v>
      </c>
      <c r="H15" s="11">
        <v>2999297</v>
      </c>
      <c r="I15" s="11">
        <v>2530854</v>
      </c>
      <c r="L15" s="22">
        <v>5028608</v>
      </c>
      <c r="M15" s="23">
        <v>8038396</v>
      </c>
      <c r="N15" s="23">
        <v>337946</v>
      </c>
      <c r="O15" s="23">
        <v>485252</v>
      </c>
      <c r="P15" s="23" t="s">
        <v>17</v>
      </c>
      <c r="Q15" s="23" t="s">
        <v>17</v>
      </c>
      <c r="R15" s="23">
        <v>2999297</v>
      </c>
      <c r="S15" s="23">
        <v>2530854</v>
      </c>
      <c r="U15" s="30">
        <f t="shared" si="1"/>
        <v>0</v>
      </c>
      <c r="V15" s="30">
        <f t="shared" si="2"/>
        <v>0</v>
      </c>
      <c r="W15" s="30">
        <f t="shared" si="3"/>
        <v>0</v>
      </c>
      <c r="X15" s="30">
        <f t="shared" si="4"/>
        <v>0</v>
      </c>
      <c r="Y15" s="30" t="e">
        <f t="shared" si="5"/>
        <v>#VALUE!</v>
      </c>
      <c r="Z15" s="30" t="e">
        <f t="shared" si="6"/>
        <v>#VALUE!</v>
      </c>
      <c r="AA15" s="30">
        <f t="shared" si="7"/>
        <v>0</v>
      </c>
      <c r="AB15" s="30">
        <f t="shared" si="8"/>
        <v>0</v>
      </c>
    </row>
    <row r="16" spans="1:28" ht="15.75">
      <c r="A16" s="4" t="s">
        <v>23</v>
      </c>
      <c r="B16" s="5">
        <v>4466608</v>
      </c>
      <c r="C16" s="5">
        <v>6319197</v>
      </c>
      <c r="D16" s="5">
        <v>143050</v>
      </c>
      <c r="E16" s="5">
        <v>239658</v>
      </c>
      <c r="F16" s="5" t="s">
        <v>17</v>
      </c>
      <c r="G16" s="5" t="s">
        <v>17</v>
      </c>
      <c r="H16" s="5">
        <v>578273</v>
      </c>
      <c r="I16" s="5">
        <v>251242</v>
      </c>
      <c r="L16" s="24">
        <v>4466608</v>
      </c>
      <c r="M16" s="25">
        <v>6319197</v>
      </c>
      <c r="N16" s="25">
        <v>143050</v>
      </c>
      <c r="O16" s="25">
        <v>239658</v>
      </c>
      <c r="P16" s="25" t="s">
        <v>17</v>
      </c>
      <c r="Q16" s="25" t="s">
        <v>17</v>
      </c>
      <c r="R16" s="25">
        <v>578273</v>
      </c>
      <c r="S16" s="25">
        <v>251242</v>
      </c>
      <c r="U16" s="30">
        <f t="shared" si="1"/>
        <v>0</v>
      </c>
      <c r="V16" s="30">
        <f t="shared" si="2"/>
        <v>0</v>
      </c>
      <c r="W16" s="30">
        <f t="shared" si="3"/>
        <v>0</v>
      </c>
      <c r="X16" s="30">
        <f t="shared" si="4"/>
        <v>0</v>
      </c>
      <c r="Y16" s="30" t="e">
        <f t="shared" si="5"/>
        <v>#VALUE!</v>
      </c>
      <c r="Z16" s="30" t="e">
        <f t="shared" si="6"/>
        <v>#VALUE!</v>
      </c>
      <c r="AA16" s="30">
        <f t="shared" si="7"/>
        <v>0</v>
      </c>
      <c r="AB16" s="30">
        <f t="shared" si="8"/>
        <v>0</v>
      </c>
    </row>
    <row r="17" spans="1:28" ht="15.75">
      <c r="A17" s="4" t="s">
        <v>24</v>
      </c>
      <c r="B17" s="5" t="s">
        <v>17</v>
      </c>
      <c r="C17" s="5" t="s">
        <v>17</v>
      </c>
      <c r="D17" s="5">
        <v>543</v>
      </c>
      <c r="E17" s="5">
        <v>2335</v>
      </c>
      <c r="F17" s="5" t="s">
        <v>17</v>
      </c>
      <c r="G17" s="5" t="s">
        <v>17</v>
      </c>
      <c r="H17" s="5" t="s">
        <v>17</v>
      </c>
      <c r="I17" s="5" t="s">
        <v>17</v>
      </c>
      <c r="L17" s="24" t="s">
        <v>17</v>
      </c>
      <c r="M17" s="25" t="s">
        <v>17</v>
      </c>
      <c r="N17" s="25">
        <v>543</v>
      </c>
      <c r="O17" s="25">
        <v>2335</v>
      </c>
      <c r="P17" s="25" t="s">
        <v>17</v>
      </c>
      <c r="Q17" s="25" t="s">
        <v>17</v>
      </c>
      <c r="R17" s="25" t="s">
        <v>17</v>
      </c>
      <c r="S17" s="25" t="s">
        <v>17</v>
      </c>
      <c r="U17" s="30" t="e">
        <f t="shared" si="1"/>
        <v>#VALUE!</v>
      </c>
      <c r="V17" s="30" t="e">
        <f t="shared" si="2"/>
        <v>#VALUE!</v>
      </c>
      <c r="W17" s="30">
        <f t="shared" si="3"/>
        <v>0</v>
      </c>
      <c r="X17" s="30">
        <f t="shared" si="4"/>
        <v>0</v>
      </c>
      <c r="Y17" s="30" t="e">
        <f t="shared" si="5"/>
        <v>#VALUE!</v>
      </c>
      <c r="Z17" s="30" t="e">
        <f t="shared" si="6"/>
        <v>#VALUE!</v>
      </c>
      <c r="AA17" s="30" t="e">
        <f t="shared" si="7"/>
        <v>#VALUE!</v>
      </c>
      <c r="AB17" s="30" t="e">
        <f t="shared" si="8"/>
        <v>#VALUE!</v>
      </c>
    </row>
    <row r="18" spans="1:28" ht="15.75">
      <c r="A18" s="4" t="s">
        <v>25</v>
      </c>
      <c r="B18" s="5">
        <v>562000</v>
      </c>
      <c r="C18" s="5">
        <v>1719199</v>
      </c>
      <c r="D18" s="5">
        <v>194353</v>
      </c>
      <c r="E18" s="5">
        <v>243259</v>
      </c>
      <c r="F18" s="5" t="s">
        <v>17</v>
      </c>
      <c r="G18" s="5" t="s">
        <v>17</v>
      </c>
      <c r="H18" s="5">
        <v>2421024</v>
      </c>
      <c r="I18" s="5">
        <v>2279612</v>
      </c>
      <c r="L18" s="24">
        <v>562000</v>
      </c>
      <c r="M18" s="25">
        <v>1719199</v>
      </c>
      <c r="N18" s="25">
        <v>194353</v>
      </c>
      <c r="O18" s="25">
        <v>243259</v>
      </c>
      <c r="P18" s="25" t="s">
        <v>17</v>
      </c>
      <c r="Q18" s="25" t="s">
        <v>17</v>
      </c>
      <c r="R18" s="25">
        <v>2421024</v>
      </c>
      <c r="S18" s="25">
        <v>2279612</v>
      </c>
      <c r="U18" s="30">
        <f t="shared" si="1"/>
        <v>0</v>
      </c>
      <c r="V18" s="30">
        <f t="shared" si="2"/>
        <v>0</v>
      </c>
      <c r="W18" s="30">
        <f t="shared" si="3"/>
        <v>0</v>
      </c>
      <c r="X18" s="30">
        <f t="shared" si="4"/>
        <v>0</v>
      </c>
      <c r="Y18" s="30" t="e">
        <f t="shared" si="5"/>
        <v>#VALUE!</v>
      </c>
      <c r="Z18" s="30" t="e">
        <f t="shared" si="6"/>
        <v>#VALUE!</v>
      </c>
      <c r="AA18" s="30">
        <f t="shared" si="7"/>
        <v>0</v>
      </c>
      <c r="AB18" s="30">
        <f t="shared" si="8"/>
        <v>0</v>
      </c>
    </row>
    <row r="19" spans="1:28" s="12" customFormat="1" ht="39">
      <c r="A19" s="10" t="s">
        <v>26</v>
      </c>
      <c r="B19" s="11">
        <v>10470848</v>
      </c>
      <c r="C19" s="11">
        <v>54709628</v>
      </c>
      <c r="D19" s="11">
        <v>1184645</v>
      </c>
      <c r="E19" s="11">
        <v>4056666</v>
      </c>
      <c r="F19" s="11">
        <v>7639</v>
      </c>
      <c r="G19" s="11" t="s">
        <v>17</v>
      </c>
      <c r="H19" s="11">
        <v>8084615</v>
      </c>
      <c r="I19" s="11">
        <v>3453328</v>
      </c>
      <c r="L19" s="22">
        <v>10470848</v>
      </c>
      <c r="M19" s="23">
        <v>54709628</v>
      </c>
      <c r="N19" s="23">
        <v>1184645</v>
      </c>
      <c r="O19" s="23">
        <v>4056666</v>
      </c>
      <c r="P19" s="23">
        <v>7639</v>
      </c>
      <c r="Q19" s="23" t="s">
        <v>17</v>
      </c>
      <c r="R19" s="23">
        <v>8084615</v>
      </c>
      <c r="S19" s="23">
        <v>3453328</v>
      </c>
      <c r="U19" s="30">
        <f t="shared" si="1"/>
        <v>0</v>
      </c>
      <c r="V19" s="30">
        <f t="shared" si="2"/>
        <v>0</v>
      </c>
      <c r="W19" s="30">
        <f t="shared" si="3"/>
        <v>0</v>
      </c>
      <c r="X19" s="30">
        <f t="shared" si="4"/>
        <v>0</v>
      </c>
      <c r="Y19" s="30">
        <f t="shared" si="5"/>
        <v>0</v>
      </c>
      <c r="Z19" s="30" t="e">
        <f t="shared" si="6"/>
        <v>#VALUE!</v>
      </c>
      <c r="AA19" s="30">
        <f t="shared" si="7"/>
        <v>0</v>
      </c>
      <c r="AB19" s="30">
        <f t="shared" si="8"/>
        <v>0</v>
      </c>
    </row>
    <row r="20" spans="1:28" ht="26.25">
      <c r="A20" s="4" t="s">
        <v>27</v>
      </c>
      <c r="B20" s="5">
        <v>10470848</v>
      </c>
      <c r="C20" s="5">
        <v>54709628</v>
      </c>
      <c r="D20" s="5">
        <v>1184645</v>
      </c>
      <c r="E20" s="5">
        <v>4056666</v>
      </c>
      <c r="F20" s="5">
        <v>7639</v>
      </c>
      <c r="G20" s="5" t="s">
        <v>17</v>
      </c>
      <c r="H20" s="5">
        <v>8084615</v>
      </c>
      <c r="I20" s="5">
        <v>3453328</v>
      </c>
      <c r="L20" s="24">
        <v>10470848</v>
      </c>
      <c r="M20" s="25">
        <v>54709628</v>
      </c>
      <c r="N20" s="25">
        <v>1184645</v>
      </c>
      <c r="O20" s="25">
        <v>4056666</v>
      </c>
      <c r="P20" s="25">
        <v>7639</v>
      </c>
      <c r="Q20" s="25" t="s">
        <v>17</v>
      </c>
      <c r="R20" s="25">
        <v>8084615</v>
      </c>
      <c r="S20" s="25">
        <v>3453328</v>
      </c>
      <c r="U20" s="30">
        <f t="shared" si="1"/>
        <v>0</v>
      </c>
      <c r="V20" s="30">
        <f t="shared" si="2"/>
        <v>0</v>
      </c>
      <c r="W20" s="30">
        <f t="shared" si="3"/>
        <v>0</v>
      </c>
      <c r="X20" s="30">
        <f t="shared" si="4"/>
        <v>0</v>
      </c>
      <c r="Y20" s="30">
        <f t="shared" si="5"/>
        <v>0</v>
      </c>
      <c r="Z20" s="30" t="e">
        <f t="shared" si="6"/>
        <v>#VALUE!</v>
      </c>
      <c r="AA20" s="30">
        <f t="shared" si="7"/>
        <v>0</v>
      </c>
      <c r="AB20" s="30">
        <f t="shared" si="8"/>
        <v>0</v>
      </c>
    </row>
    <row r="21" spans="1:28" s="12" customFormat="1" ht="39">
      <c r="A21" s="10" t="s">
        <v>28</v>
      </c>
      <c r="B21" s="11">
        <v>34100</v>
      </c>
      <c r="C21" s="11">
        <v>25100</v>
      </c>
      <c r="D21" s="11">
        <v>52681</v>
      </c>
      <c r="E21" s="11">
        <v>84295</v>
      </c>
      <c r="F21" s="11" t="s">
        <v>17</v>
      </c>
      <c r="G21" s="11" t="s">
        <v>17</v>
      </c>
      <c r="H21" s="11">
        <v>2660911</v>
      </c>
      <c r="I21" s="11">
        <v>3368107</v>
      </c>
      <c r="L21" s="22">
        <v>34100</v>
      </c>
      <c r="M21" s="23">
        <v>25100</v>
      </c>
      <c r="N21" s="23">
        <v>52681</v>
      </c>
      <c r="O21" s="23">
        <v>84295</v>
      </c>
      <c r="P21" s="23" t="s">
        <v>17</v>
      </c>
      <c r="Q21" s="23" t="s">
        <v>17</v>
      </c>
      <c r="R21" s="23">
        <v>2660911</v>
      </c>
      <c r="S21" s="23">
        <v>3368107</v>
      </c>
      <c r="U21" s="30">
        <f t="shared" si="1"/>
        <v>0</v>
      </c>
      <c r="V21" s="30">
        <f t="shared" si="2"/>
        <v>0</v>
      </c>
      <c r="W21" s="30">
        <f t="shared" si="3"/>
        <v>0</v>
      </c>
      <c r="X21" s="30">
        <f t="shared" si="4"/>
        <v>0</v>
      </c>
      <c r="Y21" s="30" t="e">
        <f t="shared" si="5"/>
        <v>#VALUE!</v>
      </c>
      <c r="Z21" s="30" t="e">
        <f t="shared" si="6"/>
        <v>#VALUE!</v>
      </c>
      <c r="AA21" s="30">
        <f t="shared" si="7"/>
        <v>0</v>
      </c>
      <c r="AB21" s="30">
        <f t="shared" si="8"/>
        <v>0</v>
      </c>
    </row>
    <row r="22" spans="1:28" ht="16.5" thickBot="1">
      <c r="A22" s="4" t="s">
        <v>29</v>
      </c>
      <c r="B22" s="5" t="s">
        <v>17</v>
      </c>
      <c r="C22" s="5" t="s">
        <v>17</v>
      </c>
      <c r="D22" s="5">
        <v>52681</v>
      </c>
      <c r="E22" s="5">
        <v>84295</v>
      </c>
      <c r="F22" s="5" t="s">
        <v>17</v>
      </c>
      <c r="G22" s="5" t="s">
        <v>17</v>
      </c>
      <c r="H22" s="5">
        <v>2655698</v>
      </c>
      <c r="I22" s="5">
        <v>3290091</v>
      </c>
      <c r="L22" s="24" t="s">
        <v>17</v>
      </c>
      <c r="M22" s="25" t="s">
        <v>17</v>
      </c>
      <c r="N22" s="25">
        <v>52681</v>
      </c>
      <c r="O22" s="25">
        <v>84295</v>
      </c>
      <c r="P22" s="25" t="s">
        <v>17</v>
      </c>
      <c r="Q22" s="25" t="s">
        <v>17</v>
      </c>
      <c r="R22" s="25">
        <v>2655698</v>
      </c>
      <c r="S22" s="25">
        <v>3290091</v>
      </c>
      <c r="U22" s="30" t="e">
        <f t="shared" si="1"/>
        <v>#VALUE!</v>
      </c>
      <c r="V22" s="30" t="e">
        <f t="shared" si="2"/>
        <v>#VALUE!</v>
      </c>
      <c r="W22" s="30">
        <f t="shared" si="3"/>
        <v>0</v>
      </c>
      <c r="X22" s="30">
        <f t="shared" si="4"/>
        <v>0</v>
      </c>
      <c r="Y22" s="30" t="e">
        <f t="shared" si="5"/>
        <v>#VALUE!</v>
      </c>
      <c r="Z22" s="30" t="e">
        <f t="shared" si="6"/>
        <v>#VALUE!</v>
      </c>
      <c r="AA22" s="30">
        <f t="shared" si="7"/>
        <v>0</v>
      </c>
      <c r="AB22" s="30">
        <f t="shared" si="8"/>
        <v>0</v>
      </c>
    </row>
    <row r="23" spans="1:28" ht="26.25">
      <c r="A23" s="4" t="s">
        <v>30</v>
      </c>
      <c r="B23" s="5">
        <v>34100</v>
      </c>
      <c r="C23" s="5">
        <v>25100</v>
      </c>
      <c r="D23" s="5" t="s">
        <v>17</v>
      </c>
      <c r="E23" s="5" t="s">
        <v>17</v>
      </c>
      <c r="F23" s="5" t="s">
        <v>17</v>
      </c>
      <c r="G23" s="5" t="s">
        <v>17</v>
      </c>
      <c r="H23" s="5">
        <v>5213</v>
      </c>
      <c r="I23" s="5">
        <v>78016</v>
      </c>
      <c r="L23" s="26">
        <v>34100</v>
      </c>
      <c r="M23" s="27">
        <v>25100</v>
      </c>
      <c r="N23" s="27" t="s">
        <v>17</v>
      </c>
      <c r="O23" s="27" t="s">
        <v>17</v>
      </c>
      <c r="P23" s="27" t="s">
        <v>17</v>
      </c>
      <c r="Q23" s="27" t="s">
        <v>17</v>
      </c>
      <c r="R23" s="27">
        <v>5213</v>
      </c>
      <c r="S23" s="27">
        <v>78016</v>
      </c>
      <c r="U23" s="30">
        <f t="shared" si="1"/>
        <v>0</v>
      </c>
      <c r="V23" s="30">
        <f t="shared" si="2"/>
        <v>0</v>
      </c>
      <c r="W23" s="30" t="e">
        <f t="shared" si="3"/>
        <v>#VALUE!</v>
      </c>
      <c r="X23" s="30" t="e">
        <f t="shared" si="4"/>
        <v>#VALUE!</v>
      </c>
      <c r="Y23" s="30" t="e">
        <f t="shared" si="5"/>
        <v>#VALUE!</v>
      </c>
      <c r="Z23" s="30" t="e">
        <f t="shared" si="6"/>
        <v>#VALUE!</v>
      </c>
      <c r="AA23" s="30">
        <f t="shared" si="7"/>
        <v>0</v>
      </c>
      <c r="AB23" s="30">
        <f t="shared" si="8"/>
        <v>0</v>
      </c>
    </row>
    <row r="24" spans="1:28" s="12" customFormat="1" ht="15.75">
      <c r="A24" s="10" t="s">
        <v>31</v>
      </c>
      <c r="B24" s="11">
        <v>199800</v>
      </c>
      <c r="C24" s="11">
        <v>96124</v>
      </c>
      <c r="D24" s="11">
        <v>652568</v>
      </c>
      <c r="E24" s="11">
        <v>833413</v>
      </c>
      <c r="F24" s="11" t="s">
        <v>17</v>
      </c>
      <c r="G24" s="11" t="s">
        <v>17</v>
      </c>
      <c r="H24" s="11">
        <v>413673</v>
      </c>
      <c r="I24" s="11">
        <v>414862</v>
      </c>
      <c r="L24" s="22">
        <v>199800</v>
      </c>
      <c r="M24" s="23">
        <v>96124</v>
      </c>
      <c r="N24" s="23">
        <v>652568</v>
      </c>
      <c r="O24" s="23">
        <v>833413</v>
      </c>
      <c r="P24" s="23" t="s">
        <v>17</v>
      </c>
      <c r="Q24" s="23" t="s">
        <v>17</v>
      </c>
      <c r="R24" s="23">
        <v>413673</v>
      </c>
      <c r="S24" s="23">
        <v>414862</v>
      </c>
      <c r="U24" s="30">
        <f t="shared" si="1"/>
        <v>0</v>
      </c>
      <c r="V24" s="30">
        <f t="shared" si="2"/>
        <v>0</v>
      </c>
      <c r="W24" s="30">
        <f t="shared" si="3"/>
        <v>0</v>
      </c>
      <c r="X24" s="30">
        <f t="shared" si="4"/>
        <v>0</v>
      </c>
      <c r="Y24" s="30" t="e">
        <f t="shared" si="5"/>
        <v>#VALUE!</v>
      </c>
      <c r="Z24" s="30" t="e">
        <f t="shared" si="6"/>
        <v>#VALUE!</v>
      </c>
      <c r="AA24" s="30">
        <f t="shared" si="7"/>
        <v>0</v>
      </c>
      <c r="AB24" s="30">
        <f t="shared" si="8"/>
        <v>0</v>
      </c>
    </row>
    <row r="25" spans="1:28" ht="15.75">
      <c r="A25" s="4" t="s">
        <v>32</v>
      </c>
      <c r="B25" s="5" t="s">
        <v>17</v>
      </c>
      <c r="C25" s="5">
        <v>28724</v>
      </c>
      <c r="D25" s="5">
        <v>240653</v>
      </c>
      <c r="E25" s="5">
        <v>292245</v>
      </c>
      <c r="F25" s="5" t="s">
        <v>17</v>
      </c>
      <c r="G25" s="5" t="s">
        <v>17</v>
      </c>
      <c r="H25" s="5">
        <v>185397</v>
      </c>
      <c r="I25" s="5">
        <v>24343</v>
      </c>
      <c r="L25" s="24" t="s">
        <v>17</v>
      </c>
      <c r="M25" s="25">
        <v>28724</v>
      </c>
      <c r="N25" s="25">
        <v>240653</v>
      </c>
      <c r="O25" s="25">
        <v>292245</v>
      </c>
      <c r="P25" s="25" t="s">
        <v>17</v>
      </c>
      <c r="Q25" s="25" t="s">
        <v>17</v>
      </c>
      <c r="R25" s="25">
        <v>185397</v>
      </c>
      <c r="S25" s="25">
        <v>24343</v>
      </c>
      <c r="U25" s="30" t="e">
        <f t="shared" si="1"/>
        <v>#VALUE!</v>
      </c>
      <c r="V25" s="30">
        <f t="shared" si="2"/>
        <v>0</v>
      </c>
      <c r="W25" s="30">
        <f t="shared" si="3"/>
        <v>0</v>
      </c>
      <c r="X25" s="30">
        <f t="shared" si="4"/>
        <v>0</v>
      </c>
      <c r="Y25" s="30" t="e">
        <f t="shared" si="5"/>
        <v>#VALUE!</v>
      </c>
      <c r="Z25" s="30" t="e">
        <f t="shared" si="6"/>
        <v>#VALUE!</v>
      </c>
      <c r="AA25" s="30">
        <f t="shared" si="7"/>
        <v>0</v>
      </c>
      <c r="AB25" s="30">
        <f t="shared" si="8"/>
        <v>0</v>
      </c>
    </row>
    <row r="26" spans="1:28" ht="15.75">
      <c r="A26" s="4" t="s">
        <v>33</v>
      </c>
      <c r="B26" s="5">
        <v>199800</v>
      </c>
      <c r="C26" s="5">
        <v>62900</v>
      </c>
      <c r="D26" s="5">
        <v>411915</v>
      </c>
      <c r="E26" s="5">
        <v>541168</v>
      </c>
      <c r="F26" s="5" t="s">
        <v>17</v>
      </c>
      <c r="G26" s="5" t="s">
        <v>17</v>
      </c>
      <c r="H26" s="5">
        <v>228276</v>
      </c>
      <c r="I26" s="5">
        <v>390519</v>
      </c>
      <c r="L26" s="24">
        <v>199800</v>
      </c>
      <c r="M26" s="25">
        <v>62900</v>
      </c>
      <c r="N26" s="25">
        <v>411915</v>
      </c>
      <c r="O26" s="25">
        <v>541168</v>
      </c>
      <c r="P26" s="25" t="s">
        <v>17</v>
      </c>
      <c r="Q26" s="25" t="s">
        <v>17</v>
      </c>
      <c r="R26" s="25">
        <v>228276</v>
      </c>
      <c r="S26" s="25">
        <v>390519</v>
      </c>
      <c r="U26" s="30">
        <f t="shared" si="1"/>
        <v>0</v>
      </c>
      <c r="V26" s="30">
        <f t="shared" si="2"/>
        <v>0</v>
      </c>
      <c r="W26" s="30">
        <f t="shared" si="3"/>
        <v>0</v>
      </c>
      <c r="X26" s="30">
        <f t="shared" si="4"/>
        <v>0</v>
      </c>
      <c r="Y26" s="30" t="e">
        <f t="shared" si="5"/>
        <v>#VALUE!</v>
      </c>
      <c r="Z26" s="30" t="e">
        <f t="shared" si="6"/>
        <v>#VALUE!</v>
      </c>
      <c r="AA26" s="30">
        <f t="shared" si="7"/>
        <v>0</v>
      </c>
      <c r="AB26" s="30">
        <f t="shared" si="8"/>
        <v>0</v>
      </c>
    </row>
    <row r="27" spans="1:28" ht="15.75">
      <c r="A27" s="4" t="s">
        <v>34</v>
      </c>
      <c r="B27" s="5" t="s">
        <v>17</v>
      </c>
      <c r="C27" s="5">
        <v>4500</v>
      </c>
      <c r="D27" s="5" t="s">
        <v>17</v>
      </c>
      <c r="E27" s="5" t="s">
        <v>17</v>
      </c>
      <c r="F27" s="5" t="s">
        <v>17</v>
      </c>
      <c r="G27" s="5" t="s">
        <v>17</v>
      </c>
      <c r="H27" s="5" t="s">
        <v>17</v>
      </c>
      <c r="I27" s="5" t="s">
        <v>17</v>
      </c>
      <c r="L27" s="24" t="s">
        <v>17</v>
      </c>
      <c r="M27" s="25">
        <v>4500</v>
      </c>
      <c r="N27" s="25" t="s">
        <v>17</v>
      </c>
      <c r="O27" s="25" t="s">
        <v>17</v>
      </c>
      <c r="P27" s="25" t="s">
        <v>17</v>
      </c>
      <c r="Q27" s="25" t="s">
        <v>17</v>
      </c>
      <c r="R27" s="25" t="s">
        <v>17</v>
      </c>
      <c r="S27" s="25" t="s">
        <v>17</v>
      </c>
      <c r="U27" s="30" t="e">
        <f t="shared" si="1"/>
        <v>#VALUE!</v>
      </c>
      <c r="V27" s="30">
        <f t="shared" si="2"/>
        <v>0</v>
      </c>
      <c r="W27" s="30" t="e">
        <f t="shared" si="3"/>
        <v>#VALUE!</v>
      </c>
      <c r="X27" s="30" t="e">
        <f t="shared" si="4"/>
        <v>#VALUE!</v>
      </c>
      <c r="Y27" s="30" t="e">
        <f t="shared" si="5"/>
        <v>#VALUE!</v>
      </c>
      <c r="Z27" s="30" t="e">
        <f t="shared" si="6"/>
        <v>#VALUE!</v>
      </c>
      <c r="AA27" s="30" t="e">
        <f t="shared" si="7"/>
        <v>#VALUE!</v>
      </c>
      <c r="AB27" s="30" t="e">
        <f t="shared" si="8"/>
        <v>#VALUE!</v>
      </c>
    </row>
    <row r="28" spans="1:28" s="12" customFormat="1" ht="26.25">
      <c r="A28" s="10" t="s">
        <v>35</v>
      </c>
      <c r="B28" s="11">
        <v>7358256</v>
      </c>
      <c r="C28" s="11">
        <v>7309575</v>
      </c>
      <c r="D28" s="11">
        <v>82732</v>
      </c>
      <c r="E28" s="11">
        <v>94467</v>
      </c>
      <c r="F28" s="11" t="s">
        <v>17</v>
      </c>
      <c r="G28" s="11" t="s">
        <v>17</v>
      </c>
      <c r="H28" s="11">
        <v>1523788</v>
      </c>
      <c r="I28" s="11">
        <v>2172455</v>
      </c>
      <c r="L28" s="22">
        <v>7358256</v>
      </c>
      <c r="M28" s="23">
        <v>7309575</v>
      </c>
      <c r="N28" s="23">
        <v>82732</v>
      </c>
      <c r="O28" s="23">
        <v>94467</v>
      </c>
      <c r="P28" s="23" t="s">
        <v>17</v>
      </c>
      <c r="Q28" s="23" t="s">
        <v>17</v>
      </c>
      <c r="R28" s="23">
        <v>1523788</v>
      </c>
      <c r="S28" s="23">
        <v>2172455</v>
      </c>
      <c r="U28" s="30">
        <f t="shared" si="1"/>
        <v>0</v>
      </c>
      <c r="V28" s="30">
        <f t="shared" si="2"/>
        <v>0</v>
      </c>
      <c r="W28" s="30">
        <f t="shared" si="3"/>
        <v>0</v>
      </c>
      <c r="X28" s="30">
        <f t="shared" si="4"/>
        <v>0</v>
      </c>
      <c r="Y28" s="30" t="e">
        <f t="shared" si="5"/>
        <v>#VALUE!</v>
      </c>
      <c r="Z28" s="30" t="e">
        <f t="shared" si="6"/>
        <v>#VALUE!</v>
      </c>
      <c r="AA28" s="30">
        <f t="shared" si="7"/>
        <v>0</v>
      </c>
      <c r="AB28" s="30">
        <f t="shared" si="8"/>
        <v>0</v>
      </c>
    </row>
    <row r="29" spans="1:28" ht="26.25">
      <c r="A29" s="4" t="s">
        <v>36</v>
      </c>
      <c r="B29" s="5">
        <v>7279359</v>
      </c>
      <c r="C29" s="5">
        <v>7244952</v>
      </c>
      <c r="D29" s="5">
        <v>70007</v>
      </c>
      <c r="E29" s="5">
        <v>81613</v>
      </c>
      <c r="F29" s="5" t="s">
        <v>17</v>
      </c>
      <c r="G29" s="5" t="s">
        <v>17</v>
      </c>
      <c r="H29" s="5">
        <v>438168</v>
      </c>
      <c r="I29" s="5">
        <v>1278047</v>
      </c>
      <c r="L29" s="24">
        <v>7279359</v>
      </c>
      <c r="M29" s="25">
        <v>7244952</v>
      </c>
      <c r="N29" s="25">
        <v>70007</v>
      </c>
      <c r="O29" s="25">
        <v>81613</v>
      </c>
      <c r="P29" s="25" t="s">
        <v>17</v>
      </c>
      <c r="Q29" s="25" t="s">
        <v>17</v>
      </c>
      <c r="R29" s="25">
        <v>438168</v>
      </c>
      <c r="S29" s="25">
        <v>1278047</v>
      </c>
      <c r="U29" s="30">
        <f t="shared" si="1"/>
        <v>0</v>
      </c>
      <c r="V29" s="30">
        <f t="shared" si="2"/>
        <v>0</v>
      </c>
      <c r="W29" s="30">
        <f t="shared" si="3"/>
        <v>0</v>
      </c>
      <c r="X29" s="30">
        <f t="shared" si="4"/>
        <v>0</v>
      </c>
      <c r="Y29" s="30" t="e">
        <f t="shared" si="5"/>
        <v>#VALUE!</v>
      </c>
      <c r="Z29" s="30" t="e">
        <f t="shared" si="6"/>
        <v>#VALUE!</v>
      </c>
      <c r="AA29" s="30">
        <f t="shared" si="7"/>
        <v>0</v>
      </c>
      <c r="AB29" s="30">
        <f t="shared" si="8"/>
        <v>0</v>
      </c>
    </row>
    <row r="30" spans="1:28" ht="26.25">
      <c r="A30" s="4" t="s">
        <v>37</v>
      </c>
      <c r="B30" s="5">
        <v>78897</v>
      </c>
      <c r="C30" s="5">
        <v>64623</v>
      </c>
      <c r="D30" s="5">
        <v>12725</v>
      </c>
      <c r="E30" s="5">
        <v>12854</v>
      </c>
      <c r="F30" s="5" t="s">
        <v>17</v>
      </c>
      <c r="G30" s="5" t="s">
        <v>17</v>
      </c>
      <c r="H30" s="5">
        <v>1085620</v>
      </c>
      <c r="I30" s="5">
        <v>894408</v>
      </c>
      <c r="L30" s="24">
        <v>78897</v>
      </c>
      <c r="M30" s="25">
        <v>64623</v>
      </c>
      <c r="N30" s="25">
        <v>12725</v>
      </c>
      <c r="O30" s="25">
        <v>12854</v>
      </c>
      <c r="P30" s="25" t="s">
        <v>17</v>
      </c>
      <c r="Q30" s="25" t="s">
        <v>17</v>
      </c>
      <c r="R30" s="25">
        <v>1085620</v>
      </c>
      <c r="S30" s="25">
        <v>894408</v>
      </c>
      <c r="U30" s="30">
        <f t="shared" si="1"/>
        <v>0</v>
      </c>
      <c r="V30" s="30">
        <f t="shared" si="2"/>
        <v>0</v>
      </c>
      <c r="W30" s="30">
        <f t="shared" si="3"/>
        <v>0</v>
      </c>
      <c r="X30" s="30">
        <f t="shared" si="4"/>
        <v>0</v>
      </c>
      <c r="Y30" s="30" t="e">
        <f t="shared" si="5"/>
        <v>#VALUE!</v>
      </c>
      <c r="Z30" s="30" t="e">
        <f t="shared" si="6"/>
        <v>#VALUE!</v>
      </c>
      <c r="AA30" s="30">
        <f t="shared" si="7"/>
        <v>0</v>
      </c>
      <c r="AB30" s="30">
        <f t="shared" si="8"/>
        <v>0</v>
      </c>
    </row>
    <row r="31" spans="1:28" s="12" customFormat="1" ht="15.75">
      <c r="A31" s="10" t="s">
        <v>38</v>
      </c>
      <c r="B31" s="11">
        <v>15219005</v>
      </c>
      <c r="C31" s="11">
        <v>19787706</v>
      </c>
      <c r="D31" s="11">
        <v>606308</v>
      </c>
      <c r="E31" s="11">
        <v>1422981</v>
      </c>
      <c r="F31" s="11" t="s">
        <v>17</v>
      </c>
      <c r="G31" s="11" t="s">
        <v>17</v>
      </c>
      <c r="H31" s="11">
        <v>2816156</v>
      </c>
      <c r="I31" s="11">
        <v>4362609</v>
      </c>
      <c r="L31" s="22">
        <v>15219005</v>
      </c>
      <c r="M31" s="23">
        <v>19787706</v>
      </c>
      <c r="N31" s="23">
        <v>606308</v>
      </c>
      <c r="O31" s="23">
        <v>1422981</v>
      </c>
      <c r="P31" s="23" t="s">
        <v>17</v>
      </c>
      <c r="Q31" s="23" t="s">
        <v>17</v>
      </c>
      <c r="R31" s="23">
        <v>2816156</v>
      </c>
      <c r="S31" s="23">
        <v>4362609</v>
      </c>
      <c r="U31" s="30">
        <f t="shared" si="1"/>
        <v>0</v>
      </c>
      <c r="V31" s="30">
        <f t="shared" si="2"/>
        <v>0</v>
      </c>
      <c r="W31" s="30">
        <f t="shared" si="3"/>
        <v>0</v>
      </c>
      <c r="X31" s="30">
        <f t="shared" si="4"/>
        <v>0</v>
      </c>
      <c r="Y31" s="30" t="e">
        <f t="shared" si="5"/>
        <v>#VALUE!</v>
      </c>
      <c r="Z31" s="30" t="e">
        <f t="shared" si="6"/>
        <v>#VALUE!</v>
      </c>
      <c r="AA31" s="30">
        <f t="shared" si="7"/>
        <v>0</v>
      </c>
      <c r="AB31" s="30">
        <f t="shared" si="8"/>
        <v>0</v>
      </c>
    </row>
    <row r="32" spans="1:28" ht="15.75">
      <c r="A32" s="4" t="s">
        <v>39</v>
      </c>
      <c r="B32" s="5" t="s">
        <v>17</v>
      </c>
      <c r="C32" s="5" t="s">
        <v>17</v>
      </c>
      <c r="D32" s="5">
        <v>9</v>
      </c>
      <c r="E32" s="5">
        <v>164</v>
      </c>
      <c r="F32" s="5" t="s">
        <v>17</v>
      </c>
      <c r="G32" s="5" t="s">
        <v>17</v>
      </c>
      <c r="H32" s="5">
        <v>53636</v>
      </c>
      <c r="I32" s="5">
        <v>53636</v>
      </c>
      <c r="L32" s="24" t="s">
        <v>17</v>
      </c>
      <c r="M32" s="25" t="s">
        <v>17</v>
      </c>
      <c r="N32" s="25">
        <v>9</v>
      </c>
      <c r="O32" s="25">
        <v>164</v>
      </c>
      <c r="P32" s="25" t="s">
        <v>17</v>
      </c>
      <c r="Q32" s="25" t="s">
        <v>17</v>
      </c>
      <c r="R32" s="25">
        <v>53636</v>
      </c>
      <c r="S32" s="25">
        <v>53636</v>
      </c>
      <c r="U32" s="30" t="e">
        <f t="shared" si="1"/>
        <v>#VALUE!</v>
      </c>
      <c r="V32" s="30" t="e">
        <f t="shared" si="2"/>
        <v>#VALUE!</v>
      </c>
      <c r="W32" s="30">
        <f t="shared" si="3"/>
        <v>0</v>
      </c>
      <c r="X32" s="30">
        <f t="shared" si="4"/>
        <v>0</v>
      </c>
      <c r="Y32" s="30" t="e">
        <f t="shared" si="5"/>
        <v>#VALUE!</v>
      </c>
      <c r="Z32" s="30" t="e">
        <f t="shared" si="6"/>
        <v>#VALUE!</v>
      </c>
      <c r="AA32" s="30">
        <f t="shared" si="7"/>
        <v>0</v>
      </c>
      <c r="AB32" s="30">
        <f t="shared" si="8"/>
        <v>0</v>
      </c>
    </row>
    <row r="33" spans="1:28" ht="15.75">
      <c r="A33" s="4" t="s">
        <v>40</v>
      </c>
      <c r="B33" s="5">
        <v>1204900</v>
      </c>
      <c r="C33" s="5">
        <v>1211910</v>
      </c>
      <c r="D33" s="5">
        <v>7517</v>
      </c>
      <c r="E33" s="5">
        <v>20790</v>
      </c>
      <c r="F33" s="5" t="s">
        <v>17</v>
      </c>
      <c r="G33" s="5" t="s">
        <v>17</v>
      </c>
      <c r="H33" s="5">
        <v>545973</v>
      </c>
      <c r="I33" s="5">
        <v>311595</v>
      </c>
      <c r="L33" s="24">
        <v>1204900</v>
      </c>
      <c r="M33" s="25">
        <v>1211910</v>
      </c>
      <c r="N33" s="25">
        <v>7517</v>
      </c>
      <c r="O33" s="25">
        <v>20790</v>
      </c>
      <c r="P33" s="25" t="s">
        <v>17</v>
      </c>
      <c r="Q33" s="25" t="s">
        <v>17</v>
      </c>
      <c r="R33" s="25">
        <v>545973</v>
      </c>
      <c r="S33" s="25">
        <v>311595</v>
      </c>
      <c r="U33" s="30">
        <f t="shared" si="1"/>
        <v>0</v>
      </c>
      <c r="V33" s="30">
        <f t="shared" si="2"/>
        <v>0</v>
      </c>
      <c r="W33" s="30">
        <f t="shared" si="3"/>
        <v>0</v>
      </c>
      <c r="X33" s="30">
        <f t="shared" si="4"/>
        <v>0</v>
      </c>
      <c r="Y33" s="30" t="e">
        <f t="shared" si="5"/>
        <v>#VALUE!</v>
      </c>
      <c r="Z33" s="30" t="e">
        <f t="shared" si="6"/>
        <v>#VALUE!</v>
      </c>
      <c r="AA33" s="30">
        <f t="shared" si="7"/>
        <v>0</v>
      </c>
      <c r="AB33" s="30">
        <f t="shared" si="8"/>
        <v>0</v>
      </c>
    </row>
    <row r="34" spans="1:28" ht="15.75">
      <c r="A34" s="4" t="s">
        <v>41</v>
      </c>
      <c r="B34" s="5">
        <v>568729</v>
      </c>
      <c r="C34" s="5">
        <v>459807</v>
      </c>
      <c r="D34" s="5">
        <v>108306</v>
      </c>
      <c r="E34" s="5">
        <v>576523</v>
      </c>
      <c r="F34" s="5" t="s">
        <v>17</v>
      </c>
      <c r="G34" s="5" t="s">
        <v>17</v>
      </c>
      <c r="H34" s="5">
        <v>1116054</v>
      </c>
      <c r="I34" s="5">
        <v>2948673</v>
      </c>
      <c r="L34" s="24">
        <v>568729</v>
      </c>
      <c r="M34" s="25">
        <v>459807</v>
      </c>
      <c r="N34" s="25">
        <v>108306</v>
      </c>
      <c r="O34" s="25">
        <v>576523</v>
      </c>
      <c r="P34" s="25" t="s">
        <v>17</v>
      </c>
      <c r="Q34" s="25" t="s">
        <v>17</v>
      </c>
      <c r="R34" s="25">
        <v>1116054</v>
      </c>
      <c r="S34" s="25">
        <v>2948673</v>
      </c>
      <c r="U34" s="30">
        <f t="shared" si="1"/>
        <v>0</v>
      </c>
      <c r="V34" s="30">
        <f t="shared" si="2"/>
        <v>0</v>
      </c>
      <c r="W34" s="30">
        <f t="shared" si="3"/>
        <v>0</v>
      </c>
      <c r="X34" s="30">
        <f t="shared" si="4"/>
        <v>0</v>
      </c>
      <c r="Y34" s="30" t="e">
        <f t="shared" si="5"/>
        <v>#VALUE!</v>
      </c>
      <c r="Z34" s="30" t="e">
        <f t="shared" si="6"/>
        <v>#VALUE!</v>
      </c>
      <c r="AA34" s="30">
        <f t="shared" si="7"/>
        <v>0</v>
      </c>
      <c r="AB34" s="30">
        <f t="shared" si="8"/>
        <v>0</v>
      </c>
    </row>
    <row r="35" spans="1:28" ht="26.25">
      <c r="A35" s="4" t="s">
        <v>42</v>
      </c>
      <c r="B35" s="5">
        <v>13445376</v>
      </c>
      <c r="C35" s="5">
        <v>18115989</v>
      </c>
      <c r="D35" s="5">
        <v>490476</v>
      </c>
      <c r="E35" s="5">
        <v>825504</v>
      </c>
      <c r="F35" s="5" t="s">
        <v>17</v>
      </c>
      <c r="G35" s="5" t="s">
        <v>17</v>
      </c>
      <c r="H35" s="5">
        <v>1100493</v>
      </c>
      <c r="I35" s="5">
        <v>1048705</v>
      </c>
      <c r="L35" s="24">
        <v>13445376</v>
      </c>
      <c r="M35" s="25">
        <v>18115989</v>
      </c>
      <c r="N35" s="25">
        <v>490476</v>
      </c>
      <c r="O35" s="25">
        <v>825504</v>
      </c>
      <c r="P35" s="25" t="s">
        <v>17</v>
      </c>
      <c r="Q35" s="25" t="s">
        <v>17</v>
      </c>
      <c r="R35" s="25">
        <v>1100493</v>
      </c>
      <c r="S35" s="25">
        <v>1048705</v>
      </c>
      <c r="U35" s="30">
        <f t="shared" si="1"/>
        <v>0</v>
      </c>
      <c r="V35" s="30">
        <f t="shared" si="2"/>
        <v>0</v>
      </c>
      <c r="W35" s="30">
        <f t="shared" si="3"/>
        <v>0</v>
      </c>
      <c r="X35" s="30">
        <f t="shared" si="4"/>
        <v>0</v>
      </c>
      <c r="Y35" s="30" t="e">
        <f t="shared" si="5"/>
        <v>#VALUE!</v>
      </c>
      <c r="Z35" s="30" t="e">
        <f t="shared" si="6"/>
        <v>#VALUE!</v>
      </c>
      <c r="AA35" s="30">
        <f t="shared" si="7"/>
        <v>0</v>
      </c>
      <c r="AB35" s="30">
        <f t="shared" si="8"/>
        <v>0</v>
      </c>
    </row>
    <row r="36" spans="1:28" s="12" customFormat="1" ht="26.25">
      <c r="A36" s="10" t="s">
        <v>43</v>
      </c>
      <c r="B36" s="11">
        <v>4061109</v>
      </c>
      <c r="C36" s="11">
        <v>4821029</v>
      </c>
      <c r="D36" s="11">
        <v>969</v>
      </c>
      <c r="E36" s="11">
        <v>193</v>
      </c>
      <c r="F36" s="11" t="s">
        <v>17</v>
      </c>
      <c r="G36" s="11" t="s">
        <v>17</v>
      </c>
      <c r="H36" s="11">
        <v>20823</v>
      </c>
      <c r="I36" s="11">
        <v>21347</v>
      </c>
      <c r="L36" s="22">
        <v>4061109</v>
      </c>
      <c r="M36" s="23">
        <v>4821029</v>
      </c>
      <c r="N36" s="23">
        <v>969</v>
      </c>
      <c r="O36" s="23">
        <v>193</v>
      </c>
      <c r="P36" s="23" t="s">
        <v>17</v>
      </c>
      <c r="Q36" s="23" t="s">
        <v>17</v>
      </c>
      <c r="R36" s="23">
        <v>20823</v>
      </c>
      <c r="S36" s="23">
        <v>21347</v>
      </c>
      <c r="U36" s="30">
        <f t="shared" si="1"/>
        <v>0</v>
      </c>
      <c r="V36" s="30">
        <f t="shared" si="2"/>
        <v>0</v>
      </c>
      <c r="W36" s="30">
        <f t="shared" si="3"/>
        <v>0</v>
      </c>
      <c r="X36" s="30">
        <f t="shared" si="4"/>
        <v>0</v>
      </c>
      <c r="Y36" s="30" t="e">
        <f t="shared" si="5"/>
        <v>#VALUE!</v>
      </c>
      <c r="Z36" s="30" t="e">
        <f t="shared" si="6"/>
        <v>#VALUE!</v>
      </c>
      <c r="AA36" s="30">
        <f t="shared" si="7"/>
        <v>0</v>
      </c>
      <c r="AB36" s="30">
        <f t="shared" si="8"/>
        <v>0</v>
      </c>
    </row>
    <row r="37" spans="1:28" ht="27" thickBot="1">
      <c r="A37" s="4" t="s">
        <v>44</v>
      </c>
      <c r="B37" s="5">
        <v>4061109</v>
      </c>
      <c r="C37" s="5">
        <v>4821029</v>
      </c>
      <c r="D37" s="5">
        <v>969</v>
      </c>
      <c r="E37" s="5">
        <v>193</v>
      </c>
      <c r="F37" s="5" t="s">
        <v>17</v>
      </c>
      <c r="G37" s="5" t="s">
        <v>17</v>
      </c>
      <c r="H37" s="5">
        <v>20823</v>
      </c>
      <c r="I37" s="5">
        <v>21347</v>
      </c>
      <c r="L37" s="24">
        <v>4061109</v>
      </c>
      <c r="M37" s="25">
        <v>4821029</v>
      </c>
      <c r="N37" s="25">
        <v>969</v>
      </c>
      <c r="O37" s="25">
        <v>193</v>
      </c>
      <c r="P37" s="25" t="s">
        <v>17</v>
      </c>
      <c r="Q37" s="25" t="s">
        <v>17</v>
      </c>
      <c r="R37" s="25">
        <v>20823</v>
      </c>
      <c r="S37" s="25">
        <v>21347</v>
      </c>
      <c r="U37" s="30">
        <f t="shared" si="1"/>
        <v>0</v>
      </c>
      <c r="V37" s="30">
        <f t="shared" si="2"/>
        <v>0</v>
      </c>
      <c r="W37" s="30">
        <f t="shared" si="3"/>
        <v>0</v>
      </c>
      <c r="X37" s="30">
        <f t="shared" si="4"/>
        <v>0</v>
      </c>
      <c r="Y37" s="30" t="e">
        <f t="shared" si="5"/>
        <v>#VALUE!</v>
      </c>
      <c r="Z37" s="30" t="e">
        <f t="shared" si="6"/>
        <v>#VALUE!</v>
      </c>
      <c r="AA37" s="30">
        <f t="shared" si="7"/>
        <v>0</v>
      </c>
      <c r="AB37" s="30">
        <f t="shared" si="8"/>
        <v>0</v>
      </c>
    </row>
    <row r="38" spans="1:28" s="12" customFormat="1" ht="15.75">
      <c r="A38" s="10" t="s">
        <v>45</v>
      </c>
      <c r="B38" s="11">
        <v>2344399</v>
      </c>
      <c r="C38" s="11">
        <v>104080608</v>
      </c>
      <c r="D38" s="11">
        <v>5285</v>
      </c>
      <c r="E38" s="11">
        <v>2615228</v>
      </c>
      <c r="F38" s="11" t="s">
        <v>17</v>
      </c>
      <c r="G38" s="11" t="s">
        <v>17</v>
      </c>
      <c r="H38" s="11" t="s">
        <v>17</v>
      </c>
      <c r="I38" s="11" t="s">
        <v>17</v>
      </c>
      <c r="L38" s="20">
        <v>2344399</v>
      </c>
      <c r="M38" s="21">
        <v>104080608</v>
      </c>
      <c r="N38" s="21">
        <v>5285</v>
      </c>
      <c r="O38" s="21">
        <v>2615228</v>
      </c>
      <c r="P38" s="21" t="s">
        <v>17</v>
      </c>
      <c r="Q38" s="21" t="s">
        <v>17</v>
      </c>
      <c r="R38" s="21" t="s">
        <v>17</v>
      </c>
      <c r="S38" s="21" t="s">
        <v>17</v>
      </c>
      <c r="U38" s="30">
        <f t="shared" si="1"/>
        <v>0</v>
      </c>
      <c r="V38" s="30">
        <f t="shared" si="2"/>
        <v>0</v>
      </c>
      <c r="W38" s="30">
        <f t="shared" si="3"/>
        <v>0</v>
      </c>
      <c r="X38" s="30">
        <f t="shared" si="4"/>
        <v>0</v>
      </c>
      <c r="Y38" s="30" t="e">
        <f t="shared" si="5"/>
        <v>#VALUE!</v>
      </c>
      <c r="Z38" s="30" t="e">
        <f t="shared" si="6"/>
        <v>#VALUE!</v>
      </c>
      <c r="AA38" s="30" t="e">
        <f t="shared" si="7"/>
        <v>#VALUE!</v>
      </c>
      <c r="AB38" s="30" t="e">
        <f t="shared" si="8"/>
        <v>#VALUE!</v>
      </c>
    </row>
    <row r="39" spans="1:28" ht="39">
      <c r="A39" s="4" t="s">
        <v>46</v>
      </c>
      <c r="B39" s="5">
        <v>2344399</v>
      </c>
      <c r="C39" s="5">
        <v>104080608</v>
      </c>
      <c r="D39" s="5">
        <v>5285</v>
      </c>
      <c r="E39" s="5">
        <v>2615228</v>
      </c>
      <c r="F39" s="5" t="s">
        <v>17</v>
      </c>
      <c r="G39" s="5" t="s">
        <v>17</v>
      </c>
      <c r="H39" s="5" t="s">
        <v>17</v>
      </c>
      <c r="I39" s="5" t="s">
        <v>17</v>
      </c>
      <c r="L39" s="24">
        <v>2344399</v>
      </c>
      <c r="M39" s="25">
        <v>104080608</v>
      </c>
      <c r="N39" s="25">
        <v>5285</v>
      </c>
      <c r="O39" s="25">
        <v>2615228</v>
      </c>
      <c r="P39" s="25" t="s">
        <v>17</v>
      </c>
      <c r="Q39" s="25" t="s">
        <v>17</v>
      </c>
      <c r="R39" s="25" t="s">
        <v>17</v>
      </c>
      <c r="S39" s="25" t="s">
        <v>17</v>
      </c>
      <c r="U39" s="30">
        <f t="shared" si="1"/>
        <v>0</v>
      </c>
      <c r="V39" s="30">
        <f t="shared" si="2"/>
        <v>0</v>
      </c>
      <c r="W39" s="30">
        <f t="shared" si="3"/>
        <v>0</v>
      </c>
      <c r="X39" s="30">
        <f t="shared" si="4"/>
        <v>0</v>
      </c>
      <c r="Y39" s="30" t="e">
        <f t="shared" si="5"/>
        <v>#VALUE!</v>
      </c>
      <c r="Z39" s="30" t="e">
        <f t="shared" si="6"/>
        <v>#VALUE!</v>
      </c>
      <c r="AA39" s="30" t="e">
        <f t="shared" si="7"/>
        <v>#VALUE!</v>
      </c>
      <c r="AB39" s="30" t="e">
        <f t="shared" si="8"/>
        <v>#VALUE!</v>
      </c>
    </row>
    <row r="40" spans="1:28" s="12" customFormat="1" ht="26.25">
      <c r="A40" s="10" t="s">
        <v>47</v>
      </c>
      <c r="B40" s="11">
        <v>561134</v>
      </c>
      <c r="C40" s="11">
        <v>1160351</v>
      </c>
      <c r="D40" s="11">
        <v>94116</v>
      </c>
      <c r="E40" s="11">
        <v>70946</v>
      </c>
      <c r="F40" s="11" t="s">
        <v>17</v>
      </c>
      <c r="G40" s="11" t="s">
        <v>17</v>
      </c>
      <c r="H40" s="11">
        <v>39731</v>
      </c>
      <c r="I40" s="11">
        <v>54988</v>
      </c>
      <c r="L40" s="22">
        <v>561134</v>
      </c>
      <c r="M40" s="23">
        <v>1160351</v>
      </c>
      <c r="N40" s="23">
        <v>94116</v>
      </c>
      <c r="O40" s="23">
        <v>70946</v>
      </c>
      <c r="P40" s="23" t="s">
        <v>17</v>
      </c>
      <c r="Q40" s="23" t="s">
        <v>17</v>
      </c>
      <c r="R40" s="23">
        <v>39731</v>
      </c>
      <c r="S40" s="23">
        <v>54988</v>
      </c>
      <c r="U40" s="30">
        <f t="shared" si="1"/>
        <v>0</v>
      </c>
      <c r="V40" s="30">
        <f t="shared" si="2"/>
        <v>0</v>
      </c>
      <c r="W40" s="30">
        <f t="shared" si="3"/>
        <v>0</v>
      </c>
      <c r="X40" s="30">
        <f t="shared" si="4"/>
        <v>0</v>
      </c>
      <c r="Y40" s="30" t="e">
        <f t="shared" si="5"/>
        <v>#VALUE!</v>
      </c>
      <c r="Z40" s="30" t="e">
        <f t="shared" si="6"/>
        <v>#VALUE!</v>
      </c>
      <c r="AA40" s="30">
        <f t="shared" si="7"/>
        <v>0</v>
      </c>
      <c r="AB40" s="30">
        <f t="shared" si="8"/>
        <v>0</v>
      </c>
    </row>
    <row r="41" spans="1:28" ht="15.75">
      <c r="A41" s="4" t="s">
        <v>48</v>
      </c>
      <c r="B41" s="5">
        <v>561134</v>
      </c>
      <c r="C41" s="5">
        <v>1160351</v>
      </c>
      <c r="D41" s="5">
        <v>94116</v>
      </c>
      <c r="E41" s="5">
        <v>70946</v>
      </c>
      <c r="F41" s="5" t="s">
        <v>17</v>
      </c>
      <c r="G41" s="5" t="s">
        <v>17</v>
      </c>
      <c r="H41" s="5">
        <v>39731</v>
      </c>
      <c r="I41" s="5">
        <v>54988</v>
      </c>
      <c r="L41" s="24">
        <v>561134</v>
      </c>
      <c r="M41" s="25">
        <v>1160351</v>
      </c>
      <c r="N41" s="25">
        <v>94116</v>
      </c>
      <c r="O41" s="25">
        <v>70946</v>
      </c>
      <c r="P41" s="25" t="s">
        <v>17</v>
      </c>
      <c r="Q41" s="25" t="s">
        <v>17</v>
      </c>
      <c r="R41" s="25">
        <v>39731</v>
      </c>
      <c r="S41" s="25">
        <v>54988</v>
      </c>
      <c r="U41" s="30">
        <f t="shared" si="1"/>
        <v>0</v>
      </c>
      <c r="V41" s="30">
        <f t="shared" si="2"/>
        <v>0</v>
      </c>
      <c r="W41" s="30">
        <f t="shared" si="3"/>
        <v>0</v>
      </c>
      <c r="X41" s="30">
        <f t="shared" si="4"/>
        <v>0</v>
      </c>
      <c r="Y41" s="30" t="e">
        <f t="shared" si="5"/>
        <v>#VALUE!</v>
      </c>
      <c r="Z41" s="30" t="e">
        <f t="shared" si="6"/>
        <v>#VALUE!</v>
      </c>
      <c r="AA41" s="30">
        <f t="shared" si="7"/>
        <v>0</v>
      </c>
      <c r="AB41" s="30">
        <f t="shared" si="8"/>
        <v>0</v>
      </c>
    </row>
    <row r="42" spans="1:28" s="12" customFormat="1" ht="26.25">
      <c r="A42" s="10" t="s">
        <v>49</v>
      </c>
      <c r="B42" s="11">
        <v>1287212</v>
      </c>
      <c r="C42" s="11">
        <v>33725023</v>
      </c>
      <c r="D42" s="11">
        <v>1181381</v>
      </c>
      <c r="E42" s="11">
        <v>2441567</v>
      </c>
      <c r="F42" s="11" t="s">
        <v>17</v>
      </c>
      <c r="G42" s="11" t="s">
        <v>17</v>
      </c>
      <c r="H42" s="11">
        <v>258583</v>
      </c>
      <c r="I42" s="11">
        <v>941288</v>
      </c>
      <c r="L42" s="22">
        <v>1287212</v>
      </c>
      <c r="M42" s="23">
        <v>33725023</v>
      </c>
      <c r="N42" s="23">
        <v>1181381</v>
      </c>
      <c r="O42" s="23">
        <v>2441567</v>
      </c>
      <c r="P42" s="23" t="s">
        <v>17</v>
      </c>
      <c r="Q42" s="23" t="s">
        <v>17</v>
      </c>
      <c r="R42" s="23">
        <v>258583</v>
      </c>
      <c r="S42" s="23">
        <v>941288</v>
      </c>
      <c r="U42" s="30">
        <f t="shared" si="1"/>
        <v>0</v>
      </c>
      <c r="V42" s="30">
        <f t="shared" si="2"/>
        <v>0</v>
      </c>
      <c r="W42" s="30">
        <f t="shared" si="3"/>
        <v>0</v>
      </c>
      <c r="X42" s="30">
        <f t="shared" si="4"/>
        <v>0</v>
      </c>
      <c r="Y42" s="30" t="e">
        <f t="shared" si="5"/>
        <v>#VALUE!</v>
      </c>
      <c r="Z42" s="30" t="e">
        <f t="shared" si="6"/>
        <v>#VALUE!</v>
      </c>
      <c r="AA42" s="30">
        <f t="shared" si="7"/>
        <v>0</v>
      </c>
      <c r="AB42" s="30">
        <f t="shared" si="8"/>
        <v>0</v>
      </c>
    </row>
    <row r="43" spans="1:28" ht="26.25">
      <c r="A43" s="4" t="s">
        <v>50</v>
      </c>
      <c r="B43" s="5" t="s">
        <v>17</v>
      </c>
      <c r="C43" s="5" t="s">
        <v>17</v>
      </c>
      <c r="D43" s="5">
        <v>18406</v>
      </c>
      <c r="E43" s="5">
        <v>24015</v>
      </c>
      <c r="F43" s="5" t="s">
        <v>17</v>
      </c>
      <c r="G43" s="5" t="s">
        <v>17</v>
      </c>
      <c r="H43" s="5">
        <v>135352</v>
      </c>
      <c r="I43" s="5">
        <v>553702</v>
      </c>
      <c r="L43" s="24" t="s">
        <v>17</v>
      </c>
      <c r="M43" s="25" t="s">
        <v>17</v>
      </c>
      <c r="N43" s="25">
        <v>18406</v>
      </c>
      <c r="O43" s="25">
        <v>24015</v>
      </c>
      <c r="P43" s="25" t="s">
        <v>17</v>
      </c>
      <c r="Q43" s="25" t="s">
        <v>17</v>
      </c>
      <c r="R43" s="25">
        <v>135352</v>
      </c>
      <c r="S43" s="25">
        <v>553702</v>
      </c>
      <c r="U43" s="30" t="e">
        <f t="shared" si="1"/>
        <v>#VALUE!</v>
      </c>
      <c r="V43" s="30" t="e">
        <f t="shared" si="2"/>
        <v>#VALUE!</v>
      </c>
      <c r="W43" s="30">
        <f t="shared" si="3"/>
        <v>0</v>
      </c>
      <c r="X43" s="30">
        <f t="shared" si="4"/>
        <v>0</v>
      </c>
      <c r="Y43" s="30" t="e">
        <f t="shared" si="5"/>
        <v>#VALUE!</v>
      </c>
      <c r="Z43" s="30" t="e">
        <f t="shared" si="6"/>
        <v>#VALUE!</v>
      </c>
      <c r="AA43" s="30">
        <f t="shared" si="7"/>
        <v>0</v>
      </c>
      <c r="AB43" s="30">
        <f t="shared" si="8"/>
        <v>0</v>
      </c>
    </row>
    <row r="44" spans="1:28" ht="39">
      <c r="A44" s="4" t="s">
        <v>51</v>
      </c>
      <c r="B44" s="5">
        <v>1287212</v>
      </c>
      <c r="C44" s="5">
        <v>33725023</v>
      </c>
      <c r="D44" s="5">
        <v>1162975</v>
      </c>
      <c r="E44" s="5">
        <v>2417552</v>
      </c>
      <c r="F44" s="5" t="s">
        <v>17</v>
      </c>
      <c r="G44" s="5" t="s">
        <v>17</v>
      </c>
      <c r="H44" s="5">
        <v>122461</v>
      </c>
      <c r="I44" s="5">
        <v>386698</v>
      </c>
      <c r="L44" s="24">
        <v>1287212</v>
      </c>
      <c r="M44" s="25">
        <v>33725023</v>
      </c>
      <c r="N44" s="25">
        <v>1162975</v>
      </c>
      <c r="O44" s="25">
        <v>2417552</v>
      </c>
      <c r="P44" s="25" t="s">
        <v>17</v>
      </c>
      <c r="Q44" s="25" t="s">
        <v>17</v>
      </c>
      <c r="R44" s="25">
        <v>122461</v>
      </c>
      <c r="S44" s="25">
        <v>386698</v>
      </c>
      <c r="U44" s="30">
        <f t="shared" si="1"/>
        <v>0</v>
      </c>
      <c r="V44" s="30">
        <f t="shared" si="2"/>
        <v>0</v>
      </c>
      <c r="W44" s="30">
        <f t="shared" si="3"/>
        <v>0</v>
      </c>
      <c r="X44" s="30">
        <f t="shared" si="4"/>
        <v>0</v>
      </c>
      <c r="Y44" s="30" t="e">
        <f t="shared" si="5"/>
        <v>#VALUE!</v>
      </c>
      <c r="Z44" s="30" t="e">
        <f t="shared" si="6"/>
        <v>#VALUE!</v>
      </c>
      <c r="AA44" s="30">
        <f t="shared" si="7"/>
        <v>0</v>
      </c>
      <c r="AB44" s="30">
        <f t="shared" si="8"/>
        <v>0</v>
      </c>
    </row>
    <row r="45" spans="1:28" ht="26.25">
      <c r="A45" s="4" t="s">
        <v>52</v>
      </c>
      <c r="B45" s="5" t="s">
        <v>17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>
        <v>770</v>
      </c>
      <c r="I45" s="5">
        <v>888</v>
      </c>
      <c r="L45" s="24" t="s">
        <v>17</v>
      </c>
      <c r="M45" s="25" t="s">
        <v>17</v>
      </c>
      <c r="N45" s="25" t="s">
        <v>17</v>
      </c>
      <c r="O45" s="25" t="s">
        <v>17</v>
      </c>
      <c r="P45" s="25" t="s">
        <v>17</v>
      </c>
      <c r="Q45" s="25" t="s">
        <v>17</v>
      </c>
      <c r="R45" s="25">
        <v>770</v>
      </c>
      <c r="S45" s="25">
        <v>888</v>
      </c>
      <c r="U45" s="30" t="e">
        <f t="shared" si="1"/>
        <v>#VALUE!</v>
      </c>
      <c r="V45" s="30" t="e">
        <f t="shared" si="2"/>
        <v>#VALUE!</v>
      </c>
      <c r="W45" s="30" t="e">
        <f t="shared" si="3"/>
        <v>#VALUE!</v>
      </c>
      <c r="X45" s="30" t="e">
        <f t="shared" si="4"/>
        <v>#VALUE!</v>
      </c>
      <c r="Y45" s="30" t="e">
        <f t="shared" si="5"/>
        <v>#VALUE!</v>
      </c>
      <c r="Z45" s="30" t="e">
        <f t="shared" si="6"/>
        <v>#VALUE!</v>
      </c>
      <c r="AA45" s="30">
        <f t="shared" si="7"/>
        <v>0</v>
      </c>
      <c r="AB45" s="30">
        <f t="shared" si="8"/>
        <v>0</v>
      </c>
    </row>
    <row r="46" spans="1:28" s="12" customFormat="1" ht="26.25">
      <c r="A46" s="10" t="s">
        <v>53</v>
      </c>
      <c r="B46" s="11">
        <v>212585</v>
      </c>
      <c r="C46" s="11">
        <v>259106</v>
      </c>
      <c r="D46" s="11">
        <v>19449</v>
      </c>
      <c r="E46" s="11">
        <v>27415</v>
      </c>
      <c r="F46" s="11">
        <v>65474</v>
      </c>
      <c r="G46" s="11">
        <v>77989</v>
      </c>
      <c r="H46" s="11" t="s">
        <v>17</v>
      </c>
      <c r="I46" s="11" t="s">
        <v>17</v>
      </c>
      <c r="L46" s="22">
        <v>212585</v>
      </c>
      <c r="M46" s="23">
        <v>259106</v>
      </c>
      <c r="N46" s="23">
        <v>19449</v>
      </c>
      <c r="O46" s="23">
        <v>27415</v>
      </c>
      <c r="P46" s="23">
        <v>65474</v>
      </c>
      <c r="Q46" s="23">
        <v>77989</v>
      </c>
      <c r="R46" s="23" t="s">
        <v>17</v>
      </c>
      <c r="S46" s="23" t="s">
        <v>17</v>
      </c>
      <c r="U46" s="30">
        <f t="shared" si="1"/>
        <v>0</v>
      </c>
      <c r="V46" s="30">
        <f t="shared" si="2"/>
        <v>0</v>
      </c>
      <c r="W46" s="30">
        <f t="shared" si="3"/>
        <v>0</v>
      </c>
      <c r="X46" s="30">
        <f t="shared" si="4"/>
        <v>0</v>
      </c>
      <c r="Y46" s="30">
        <f t="shared" si="5"/>
        <v>0</v>
      </c>
      <c r="Z46" s="30">
        <f t="shared" si="6"/>
        <v>0</v>
      </c>
      <c r="AA46" s="30" t="e">
        <f t="shared" si="7"/>
        <v>#VALUE!</v>
      </c>
      <c r="AB46" s="30" t="e">
        <f t="shared" si="8"/>
        <v>#VALUE!</v>
      </c>
    </row>
    <row r="47" spans="1:28" ht="15.75">
      <c r="A47" s="4" t="s">
        <v>54</v>
      </c>
      <c r="B47" s="5" t="s">
        <v>17</v>
      </c>
      <c r="C47" s="5" t="s">
        <v>17</v>
      </c>
      <c r="D47" s="5">
        <v>18725</v>
      </c>
      <c r="E47" s="5">
        <v>23719</v>
      </c>
      <c r="F47" s="5">
        <v>65474</v>
      </c>
      <c r="G47" s="5">
        <v>77989</v>
      </c>
      <c r="H47" s="5" t="s">
        <v>17</v>
      </c>
      <c r="I47" s="5" t="s">
        <v>17</v>
      </c>
      <c r="L47" s="24" t="s">
        <v>17</v>
      </c>
      <c r="M47" s="25" t="s">
        <v>17</v>
      </c>
      <c r="N47" s="25">
        <v>18725</v>
      </c>
      <c r="O47" s="25">
        <v>23719</v>
      </c>
      <c r="P47" s="25">
        <v>65474</v>
      </c>
      <c r="Q47" s="25">
        <v>77989</v>
      </c>
      <c r="R47" s="25" t="s">
        <v>17</v>
      </c>
      <c r="S47" s="25" t="s">
        <v>17</v>
      </c>
      <c r="U47" s="30" t="e">
        <f t="shared" si="1"/>
        <v>#VALUE!</v>
      </c>
      <c r="V47" s="30" t="e">
        <f t="shared" si="2"/>
        <v>#VALUE!</v>
      </c>
      <c r="W47" s="30">
        <f t="shared" si="3"/>
        <v>0</v>
      </c>
      <c r="X47" s="30">
        <f t="shared" si="4"/>
        <v>0</v>
      </c>
      <c r="Y47" s="30">
        <f t="shared" si="5"/>
        <v>0</v>
      </c>
      <c r="Z47" s="30">
        <f t="shared" si="6"/>
        <v>0</v>
      </c>
      <c r="AA47" s="30" t="e">
        <f t="shared" si="7"/>
        <v>#VALUE!</v>
      </c>
      <c r="AB47" s="30" t="e">
        <f t="shared" si="8"/>
        <v>#VALUE!</v>
      </c>
    </row>
    <row r="48" spans="1:28" ht="26.25">
      <c r="A48" s="4" t="s">
        <v>55</v>
      </c>
      <c r="B48" s="5">
        <v>102175</v>
      </c>
      <c r="C48" s="5">
        <v>259106</v>
      </c>
      <c r="D48" s="5">
        <v>724</v>
      </c>
      <c r="E48" s="5">
        <v>3696</v>
      </c>
      <c r="F48" s="5" t="s">
        <v>17</v>
      </c>
      <c r="G48" s="5" t="s">
        <v>17</v>
      </c>
      <c r="H48" s="5" t="s">
        <v>17</v>
      </c>
      <c r="I48" s="5" t="s">
        <v>17</v>
      </c>
      <c r="L48" s="24">
        <v>102175</v>
      </c>
      <c r="M48" s="25">
        <v>259106</v>
      </c>
      <c r="N48" s="25">
        <v>724</v>
      </c>
      <c r="O48" s="25">
        <v>3696</v>
      </c>
      <c r="P48" s="25" t="s">
        <v>17</v>
      </c>
      <c r="Q48" s="25" t="s">
        <v>17</v>
      </c>
      <c r="R48" s="25" t="s">
        <v>17</v>
      </c>
      <c r="S48" s="25" t="s">
        <v>17</v>
      </c>
      <c r="U48" s="30">
        <f t="shared" si="1"/>
        <v>0</v>
      </c>
      <c r="V48" s="30">
        <f t="shared" si="2"/>
        <v>0</v>
      </c>
      <c r="W48" s="30">
        <f t="shared" si="3"/>
        <v>0</v>
      </c>
      <c r="X48" s="30">
        <f t="shared" si="4"/>
        <v>0</v>
      </c>
      <c r="Y48" s="30" t="e">
        <f t="shared" si="5"/>
        <v>#VALUE!</v>
      </c>
      <c r="Z48" s="30" t="e">
        <f t="shared" si="6"/>
        <v>#VALUE!</v>
      </c>
      <c r="AA48" s="30" t="e">
        <f t="shared" si="7"/>
        <v>#VALUE!</v>
      </c>
      <c r="AB48" s="30" t="e">
        <f t="shared" si="8"/>
        <v>#VALUE!</v>
      </c>
    </row>
    <row r="49" spans="1:28" ht="15.75">
      <c r="A49" s="4" t="s">
        <v>56</v>
      </c>
      <c r="B49" s="5">
        <v>110410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L49" s="24">
        <v>110410</v>
      </c>
      <c r="M49" s="25" t="s">
        <v>17</v>
      </c>
      <c r="N49" s="25" t="s">
        <v>17</v>
      </c>
      <c r="O49" s="25" t="s">
        <v>17</v>
      </c>
      <c r="P49" s="25" t="s">
        <v>17</v>
      </c>
      <c r="Q49" s="25" t="s">
        <v>17</v>
      </c>
      <c r="R49" s="25" t="s">
        <v>17</v>
      </c>
      <c r="S49" s="25" t="s">
        <v>17</v>
      </c>
      <c r="U49" s="30">
        <f t="shared" si="1"/>
        <v>0</v>
      </c>
      <c r="V49" s="30" t="e">
        <f t="shared" si="2"/>
        <v>#VALUE!</v>
      </c>
      <c r="W49" s="30" t="e">
        <f t="shared" si="3"/>
        <v>#VALUE!</v>
      </c>
      <c r="X49" s="30" t="e">
        <f t="shared" si="4"/>
        <v>#VALUE!</v>
      </c>
      <c r="Y49" s="30" t="e">
        <f t="shared" si="5"/>
        <v>#VALUE!</v>
      </c>
      <c r="Z49" s="30" t="e">
        <f t="shared" si="6"/>
        <v>#VALUE!</v>
      </c>
      <c r="AA49" s="30" t="e">
        <f t="shared" si="7"/>
        <v>#VALUE!</v>
      </c>
      <c r="AB49" s="30" t="e">
        <f t="shared" si="8"/>
        <v>#VALUE!</v>
      </c>
    </row>
    <row r="50" spans="1:28" s="12" customFormat="1" ht="39">
      <c r="A50" s="10" t="s">
        <v>57</v>
      </c>
      <c r="B50" s="11"/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>
        <v>102947</v>
      </c>
      <c r="I50" s="11" t="s">
        <v>17</v>
      </c>
      <c r="L50" s="28" t="s">
        <v>17</v>
      </c>
      <c r="M50" s="29" t="s">
        <v>17</v>
      </c>
      <c r="N50" s="29" t="s">
        <v>17</v>
      </c>
      <c r="O50" s="29" t="s">
        <v>17</v>
      </c>
      <c r="P50" s="29" t="s">
        <v>17</v>
      </c>
      <c r="Q50" s="29" t="s">
        <v>17</v>
      </c>
      <c r="R50" s="29">
        <v>102947</v>
      </c>
      <c r="S50" s="29" t="s">
        <v>17</v>
      </c>
      <c r="U50" s="30" t="e">
        <f t="shared" si="1"/>
        <v>#VALUE!</v>
      </c>
      <c r="V50" s="30" t="e">
        <f t="shared" si="2"/>
        <v>#VALUE!</v>
      </c>
      <c r="W50" s="30" t="e">
        <f t="shared" si="3"/>
        <v>#VALUE!</v>
      </c>
      <c r="X50" s="30" t="e">
        <f t="shared" si="4"/>
        <v>#VALUE!</v>
      </c>
      <c r="Y50" s="30" t="e">
        <f t="shared" si="5"/>
        <v>#VALUE!</v>
      </c>
      <c r="Z50" s="30" t="e">
        <f t="shared" si="6"/>
        <v>#VALUE!</v>
      </c>
      <c r="AA50" s="30">
        <f t="shared" si="7"/>
        <v>0</v>
      </c>
      <c r="AB50" s="30" t="e">
        <f t="shared" si="8"/>
        <v>#VALUE!</v>
      </c>
    </row>
    <row r="51" spans="1:28" ht="39">
      <c r="A51" s="4" t="s">
        <v>58</v>
      </c>
      <c r="B51" s="5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5">
        <v>102947</v>
      </c>
      <c r="I51" s="5" t="s">
        <v>17</v>
      </c>
      <c r="L51" s="24" t="s">
        <v>17</v>
      </c>
      <c r="M51" s="25" t="s">
        <v>17</v>
      </c>
      <c r="N51" s="25" t="s">
        <v>17</v>
      </c>
      <c r="O51" s="25" t="s">
        <v>17</v>
      </c>
      <c r="P51" s="25" t="s">
        <v>17</v>
      </c>
      <c r="Q51" s="25" t="s">
        <v>17</v>
      </c>
      <c r="R51" s="25">
        <v>102947</v>
      </c>
      <c r="S51" s="25" t="s">
        <v>17</v>
      </c>
      <c r="U51" s="30" t="e">
        <f t="shared" si="1"/>
        <v>#VALUE!</v>
      </c>
      <c r="V51" s="30" t="e">
        <f t="shared" si="2"/>
        <v>#VALUE!</v>
      </c>
      <c r="W51" s="30" t="e">
        <f t="shared" si="3"/>
        <v>#VALUE!</v>
      </c>
      <c r="X51" s="30" t="e">
        <f t="shared" si="4"/>
        <v>#VALUE!</v>
      </c>
      <c r="Y51" s="30" t="e">
        <f t="shared" si="5"/>
        <v>#VALUE!</v>
      </c>
      <c r="Z51" s="30" t="e">
        <f t="shared" si="6"/>
        <v>#VALUE!</v>
      </c>
      <c r="AA51" s="30">
        <f t="shared" si="7"/>
        <v>0</v>
      </c>
      <c r="AB51" s="30" t="e">
        <f t="shared" si="8"/>
        <v>#VALUE!</v>
      </c>
    </row>
    <row r="52" spans="1:28" s="12" customFormat="1" ht="15.75">
      <c r="A52" s="13" t="s">
        <v>59</v>
      </c>
      <c r="B52" s="14" t="s">
        <v>17</v>
      </c>
      <c r="C52" s="14" t="s">
        <v>17</v>
      </c>
      <c r="D52" s="14" t="s">
        <v>17</v>
      </c>
      <c r="E52" s="14" t="s">
        <v>17</v>
      </c>
      <c r="F52" s="14" t="s">
        <v>17</v>
      </c>
      <c r="G52" s="14" t="s">
        <v>17</v>
      </c>
      <c r="H52" s="14">
        <v>265</v>
      </c>
      <c r="I52" s="14">
        <v>176</v>
      </c>
      <c r="L52" s="22" t="s">
        <v>17</v>
      </c>
      <c r="M52" s="23" t="s">
        <v>17</v>
      </c>
      <c r="N52" s="23" t="s">
        <v>17</v>
      </c>
      <c r="O52" s="23" t="s">
        <v>17</v>
      </c>
      <c r="P52" s="23" t="s">
        <v>17</v>
      </c>
      <c r="Q52" s="23" t="s">
        <v>17</v>
      </c>
      <c r="R52" s="23">
        <v>265</v>
      </c>
      <c r="S52" s="23">
        <v>176</v>
      </c>
      <c r="U52" s="30" t="e">
        <f t="shared" si="1"/>
        <v>#VALUE!</v>
      </c>
      <c r="V52" s="30" t="e">
        <f t="shared" si="2"/>
        <v>#VALUE!</v>
      </c>
      <c r="W52" s="30" t="e">
        <f t="shared" si="3"/>
        <v>#VALUE!</v>
      </c>
      <c r="X52" s="30" t="e">
        <f t="shared" si="4"/>
        <v>#VALUE!</v>
      </c>
      <c r="Y52" s="30" t="e">
        <f t="shared" si="5"/>
        <v>#VALUE!</v>
      </c>
      <c r="Z52" s="30" t="e">
        <f t="shared" si="6"/>
        <v>#VALUE!</v>
      </c>
      <c r="AA52" s="30">
        <f t="shared" si="7"/>
        <v>0</v>
      </c>
      <c r="AB52" s="30">
        <f t="shared" si="8"/>
        <v>0</v>
      </c>
    </row>
    <row r="53" spans="1:28" ht="26.25">
      <c r="A53" s="4" t="s">
        <v>60</v>
      </c>
      <c r="B53" s="5" t="s">
        <v>17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17</v>
      </c>
      <c r="H53" s="5">
        <v>265</v>
      </c>
      <c r="I53" s="5">
        <v>176</v>
      </c>
      <c r="L53" s="24" t="s">
        <v>17</v>
      </c>
      <c r="M53" s="25" t="s">
        <v>17</v>
      </c>
      <c r="N53" s="25" t="s">
        <v>17</v>
      </c>
      <c r="O53" s="25" t="s">
        <v>17</v>
      </c>
      <c r="P53" s="25" t="s">
        <v>17</v>
      </c>
      <c r="Q53" s="25" t="s">
        <v>17</v>
      </c>
      <c r="R53" s="25">
        <v>265</v>
      </c>
      <c r="S53" s="25">
        <v>176</v>
      </c>
      <c r="U53" s="30" t="e">
        <f t="shared" si="1"/>
        <v>#VALUE!</v>
      </c>
      <c r="V53" s="30" t="e">
        <f t="shared" si="2"/>
        <v>#VALUE!</v>
      </c>
      <c r="W53" s="30" t="e">
        <f t="shared" si="3"/>
        <v>#VALUE!</v>
      </c>
      <c r="X53" s="30" t="e">
        <f t="shared" si="4"/>
        <v>#VALUE!</v>
      </c>
      <c r="Y53" s="30" t="e">
        <f t="shared" si="5"/>
        <v>#VALUE!</v>
      </c>
      <c r="Z53" s="30" t="e">
        <f t="shared" si="6"/>
        <v>#VALUE!</v>
      </c>
      <c r="AA53" s="30">
        <f t="shared" si="7"/>
        <v>0</v>
      </c>
      <c r="AB53" s="30">
        <f t="shared" si="8"/>
        <v>0</v>
      </c>
    </row>
  </sheetData>
  <mergeCells count="11">
    <mergeCell ref="A5:A6"/>
    <mergeCell ref="B5:C5"/>
    <mergeCell ref="D5:E5"/>
    <mergeCell ref="H5:I5"/>
    <mergeCell ref="B1:E1"/>
    <mergeCell ref="B2:E2"/>
    <mergeCell ref="B3:E3"/>
    <mergeCell ref="F1:I1"/>
    <mergeCell ref="F2:I2"/>
    <mergeCell ref="F3:I3"/>
    <mergeCell ref="F5:G5"/>
  </mergeCells>
  <phoneticPr fontId="0" type="noConversion"/>
  <pageMargins left="1.1811023622047245" right="0.39370078740157483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20  Лист &amp;P</oddHeader>
  </headerFooter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Лист1!ExternalData_1</vt:lpstr>
      <vt:lpstr>Лист1!Заголовки_для_печати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2017-11-27T13:33:11Z</cp:lastPrinted>
  <dcterms:created xsi:type="dcterms:W3CDTF">2006-03-03T08:34:22Z</dcterms:created>
  <dcterms:modified xsi:type="dcterms:W3CDTF">2025-09-02T00:00:21Z</dcterms:modified>
</cp:coreProperties>
</file>