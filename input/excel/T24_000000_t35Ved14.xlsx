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90" yWindow="30" windowWidth="9405" windowHeight="4875" tabRatio="373"/>
  </bookViews>
  <sheets>
    <sheet name="T35" sheetId="1" r:id="rId1"/>
  </sheets>
  <definedNames>
    <definedName name="_xlnm._FilterDatabase" localSheetId="0" hidden="1">'T35'!$A$8:$AA$66</definedName>
    <definedName name="ExternalData_1" localSheetId="0">'T35'!$A$8:$J$66</definedName>
    <definedName name="_xlnm.Print_Titles" localSheetId="0">'T35'!$4:$7</definedName>
  </definedNames>
  <calcPr calcId="125725"/>
</workbook>
</file>

<file path=xl/calcChain.xml><?xml version="1.0" encoding="utf-8"?>
<calcChain xmlns="http://schemas.openxmlformats.org/spreadsheetml/2006/main">
  <c r="T10" i="1"/>
  <c r="U10"/>
  <c r="V10"/>
  <c r="W10"/>
  <c r="X10"/>
  <c r="Y10"/>
  <c r="Z10"/>
  <c r="AA10"/>
  <c r="T11"/>
  <c r="U11"/>
  <c r="V11"/>
  <c r="W11"/>
  <c r="X11"/>
  <c r="Y11"/>
  <c r="Z11"/>
  <c r="AA11"/>
  <c r="T12"/>
  <c r="U12"/>
  <c r="V12"/>
  <c r="W12"/>
  <c r="X12"/>
  <c r="Y12"/>
  <c r="Z12"/>
  <c r="AA12"/>
  <c r="T13"/>
  <c r="U13"/>
  <c r="V13"/>
  <c r="W13"/>
  <c r="X13"/>
  <c r="Y13"/>
  <c r="Z13"/>
  <c r="AA13"/>
  <c r="T14"/>
  <c r="U14"/>
  <c r="V14"/>
  <c r="W14"/>
  <c r="X14"/>
  <c r="Y14"/>
  <c r="Z14"/>
  <c r="AA14"/>
  <c r="T15"/>
  <c r="U15"/>
  <c r="V15"/>
  <c r="W15"/>
  <c r="X15"/>
  <c r="Y15"/>
  <c r="Z15"/>
  <c r="AA15"/>
  <c r="T16"/>
  <c r="U16"/>
  <c r="V16"/>
  <c r="W16"/>
  <c r="X16"/>
  <c r="Y16"/>
  <c r="Z16"/>
  <c r="AA16"/>
  <c r="T17"/>
  <c r="U17"/>
  <c r="V17"/>
  <c r="W17"/>
  <c r="X17"/>
  <c r="Y17"/>
  <c r="Z17"/>
  <c r="AA17"/>
  <c r="T18"/>
  <c r="U18"/>
  <c r="V18"/>
  <c r="W18"/>
  <c r="X18"/>
  <c r="Y18"/>
  <c r="Z18"/>
  <c r="AA18"/>
  <c r="T19"/>
  <c r="U19"/>
  <c r="V19"/>
  <c r="W19"/>
  <c r="X19"/>
  <c r="Y19"/>
  <c r="Z19"/>
  <c r="AA19"/>
  <c r="T20"/>
  <c r="U20"/>
  <c r="V20"/>
  <c r="W20"/>
  <c r="X20"/>
  <c r="Y20"/>
  <c r="Z20"/>
  <c r="AA20"/>
  <c r="T21"/>
  <c r="U21"/>
  <c r="V21"/>
  <c r="W21"/>
  <c r="X21"/>
  <c r="Y21"/>
  <c r="Z21"/>
  <c r="AA21"/>
  <c r="T22"/>
  <c r="U22"/>
  <c r="V22"/>
  <c r="W22"/>
  <c r="X22"/>
  <c r="Y22"/>
  <c r="Z22"/>
  <c r="AA22"/>
  <c r="T23"/>
  <c r="U23"/>
  <c r="V23"/>
  <c r="W23"/>
  <c r="X23"/>
  <c r="Y23"/>
  <c r="Z23"/>
  <c r="AA23"/>
  <c r="T24"/>
  <c r="U24"/>
  <c r="V24"/>
  <c r="W24"/>
  <c r="X24"/>
  <c r="Y24"/>
  <c r="Z24"/>
  <c r="AA24"/>
  <c r="T25"/>
  <c r="U25"/>
  <c r="V25"/>
  <c r="W25"/>
  <c r="X25"/>
  <c r="Y25"/>
  <c r="Z25"/>
  <c r="AA25"/>
  <c r="T26"/>
  <c r="U26"/>
  <c r="V26"/>
  <c r="W26"/>
  <c r="X26"/>
  <c r="Y26"/>
  <c r="Z26"/>
  <c r="AA26"/>
  <c r="T27"/>
  <c r="U27"/>
  <c r="V27"/>
  <c r="W27"/>
  <c r="X27"/>
  <c r="Y27"/>
  <c r="Z27"/>
  <c r="AA27"/>
  <c r="T28"/>
  <c r="U28"/>
  <c r="V28"/>
  <c r="W28"/>
  <c r="X28"/>
  <c r="Y28"/>
  <c r="Z28"/>
  <c r="AA28"/>
  <c r="T29"/>
  <c r="U29"/>
  <c r="V29"/>
  <c r="W29"/>
  <c r="X29"/>
  <c r="Y29"/>
  <c r="Z29"/>
  <c r="AA29"/>
  <c r="T30"/>
  <c r="U30"/>
  <c r="V30"/>
  <c r="W30"/>
  <c r="X30"/>
  <c r="Y30"/>
  <c r="Z30"/>
  <c r="AA30"/>
  <c r="T31"/>
  <c r="U31"/>
  <c r="V31"/>
  <c r="W31"/>
  <c r="X31"/>
  <c r="Y31"/>
  <c r="Z31"/>
  <c r="AA31"/>
  <c r="T32"/>
  <c r="U32"/>
  <c r="V32"/>
  <c r="W32"/>
  <c r="X32"/>
  <c r="Y32"/>
  <c r="Z32"/>
  <c r="AA32"/>
  <c r="T33"/>
  <c r="U33"/>
  <c r="V33"/>
  <c r="W33"/>
  <c r="X33"/>
  <c r="Y33"/>
  <c r="Z33"/>
  <c r="AA33"/>
  <c r="T34"/>
  <c r="U34"/>
  <c r="V34"/>
  <c r="W34"/>
  <c r="X34"/>
  <c r="Y34"/>
  <c r="Z34"/>
  <c r="AA34"/>
  <c r="T35"/>
  <c r="U35"/>
  <c r="V35"/>
  <c r="W35"/>
  <c r="X35"/>
  <c r="Y35"/>
  <c r="Z35"/>
  <c r="AA35"/>
  <c r="T36"/>
  <c r="U36"/>
  <c r="V36"/>
  <c r="W36"/>
  <c r="X36"/>
  <c r="Y36"/>
  <c r="Z36"/>
  <c r="AA36"/>
  <c r="T37"/>
  <c r="U37"/>
  <c r="V37"/>
  <c r="W37"/>
  <c r="X37"/>
  <c r="Y37"/>
  <c r="Z37"/>
  <c r="AA37"/>
  <c r="T38"/>
  <c r="U38"/>
  <c r="V38"/>
  <c r="W38"/>
  <c r="X38"/>
  <c r="Y38"/>
  <c r="Z38"/>
  <c r="AA38"/>
  <c r="T39"/>
  <c r="U39"/>
  <c r="V39"/>
  <c r="W39"/>
  <c r="X39"/>
  <c r="Y39"/>
  <c r="Z39"/>
  <c r="AA39"/>
  <c r="T40"/>
  <c r="U40"/>
  <c r="V40"/>
  <c r="W40"/>
  <c r="X40"/>
  <c r="Y40"/>
  <c r="Z40"/>
  <c r="AA40"/>
  <c r="T41"/>
  <c r="U41"/>
  <c r="V41"/>
  <c r="W41"/>
  <c r="X41"/>
  <c r="Y41"/>
  <c r="Z41"/>
  <c r="AA41"/>
  <c r="T42"/>
  <c r="U42"/>
  <c r="V42"/>
  <c r="W42"/>
  <c r="X42"/>
  <c r="Y42"/>
  <c r="Z42"/>
  <c r="AA42"/>
  <c r="T43"/>
  <c r="U43"/>
  <c r="V43"/>
  <c r="W43"/>
  <c r="X43"/>
  <c r="Y43"/>
  <c r="Z43"/>
  <c r="AA43"/>
  <c r="T44"/>
  <c r="U44"/>
  <c r="V44"/>
  <c r="W44"/>
  <c r="X44"/>
  <c r="Y44"/>
  <c r="Z44"/>
  <c r="AA44"/>
  <c r="T45"/>
  <c r="U45"/>
  <c r="V45"/>
  <c r="W45"/>
  <c r="X45"/>
  <c r="Y45"/>
  <c r="Z45"/>
  <c r="AA45"/>
  <c r="T46"/>
  <c r="U46"/>
  <c r="V46"/>
  <c r="W46"/>
  <c r="X46"/>
  <c r="Y46"/>
  <c r="Z46"/>
  <c r="AA46"/>
  <c r="T47"/>
  <c r="U47"/>
  <c r="V47"/>
  <c r="W47"/>
  <c r="X47"/>
  <c r="Y47"/>
  <c r="Z47"/>
  <c r="AA47"/>
  <c r="T48"/>
  <c r="U48"/>
  <c r="V48"/>
  <c r="W48"/>
  <c r="X48"/>
  <c r="Y48"/>
  <c r="Z48"/>
  <c r="AA48"/>
  <c r="T49"/>
  <c r="U49"/>
  <c r="V49"/>
  <c r="W49"/>
  <c r="X49"/>
  <c r="Y49"/>
  <c r="Z49"/>
  <c r="AA49"/>
  <c r="T50"/>
  <c r="U50"/>
  <c r="V50"/>
  <c r="W50"/>
  <c r="X50"/>
  <c r="Y50"/>
  <c r="Z50"/>
  <c r="AA50"/>
  <c r="T51"/>
  <c r="U51"/>
  <c r="V51"/>
  <c r="W51"/>
  <c r="X51"/>
  <c r="Y51"/>
  <c r="Z51"/>
  <c r="AA51"/>
  <c r="T52"/>
  <c r="U52"/>
  <c r="V52"/>
  <c r="W52"/>
  <c r="X52"/>
  <c r="Y52"/>
  <c r="Z52"/>
  <c r="AA52"/>
  <c r="T53"/>
  <c r="U53"/>
  <c r="V53"/>
  <c r="W53"/>
  <c r="X53"/>
  <c r="Y53"/>
  <c r="Z53"/>
  <c r="AA53"/>
  <c r="T54"/>
  <c r="U54"/>
  <c r="V54"/>
  <c r="W54"/>
  <c r="X54"/>
  <c r="Y54"/>
  <c r="Z54"/>
  <c r="AA54"/>
  <c r="T55"/>
  <c r="U55"/>
  <c r="V55"/>
  <c r="W55"/>
  <c r="X55"/>
  <c r="Y55"/>
  <c r="Z55"/>
  <c r="AA55"/>
  <c r="T56"/>
  <c r="U56"/>
  <c r="V56"/>
  <c r="W56"/>
  <c r="X56"/>
  <c r="Y56"/>
  <c r="Z56"/>
  <c r="AA56"/>
  <c r="T57"/>
  <c r="U57"/>
  <c r="V57"/>
  <c r="W57"/>
  <c r="X57"/>
  <c r="Y57"/>
  <c r="Z57"/>
  <c r="AA57"/>
  <c r="T58"/>
  <c r="U58"/>
  <c r="V58"/>
  <c r="W58"/>
  <c r="X58"/>
  <c r="Y58"/>
  <c r="Z58"/>
  <c r="AA58"/>
  <c r="T59"/>
  <c r="U59"/>
  <c r="V59"/>
  <c r="W59"/>
  <c r="X59"/>
  <c r="Y59"/>
  <c r="Z59"/>
  <c r="AA59"/>
  <c r="T60"/>
  <c r="U60"/>
  <c r="V60"/>
  <c r="W60"/>
  <c r="X60"/>
  <c r="Y60"/>
  <c r="Z60"/>
  <c r="AA60"/>
  <c r="T61"/>
  <c r="U61"/>
  <c r="V61"/>
  <c r="W61"/>
  <c r="X61"/>
  <c r="Y61"/>
  <c r="Z61"/>
  <c r="AA61"/>
  <c r="T62"/>
  <c r="U62"/>
  <c r="V62"/>
  <c r="W62"/>
  <c r="X62"/>
  <c r="Y62"/>
  <c r="Z62"/>
  <c r="AA62"/>
  <c r="T63"/>
  <c r="U63"/>
  <c r="V63"/>
  <c r="W63"/>
  <c r="X63"/>
  <c r="Y63"/>
  <c r="Z63"/>
  <c r="AA63"/>
  <c r="T64"/>
  <c r="U64"/>
  <c r="V64"/>
  <c r="W64"/>
  <c r="X64"/>
  <c r="Y64"/>
  <c r="Z64"/>
  <c r="AA64"/>
  <c r="T65"/>
  <c r="U65"/>
  <c r="V65"/>
  <c r="W65"/>
  <c r="X65"/>
  <c r="Y65"/>
  <c r="Z65"/>
  <c r="AA65"/>
  <c r="T66"/>
  <c r="U66"/>
  <c r="V66"/>
  <c r="W66"/>
  <c r="X66"/>
  <c r="Y66"/>
  <c r="Z66"/>
  <c r="AA66"/>
  <c r="U9"/>
  <c r="V9"/>
  <c r="W9"/>
  <c r="X9"/>
  <c r="Y9"/>
  <c r="Z9"/>
  <c r="AA9"/>
  <c r="T9"/>
</calcChain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4\TEMP\tvrem.txt" thousands=" " tab="0" delimiter="#">
      <textFields count="10">
        <textField type="text"/>
        <textField type="text"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<sst xmlns="http://schemas.openxmlformats.org/spreadsheetml/2006/main" count="223" uniqueCount="134">
  <si>
    <t>А</t>
  </si>
  <si>
    <t>тыс.руб.</t>
  </si>
  <si>
    <t>Чистые активы</t>
  </si>
  <si>
    <t>Прибыль (убыток) от продаж</t>
  </si>
  <si>
    <t>Чистая прибыль (убыток) отчетного периода</t>
  </si>
  <si>
    <t>Код</t>
  </si>
  <si>
    <t>Наименование</t>
  </si>
  <si>
    <t>Б</t>
  </si>
  <si>
    <t>Прибыль, убыток     (-) до налогооб-ложения к чистым активам, в %</t>
  </si>
  <si>
    <t>на конец предыдущего года</t>
  </si>
  <si>
    <t>на конец отчетного года</t>
  </si>
  <si>
    <t>Себе - стоимость продаж</t>
  </si>
  <si>
    <t xml:space="preserve">Уставный капитал </t>
  </si>
  <si>
    <t>Чистые активы за 2024 год</t>
  </si>
  <si>
    <t>Камчатский край</t>
  </si>
  <si>
    <t>Организации без субъектов малого предпринимательства (1-этап)</t>
  </si>
  <si>
    <t>Всего по обследуемым видам экономической деятельности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</si>
  <si>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</si>
  <si>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</si>
  <si>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</si>
  <si>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03</t>
  </si>
  <si>
    <t>Рыболовство и рыбоводство</t>
  </si>
  <si>
    <t>ДОБЫЧА ПОЛЕЗНЫХ ИСКОПАЕМЫХ</t>
  </si>
  <si>
    <t>07</t>
  </si>
  <si>
    <t>Добыча металлических руд</t>
  </si>
  <si>
    <t>ОБРАБАТЫВАЮЩИЕ ПРОИЗВОДСТВА</t>
  </si>
  <si>
    <t>10</t>
  </si>
  <si>
    <t>Производство пищевых продуктов</t>
  </si>
  <si>
    <t>11</t>
  </si>
  <si>
    <t>Производство напитков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</si>
  <si>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</si>
  <si>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</si>
  <si>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</si>
  <si>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</si>
  <si>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</si>
  <si>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</si>
  <si>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</si>
  <si>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</si>
  <si>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</si>
  <si>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</si>
  <si>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</si>
  <si>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</si>
  <si>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</si>
  <si>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</si>
  <si>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</si>
  <si>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</si>
  <si>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</si>
  <si>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</si>
  <si>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</si>
  <si>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-</t>
  </si>
  <si>
    <t>ТОРГОВЛЯ ОПТОВАЯ И РОЗНИЧНАЯ; РЕМОНТ АВТОТРАНСПОРТНЫХ СРЕДСТВ И МОТОЦИКЛОВ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</si>
  <si>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</si>
  <si>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</si>
  <si>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</si>
  <si>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</si>
  <si>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</si>
  <si>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</si>
  <si>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</si>
  <si>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</si>
  <si>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</si>
  <si>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</si>
  <si>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</si>
  <si>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</si>
  <si>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</si>
  <si>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</si>
  <si>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</si>
  <si>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</si>
  <si>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</si>
  <si>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</si>
  <si>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В ОБЛАСТИ ИНФОРМАЦИИ И СВЯЗИ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</si>
  <si>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</si>
  <si>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</si>
  <si>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</si>
  <si>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</si>
  <si>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</si>
  <si>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</si>
  <si>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</si>
  <si>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</si>
  <si>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</si>
  <si>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</si>
  <si>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</si>
  <si>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</si>
  <si>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</si>
  <si>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</si>
  <si>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</si>
  <si>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</si>
  <si>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</si>
  <si>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</si>
  <si>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</si>
  <si>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</si>
  <si>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79</t>
  </si>
  <si>
    <t>Деятельность туристических агентств и прочих организаций, предоставляющих услуги в сфере туризма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</si>
  <si>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</si>
  <si>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</si>
  <si>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</si>
  <si>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</si>
  <si>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</si>
  <si>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</si>
  <si>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</si>
  <si>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</si>
  <si>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</si>
  <si>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</si>
  <si>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</si>
  <si>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</si>
  <si>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</si>
  <si>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</si>
  <si>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93</t>
  </si>
  <si>
    <t>Деятельность в области спорта, отдыха и развлечений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</si>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</sst>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>
  <numFmts count="1">
    <numFmt numFmtId="164" formatCode="0.0"/>
  </numFmts>
  <fonts count="13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12"/>
      <name val="Times New Roman"/>
      <family val="1"/>
    </font>
    <font>
      <sz val="12"/>
      <name val="Arial Cyr"/>
      <charset val="204"/>
    </font>
    <font>
      <sz val="8"/>
      <name val="Times New Roman"/>
      <family val="1"/>
    </font>
    <font>
      <sz val="8"/>
      <name val="Times New Roman CYR"/>
      <family val="1"/>
      <charset val="204"/>
    </font>
    <font>
      <b/>
      <sz val="8"/>
      <name val="Times New Roman"/>
      <family val="1"/>
    </font>
    <font>
      <b/>
      <sz val="10"/>
      <name val="Times New Roman"/>
      <family val="1"/>
    </font>
    <font>
      <b/>
      <sz val="10"/>
      <name val="Times New Roman CYR"/>
      <family val="1"/>
      <charset val="204"/>
    </font>
    <font>
      <b/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1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right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/>
    <xf numFmtId="49" fontId="2" fillId="0" borderId="0" xfId="0" applyNumberFormat="1" applyFont="1" applyAlignment="1">
      <alignment horizontal="left" wrapText="1"/>
    </xf>
    <xf numFmtId="49" fontId="7" fillId="0" borderId="0" xfId="0" applyNumberFormat="1" applyFont="1"/>
    <xf numFmtId="0" fontId="8" fillId="0" borderId="0" xfId="0" applyFont="1" applyAlignment="1">
      <alignment horizontal="left" wrapText="1"/>
    </xf>
    <xf numFmtId="1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0" fontId="9" fillId="0" borderId="0" xfId="0" applyFont="1"/>
    <xf numFmtId="49" fontId="8" fillId="0" borderId="0" xfId="0" applyNumberFormat="1" applyFont="1" applyAlignment="1">
      <alignment horizontal="left" wrapText="1"/>
    </xf>
    <xf numFmtId="49" fontId="10" fillId="0" borderId="0" xfId="0" applyNumberFormat="1" applyFont="1"/>
    <xf numFmtId="49" fontId="11" fillId="0" borderId="0" xfId="0" applyNumberFormat="1" applyFont="1" applyAlignment="1">
      <alignment horizontal="left" wrapText="1"/>
    </xf>
    <xf numFmtId="1" fontId="11" fillId="0" borderId="0" xfId="0" applyNumberFormat="1" applyFont="1" applyAlignment="1">
      <alignment horizontal="right"/>
    </xf>
    <xf numFmtId="164" fontId="11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2" fillId="0" borderId="2" xfId="0" applyFont="1" applyBorder="1" applyAlignment="1">
      <alignment horizontal="right"/>
    </xf>
    <xf numFmtId="0" fontId="12" fillId="0" borderId="3" xfId="0" applyFont="1" applyBorder="1" applyAlignment="1">
      <alignment horizontal="right"/>
    </xf>
    <xf numFmtId="0" fontId="12" fillId="0" borderId="4" xfId="0" applyFont="1" applyBorder="1" applyAlignment="1">
      <alignment horizontal="right"/>
    </xf>
    <xf numFmtId="0" fontId="12" fillId="0" borderId="5" xfId="0" applyFont="1" applyBorder="1" applyAlignment="1">
      <alignment horizontal="right"/>
    </xf>
    <xf numFmtId="1" fontId="9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66"/>
  <sheetViews>
    <sheetView tabSelected="1" workbookViewId="0">
      <pane xSplit="2" ySplit="7" topLeftCell="M8" activePane="bottomRight" state="frozen"/>
      <selection pane="topRight" activeCell="C1" sqref="C1"/>
      <selection pane="bottomLeft" activeCell="A8" sqref="A8"/>
      <selection pane="bottomRight" activeCell="C67" sqref="C67"/>
    </sheetView>
  </sheetViews>
  <sheetFormatPr defaultColWidth="8.85546875" defaultRowHeight="12.75"/>
  <cols>
    <col min="1" max="1" width="10.7109375" style="14" customWidth="1"/>
    <col min="2" max="2" width="30.85546875" style="6" customWidth="1"/>
    <col min="3" max="3" width="12.28515625" style="7" customWidth="1"/>
    <col min="4" max="4" width="11.7109375" style="7" customWidth="1"/>
    <col min="5" max="5" width="12" style="7" customWidth="1"/>
    <col min="6" max="6" width="12.42578125" style="7" customWidth="1"/>
    <col min="7" max="7" width="12.7109375" style="7" customWidth="1"/>
    <col min="8" max="9" width="12.28515625" style="7" customWidth="1"/>
    <col min="10" max="10" width="8.5703125" style="8" customWidth="1"/>
    <col min="11" max="16384" width="8.85546875" style="1"/>
  </cols>
  <sheetData>
    <row r="1" spans="1:27" s="2" customFormat="1" ht="19.899999999999999" customHeight="1">
      <c r="A1" s="26" t="s">
        <v>13</v>
      </c>
      <c r="B1" s="27"/>
      <c r="C1" s="27"/>
      <c r="D1" s="27"/>
      <c r="E1" s="27"/>
      <c r="F1" s="27"/>
      <c r="G1" s="27"/>
      <c r="H1" s="27"/>
      <c r="I1" s="27"/>
      <c r="J1" s="27"/>
    </row>
    <row r="2" spans="1:27" s="2" customFormat="1" ht="16.149999999999999" customHeight="1">
      <c r="A2" s="28" t="s">
        <v>15</v>
      </c>
      <c r="B2" s="29"/>
      <c r="C2" s="29"/>
      <c r="D2" s="29"/>
      <c r="E2" s="29"/>
      <c r="F2" s="29"/>
      <c r="G2" s="29"/>
      <c r="H2" s="29"/>
      <c r="I2" s="29"/>
      <c r="J2" s="29"/>
    </row>
    <row r="3" spans="1:27" s="2" customFormat="1" ht="15.6" customHeight="1">
      <c r="A3" s="28" t="s">
        <v>14</v>
      </c>
      <c r="B3" s="29"/>
      <c r="C3" s="29"/>
      <c r="D3" s="29"/>
      <c r="E3" s="29"/>
      <c r="F3" s="29"/>
      <c r="G3" s="29"/>
      <c r="H3" s="29"/>
      <c r="I3" s="29"/>
      <c r="J3" s="29"/>
    </row>
    <row r="4" spans="1:27" s="2" customFormat="1">
      <c r="A4" s="13"/>
      <c r="B4" s="4"/>
      <c r="C4" s="3"/>
      <c r="D4" s="3"/>
      <c r="E4" s="3"/>
      <c r="F4" s="3"/>
      <c r="G4" s="3"/>
      <c r="H4" s="3"/>
      <c r="I4" s="3"/>
      <c r="J4" s="9" t="s">
        <v>1</v>
      </c>
    </row>
    <row r="5" spans="1:27" s="2" customFormat="1" ht="43.15" customHeight="1">
      <c r="A5" s="30" t="s">
        <v>5</v>
      </c>
      <c r="B5" s="30" t="s">
        <v>6</v>
      </c>
      <c r="C5" s="30" t="s">
        <v>12</v>
      </c>
      <c r="D5" s="31"/>
      <c r="E5" s="30" t="s">
        <v>2</v>
      </c>
      <c r="F5" s="31"/>
      <c r="G5" s="30" t="s">
        <v>11</v>
      </c>
      <c r="H5" s="30" t="s">
        <v>3</v>
      </c>
      <c r="I5" s="30" t="s">
        <v>4</v>
      </c>
      <c r="J5" s="30" t="s">
        <v>8</v>
      </c>
    </row>
    <row r="6" spans="1:27" s="2" customFormat="1" ht="66" customHeight="1">
      <c r="A6" s="30"/>
      <c r="B6" s="31"/>
      <c r="C6" s="5" t="s">
        <v>9</v>
      </c>
      <c r="D6" s="5" t="s">
        <v>10</v>
      </c>
      <c r="E6" s="5" t="s">
        <v>9</v>
      </c>
      <c r="F6" s="5" t="s">
        <v>10</v>
      </c>
      <c r="G6" s="31"/>
      <c r="H6" s="31"/>
      <c r="I6" s="31"/>
      <c r="J6" s="31"/>
    </row>
    <row r="7" spans="1:27" s="12" customFormat="1" ht="11.25">
      <c r="A7" s="10" t="s">
        <v>0</v>
      </c>
      <c r="B7" s="11" t="s">
        <v>7</v>
      </c>
      <c r="C7" s="11">
        <v>1</v>
      </c>
      <c r="D7" s="11">
        <v>2</v>
      </c>
      <c r="E7" s="11">
        <v>3</v>
      </c>
      <c r="F7" s="11">
        <v>4</v>
      </c>
      <c r="G7" s="11">
        <v>5</v>
      </c>
      <c r="H7" s="11">
        <v>6</v>
      </c>
      <c r="I7" s="11">
        <v>7</v>
      </c>
      <c r="J7" s="11">
        <v>8</v>
      </c>
    </row>
    <row r="8" spans="1:27" s="20" customFormat="1" ht="13.5" thickBot="1">
      <c r="A8" s="16" t="s">
        <v>113</v>
      </c>
      <c r="B8" s="17"/>
      <c r="C8" s="18"/>
      <c r="D8" s="18"/>
      <c r="E8" s="18"/>
      <c r="F8" s="18"/>
      <c r="G8" s="18"/>
      <c r="H8" s="18"/>
      <c r="I8" s="18"/>
      <c r="J8" s="19"/>
    </row>
    <row r="9" spans="1:27" s="20" customFormat="1" ht="26.25">
      <c r="A9" s="16" t="s">
        <v>114</v>
      </c>
      <c r="B9" s="21" t="s">
        <v>16</v>
      </c>
      <c r="C9" s="18">
        <v>38614531</v>
      </c>
      <c r="D9" s="18">
        <v>43607994</v>
      </c>
      <c r="E9" s="18">
        <v>242981730</v>
      </c>
      <c r="F9" s="18">
        <v>244507649</v>
      </c>
      <c r="G9" s="18">
        <v>338189827</v>
      </c>
      <c r="H9" s="18">
        <v>63499438</v>
      </c>
      <c r="I9" s="18">
        <v>38622934</v>
      </c>
      <c r="J9" s="19">
        <v>15.3</v>
      </c>
      <c r="L9" s="32">
        <v>38614531</v>
      </c>
      <c r="M9" s="33">
        <v>43607994</v>
      </c>
      <c r="N9" s="33">
        <v>242981730</v>
      </c>
      <c r="O9" s="33">
        <v>244507649</v>
      </c>
      <c r="P9" s="33">
        <v>338189827</v>
      </c>
      <c r="Q9" s="33">
        <v>63499438</v>
      </c>
      <c r="R9" s="33">
        <v>38622934</v>
      </c>
      <c r="S9" s="33">
        <v>15.3</v>
      </c>
      <c r="T9" s="36">
        <f>C9-L9</f>
        <v>0</v>
      </c>
      <c r="U9" s="36">
        <f t="shared" ref="U9:AA9" si="0">D9-M9</f>
        <v>0</v>
      </c>
      <c r="V9" s="36">
        <f t="shared" si="0"/>
        <v>0</v>
      </c>
      <c r="W9" s="36">
        <f t="shared" si="0"/>
        <v>0</v>
      </c>
      <c r="X9" s="36">
        <f t="shared" si="0"/>
        <v>0</v>
      </c>
      <c r="Y9" s="36">
        <f t="shared" si="0"/>
        <v>0</v>
      </c>
      <c r="Z9" s="36">
        <f t="shared" si="0"/>
        <v>0</v>
      </c>
      <c r="AA9" s="36">
        <f t="shared" si="0"/>
        <v>0</v>
      </c>
    </row>
    <row r="10" spans="1:27" s="20" customFormat="1" ht="51.75">
      <c r="A10" s="16" t="s">
        <v>115</v>
      </c>
      <c r="B10" s="21" t="s">
        <v>17</v>
      </c>
      <c r="C10" s="18">
        <v>2941454</v>
      </c>
      <c r="D10" s="18">
        <v>3891213</v>
      </c>
      <c r="E10" s="18">
        <v>113041376</v>
      </c>
      <c r="F10" s="18">
        <v>96623087</v>
      </c>
      <c r="G10" s="18">
        <v>119270122</v>
      </c>
      <c r="H10" s="18">
        <v>20251578</v>
      </c>
      <c r="I10" s="18">
        <v>-397214</v>
      </c>
      <c r="J10" s="19">
        <v>1.8</v>
      </c>
      <c r="L10" s="34">
        <v>2941454</v>
      </c>
      <c r="M10" s="35">
        <v>3891213</v>
      </c>
      <c r="N10" s="35">
        <v>113041376</v>
      </c>
      <c r="O10" s="35">
        <v>96623087</v>
      </c>
      <c r="P10" s="35">
        <v>119270122</v>
      </c>
      <c r="Q10" s="35">
        <v>20251578</v>
      </c>
      <c r="R10" s="35">
        <v>-397214</v>
      </c>
      <c r="S10" s="35">
        <v>1.8</v>
      </c>
      <c r="T10" s="36">
        <f t="shared" ref="T10:T66" si="1">C10-L10</f>
        <v>0</v>
      </c>
      <c r="U10" s="36">
        <f t="shared" ref="U10:U66" si="2">D10-M10</f>
        <v>0</v>
      </c>
      <c r="V10" s="36">
        <f t="shared" ref="V10:V66" si="3">E10-N10</f>
        <v>0</v>
      </c>
      <c r="W10" s="36">
        <f t="shared" ref="W10:W66" si="4">F10-O10</f>
        <v>0</v>
      </c>
      <c r="X10" s="36">
        <f t="shared" ref="X10:X66" si="5">G10-P10</f>
        <v>0</v>
      </c>
      <c r="Y10" s="36">
        <f t="shared" ref="Y10:Y66" si="6">H10-Q10</f>
        <v>0</v>
      </c>
      <c r="Z10" s="36">
        <f t="shared" ref="Z10:Z66" si="7">I10-R10</f>
        <v>0</v>
      </c>
      <c r="AA10" s="36">
        <f t="shared" ref="AA10:AA66" si="8">J10-S10</f>
        <v>0</v>
      </c>
    </row>
    <row r="11" spans="1:27" ht="51.75">
      <c r="A11" s="14" t="s">
        <v>18</v>
      </c>
      <c r="B11" s="15" t="s">
        <v>19</v>
      </c>
      <c r="C11" s="7">
        <v>1505061</v>
      </c>
      <c r="D11" s="7">
        <v>1505061</v>
      </c>
      <c r="E11" s="7">
        <v>2239650</v>
      </c>
      <c r="F11" s="7">
        <v>1972428</v>
      </c>
      <c r="G11" s="7">
        <v>2880240</v>
      </c>
      <c r="H11" s="7">
        <v>-901137</v>
      </c>
      <c r="I11" s="7">
        <v>-204406</v>
      </c>
      <c r="J11" s="8">
        <v>-10.1</v>
      </c>
      <c r="L11" s="34">
        <v>1505061</v>
      </c>
      <c r="M11" s="35">
        <v>1505061</v>
      </c>
      <c r="N11" s="35">
        <v>2239650</v>
      </c>
      <c r="O11" s="35">
        <v>1972428</v>
      </c>
      <c r="P11" s="35">
        <v>2880240</v>
      </c>
      <c r="Q11" s="35">
        <v>-901137</v>
      </c>
      <c r="R11" s="35">
        <v>-204406</v>
      </c>
      <c r="S11" s="35">
        <v>-10.1</v>
      </c>
      <c r="T11" s="36">
        <f t="shared" si="1"/>
        <v>0</v>
      </c>
      <c r="U11" s="36">
        <f t="shared" si="2"/>
        <v>0</v>
      </c>
      <c r="V11" s="36">
        <f t="shared" si="3"/>
        <v>0</v>
      </c>
      <c r="W11" s="36">
        <f t="shared" si="4"/>
        <v>0</v>
      </c>
      <c r="X11" s="36">
        <f t="shared" si="5"/>
        <v>0</v>
      </c>
      <c r="Y11" s="36">
        <f t="shared" si="6"/>
        <v>0</v>
      </c>
      <c r="Z11" s="36">
        <f t="shared" si="7"/>
        <v>0</v>
      </c>
      <c r="AA11" s="36">
        <f t="shared" si="8"/>
        <v>0</v>
      </c>
    </row>
    <row r="12" spans="1:27" ht="15.75">
      <c r="A12" s="14" t="s">
        <v>20</v>
      </c>
      <c r="B12" s="15" t="s">
        <v>21</v>
      </c>
      <c r="C12" s="7">
        <v>1436393</v>
      </c>
      <c r="D12" s="7">
        <v>2386152</v>
      </c>
      <c r="E12" s="7">
        <v>110801726</v>
      </c>
      <c r="F12" s="7">
        <v>94650659</v>
      </c>
      <c r="G12" s="7">
        <v>116389882</v>
      </c>
      <c r="H12" s="7">
        <v>21152715</v>
      </c>
      <c r="I12" s="7">
        <v>-192808</v>
      </c>
      <c r="J12" s="8">
        <v>2</v>
      </c>
      <c r="L12" s="34">
        <v>1436393</v>
      </c>
      <c r="M12" s="35">
        <v>2386152</v>
      </c>
      <c r="N12" s="35">
        <v>110801726</v>
      </c>
      <c r="O12" s="35">
        <v>94650659</v>
      </c>
      <c r="P12" s="35">
        <v>116389882</v>
      </c>
      <c r="Q12" s="35">
        <v>21152715</v>
      </c>
      <c r="R12" s="35">
        <v>-192808</v>
      </c>
      <c r="S12" s="35">
        <v>2</v>
      </c>
      <c r="T12" s="36">
        <f t="shared" si="1"/>
        <v>0</v>
      </c>
      <c r="U12" s="36">
        <f t="shared" si="2"/>
        <v>0</v>
      </c>
      <c r="V12" s="36">
        <f t="shared" si="3"/>
        <v>0</v>
      </c>
      <c r="W12" s="36">
        <f t="shared" si="4"/>
        <v>0</v>
      </c>
      <c r="X12" s="36">
        <f t="shared" si="5"/>
        <v>0</v>
      </c>
      <c r="Y12" s="36">
        <f t="shared" si="6"/>
        <v>0</v>
      </c>
      <c r="Z12" s="36">
        <f t="shared" si="7"/>
        <v>0</v>
      </c>
      <c r="AA12" s="36">
        <f t="shared" si="8"/>
        <v>0</v>
      </c>
    </row>
    <row r="13" spans="1:27" s="20" customFormat="1" ht="26.25">
      <c r="A13" s="16" t="s">
        <v>116</v>
      </c>
      <c r="B13" s="21" t="s">
        <v>22</v>
      </c>
      <c r="C13" s="18">
        <v>5028261</v>
      </c>
      <c r="D13" s="18">
        <v>5028261</v>
      </c>
      <c r="E13" s="18">
        <v>18240544</v>
      </c>
      <c r="F13" s="18">
        <v>26692840</v>
      </c>
      <c r="G13" s="18">
        <v>31680606</v>
      </c>
      <c r="H13" s="18">
        <v>34213152</v>
      </c>
      <c r="I13" s="18">
        <v>28154885</v>
      </c>
      <c r="J13" s="19">
        <v>101.9</v>
      </c>
      <c r="L13" s="34">
        <v>5028261</v>
      </c>
      <c r="M13" s="35">
        <v>5028261</v>
      </c>
      <c r="N13" s="35">
        <v>18240544</v>
      </c>
      <c r="O13" s="35">
        <v>26692840</v>
      </c>
      <c r="P13" s="35">
        <v>31680606</v>
      </c>
      <c r="Q13" s="35">
        <v>34213152</v>
      </c>
      <c r="R13" s="35">
        <v>28154885</v>
      </c>
      <c r="S13" s="35">
        <v>101.9</v>
      </c>
      <c r="T13" s="36">
        <f t="shared" si="1"/>
        <v>0</v>
      </c>
      <c r="U13" s="36">
        <f t="shared" si="2"/>
        <v>0</v>
      </c>
      <c r="V13" s="36">
        <f t="shared" si="3"/>
        <v>0</v>
      </c>
      <c r="W13" s="36">
        <f t="shared" si="4"/>
        <v>0</v>
      </c>
      <c r="X13" s="36">
        <f t="shared" si="5"/>
        <v>0</v>
      </c>
      <c r="Y13" s="36">
        <f t="shared" si="6"/>
        <v>0</v>
      </c>
      <c r="Z13" s="36">
        <f t="shared" si="7"/>
        <v>0</v>
      </c>
      <c r="AA13" s="36">
        <f t="shared" si="8"/>
        <v>0</v>
      </c>
    </row>
    <row r="14" spans="1:27" ht="15.75">
      <c r="A14" s="14" t="s">
        <v>23</v>
      </c>
      <c r="B14" s="15" t="s">
        <v>24</v>
      </c>
      <c r="C14" s="7">
        <v>5028261</v>
      </c>
      <c r="D14" s="7">
        <v>5028261</v>
      </c>
      <c r="E14" s="7">
        <v>18240544</v>
      </c>
      <c r="F14" s="7">
        <v>26692840</v>
      </c>
      <c r="G14" s="7">
        <v>31680606</v>
      </c>
      <c r="H14" s="7">
        <v>34213152</v>
      </c>
      <c r="I14" s="7">
        <v>28154885</v>
      </c>
      <c r="J14" s="8">
        <v>101.9</v>
      </c>
      <c r="L14" s="34">
        <v>5028261</v>
      </c>
      <c r="M14" s="35">
        <v>5028261</v>
      </c>
      <c r="N14" s="35">
        <v>18240544</v>
      </c>
      <c r="O14" s="35">
        <v>26692840</v>
      </c>
      <c r="P14" s="35">
        <v>31680606</v>
      </c>
      <c r="Q14" s="35">
        <v>34213152</v>
      </c>
      <c r="R14" s="35">
        <v>28154885</v>
      </c>
      <c r="S14" s="35">
        <v>101.9</v>
      </c>
      <c r="T14" s="36">
        <f t="shared" si="1"/>
        <v>0</v>
      </c>
      <c r="U14" s="36">
        <f t="shared" si="2"/>
        <v>0</v>
      </c>
      <c r="V14" s="36">
        <f t="shared" si="3"/>
        <v>0</v>
      </c>
      <c r="W14" s="36">
        <f t="shared" si="4"/>
        <v>0</v>
      </c>
      <c r="X14" s="36">
        <f t="shared" si="5"/>
        <v>0</v>
      </c>
      <c r="Y14" s="36">
        <f t="shared" si="6"/>
        <v>0</v>
      </c>
      <c r="Z14" s="36">
        <f t="shared" si="7"/>
        <v>0</v>
      </c>
      <c r="AA14" s="36">
        <f t="shared" si="8"/>
        <v>0</v>
      </c>
    </row>
    <row r="15" spans="1:27" s="20" customFormat="1" ht="26.25">
      <c r="A15" s="16" t="s">
        <v>117</v>
      </c>
      <c r="B15" s="21" t="s">
        <v>25</v>
      </c>
      <c r="C15" s="18">
        <v>2202752</v>
      </c>
      <c r="D15" s="18">
        <v>2305089</v>
      </c>
      <c r="E15" s="18">
        <v>25769953</v>
      </c>
      <c r="F15" s="18">
        <v>28103412</v>
      </c>
      <c r="G15" s="18">
        <v>18089224</v>
      </c>
      <c r="H15" s="18">
        <v>5755823</v>
      </c>
      <c r="I15" s="18">
        <v>4067245</v>
      </c>
      <c r="J15" s="19">
        <v>16.600000000000001</v>
      </c>
      <c r="L15" s="34">
        <v>2202752</v>
      </c>
      <c r="M15" s="35">
        <v>2305089</v>
      </c>
      <c r="N15" s="35">
        <v>25769953</v>
      </c>
      <c r="O15" s="35">
        <v>28103412</v>
      </c>
      <c r="P15" s="35">
        <v>18089224</v>
      </c>
      <c r="Q15" s="35">
        <v>5755823</v>
      </c>
      <c r="R15" s="35">
        <v>4067245</v>
      </c>
      <c r="S15" s="35">
        <v>16.600000000000001</v>
      </c>
      <c r="T15" s="36">
        <f t="shared" si="1"/>
        <v>0</v>
      </c>
      <c r="U15" s="36">
        <f t="shared" si="2"/>
        <v>0</v>
      </c>
      <c r="V15" s="36">
        <f t="shared" si="3"/>
        <v>0</v>
      </c>
      <c r="W15" s="36">
        <f t="shared" si="4"/>
        <v>0</v>
      </c>
      <c r="X15" s="36">
        <f t="shared" si="5"/>
        <v>0</v>
      </c>
      <c r="Y15" s="36">
        <f t="shared" si="6"/>
        <v>0</v>
      </c>
      <c r="Z15" s="36">
        <f t="shared" si="7"/>
        <v>0</v>
      </c>
      <c r="AA15" s="36">
        <f t="shared" si="8"/>
        <v>0</v>
      </c>
    </row>
    <row r="16" spans="1:27" ht="15.75">
      <c r="A16" s="14" t="s">
        <v>26</v>
      </c>
      <c r="B16" s="15" t="s">
        <v>27</v>
      </c>
      <c r="C16" s="7">
        <v>1720164</v>
      </c>
      <c r="D16" s="7">
        <v>1720184</v>
      </c>
      <c r="E16" s="7">
        <v>23435707</v>
      </c>
      <c r="F16" s="7">
        <v>25514997</v>
      </c>
      <c r="G16" s="7">
        <v>15192926</v>
      </c>
      <c r="H16" s="7">
        <v>5356145</v>
      </c>
      <c r="I16" s="7">
        <v>3919536</v>
      </c>
      <c r="J16" s="8">
        <v>17.399999999999999</v>
      </c>
      <c r="L16" s="34">
        <v>1720164</v>
      </c>
      <c r="M16" s="35">
        <v>1720184</v>
      </c>
      <c r="N16" s="35">
        <v>23435707</v>
      </c>
      <c r="O16" s="35">
        <v>25514997</v>
      </c>
      <c r="P16" s="35">
        <v>15192926</v>
      </c>
      <c r="Q16" s="35">
        <v>5356145</v>
      </c>
      <c r="R16" s="35">
        <v>3919536</v>
      </c>
      <c r="S16" s="35">
        <v>17.399999999999999</v>
      </c>
      <c r="T16" s="36">
        <f t="shared" si="1"/>
        <v>0</v>
      </c>
      <c r="U16" s="36">
        <f t="shared" si="2"/>
        <v>0</v>
      </c>
      <c r="V16" s="36">
        <f t="shared" si="3"/>
        <v>0</v>
      </c>
      <c r="W16" s="36">
        <f t="shared" si="4"/>
        <v>0</v>
      </c>
      <c r="X16" s="36">
        <f t="shared" si="5"/>
        <v>0</v>
      </c>
      <c r="Y16" s="36">
        <f t="shared" si="6"/>
        <v>0</v>
      </c>
      <c r="Z16" s="36">
        <f t="shared" si="7"/>
        <v>0</v>
      </c>
      <c r="AA16" s="36">
        <f t="shared" si="8"/>
        <v>0</v>
      </c>
    </row>
    <row r="17" spans="1:27" ht="16.5" thickBot="1">
      <c r="A17" s="14" t="s">
        <v>28</v>
      </c>
      <c r="B17" s="15" t="s">
        <v>29</v>
      </c>
      <c r="C17" s="7">
        <v>26</v>
      </c>
      <c r="D17" s="7">
        <v>26</v>
      </c>
      <c r="E17" s="7">
        <v>1397084</v>
      </c>
      <c r="F17" s="7">
        <v>1513288</v>
      </c>
      <c r="G17" s="7">
        <v>418259</v>
      </c>
      <c r="H17" s="7">
        <v>101494</v>
      </c>
      <c r="I17" s="7">
        <v>116204</v>
      </c>
      <c r="J17" s="8">
        <v>9.4</v>
      </c>
      <c r="L17" s="34">
        <v>26</v>
      </c>
      <c r="M17" s="35">
        <v>26</v>
      </c>
      <c r="N17" s="35">
        <v>1397084</v>
      </c>
      <c r="O17" s="35">
        <v>1513288</v>
      </c>
      <c r="P17" s="35">
        <v>418259</v>
      </c>
      <c r="Q17" s="35">
        <v>101494</v>
      </c>
      <c r="R17" s="35">
        <v>116204</v>
      </c>
      <c r="S17" s="35">
        <v>9.4</v>
      </c>
      <c r="T17" s="36">
        <f t="shared" si="1"/>
        <v>0</v>
      </c>
      <c r="U17" s="36">
        <f t="shared" si="2"/>
        <v>0</v>
      </c>
      <c r="V17" s="36">
        <f t="shared" si="3"/>
        <v>0</v>
      </c>
      <c r="W17" s="36">
        <f t="shared" si="4"/>
        <v>0</v>
      </c>
      <c r="X17" s="36">
        <f t="shared" si="5"/>
        <v>0</v>
      </c>
      <c r="Y17" s="36">
        <f t="shared" si="6"/>
        <v>0</v>
      </c>
      <c r="Z17" s="36">
        <f t="shared" si="7"/>
        <v>0</v>
      </c>
      <c r="AA17" s="36">
        <f t="shared" si="8"/>
        <v>0</v>
      </c>
    </row>
    <row r="18" spans="1:27" ht="26.25">
      <c r="A18" s="14" t="s">
        <v>30</v>
      </c>
      <c r="B18" s="15" t="s">
        <v>31</v>
      </c>
      <c r="C18" s="7">
        <v>21488</v>
      </c>
      <c r="D18" s="7">
        <v>123805</v>
      </c>
      <c r="E18" s="7">
        <v>8753</v>
      </c>
      <c r="F18" s="7">
        <v>115071</v>
      </c>
      <c r="G18" s="7">
        <v>61981</v>
      </c>
      <c r="H18" s="7">
        <v>10277</v>
      </c>
      <c r="I18" s="7">
        <v>3828</v>
      </c>
      <c r="J18" s="8">
        <v>4.5</v>
      </c>
      <c r="L18" s="32">
        <v>21488</v>
      </c>
      <c r="M18" s="33">
        <v>123805</v>
      </c>
      <c r="N18" s="33">
        <v>8753</v>
      </c>
      <c r="O18" s="33">
        <v>115071</v>
      </c>
      <c r="P18" s="33">
        <v>61981</v>
      </c>
      <c r="Q18" s="33">
        <v>10277</v>
      </c>
      <c r="R18" s="33">
        <v>3828</v>
      </c>
      <c r="S18" s="33">
        <v>4.5</v>
      </c>
      <c r="T18" s="36">
        <f t="shared" si="1"/>
        <v>0</v>
      </c>
      <c r="U18" s="36">
        <f t="shared" si="2"/>
        <v>0</v>
      </c>
      <c r="V18" s="36">
        <f t="shared" si="3"/>
        <v>0</v>
      </c>
      <c r="W18" s="36">
        <f t="shared" si="4"/>
        <v>0</v>
      </c>
      <c r="X18" s="36">
        <f t="shared" si="5"/>
        <v>0</v>
      </c>
      <c r="Y18" s="36">
        <f t="shared" si="6"/>
        <v>0</v>
      </c>
      <c r="Z18" s="36">
        <f t="shared" si="7"/>
        <v>0</v>
      </c>
      <c r="AA18" s="36">
        <f t="shared" si="8"/>
        <v>0</v>
      </c>
    </row>
    <row r="19" spans="1:27" ht="26.25">
      <c r="A19" s="14" t="s">
        <v>32</v>
      </c>
      <c r="B19" s="15" t="s">
        <v>33</v>
      </c>
      <c r="C19" s="7">
        <v>461074</v>
      </c>
      <c r="D19" s="7">
        <v>461074</v>
      </c>
      <c r="E19" s="7">
        <v>928409</v>
      </c>
      <c r="F19" s="7">
        <v>960056</v>
      </c>
      <c r="G19" s="7">
        <v>2416058</v>
      </c>
      <c r="H19" s="7">
        <v>287907</v>
      </c>
      <c r="I19" s="7">
        <v>27677</v>
      </c>
      <c r="J19" s="8">
        <v>7.8</v>
      </c>
      <c r="L19" s="34">
        <v>461074</v>
      </c>
      <c r="M19" s="35">
        <v>461074</v>
      </c>
      <c r="N19" s="35">
        <v>928409</v>
      </c>
      <c r="O19" s="35">
        <v>960056</v>
      </c>
      <c r="P19" s="35">
        <v>2416058</v>
      </c>
      <c r="Q19" s="35">
        <v>287907</v>
      </c>
      <c r="R19" s="35">
        <v>27677</v>
      </c>
      <c r="S19" s="35">
        <v>7.8</v>
      </c>
      <c r="T19" s="36">
        <f t="shared" si="1"/>
        <v>0</v>
      </c>
      <c r="U19" s="36">
        <f t="shared" si="2"/>
        <v>0</v>
      </c>
      <c r="V19" s="36">
        <f t="shared" si="3"/>
        <v>0</v>
      </c>
      <c r="W19" s="36">
        <f t="shared" si="4"/>
        <v>0</v>
      </c>
      <c r="X19" s="36">
        <f t="shared" si="5"/>
        <v>0</v>
      </c>
      <c r="Y19" s="36">
        <f t="shared" si="6"/>
        <v>0</v>
      </c>
      <c r="Z19" s="36">
        <f t="shared" si="7"/>
        <v>0</v>
      </c>
      <c r="AA19" s="36">
        <f t="shared" si="8"/>
        <v>0</v>
      </c>
    </row>
    <row r="20" spans="1:27" s="20" customFormat="1" ht="64.5">
      <c r="A20" s="16" t="s">
        <v>118</v>
      </c>
      <c r="B20" s="21" t="s">
        <v>34</v>
      </c>
      <c r="C20" s="18">
        <v>9210614</v>
      </c>
      <c r="D20" s="18">
        <v>9210614</v>
      </c>
      <c r="E20" s="18">
        <v>23573741</v>
      </c>
      <c r="F20" s="18">
        <v>26302785</v>
      </c>
      <c r="G20" s="18">
        <v>60282435</v>
      </c>
      <c r="H20" s="18">
        <v>-1592562</v>
      </c>
      <c r="I20" s="18">
        <v>2909980</v>
      </c>
      <c r="J20" s="19">
        <v>15.3</v>
      </c>
      <c r="L20" s="34">
        <v>9210614</v>
      </c>
      <c r="M20" s="35">
        <v>9210614</v>
      </c>
      <c r="N20" s="35">
        <v>23573741</v>
      </c>
      <c r="O20" s="35">
        <v>26302785</v>
      </c>
      <c r="P20" s="35">
        <v>60282435</v>
      </c>
      <c r="Q20" s="35">
        <v>-1592562</v>
      </c>
      <c r="R20" s="35">
        <v>2909980</v>
      </c>
      <c r="S20" s="35">
        <v>15.3</v>
      </c>
      <c r="T20" s="36">
        <f t="shared" si="1"/>
        <v>0</v>
      </c>
      <c r="U20" s="36">
        <f t="shared" si="2"/>
        <v>0</v>
      </c>
      <c r="V20" s="36">
        <f t="shared" si="3"/>
        <v>0</v>
      </c>
      <c r="W20" s="36">
        <f t="shared" si="4"/>
        <v>0</v>
      </c>
      <c r="X20" s="36">
        <f t="shared" si="5"/>
        <v>0</v>
      </c>
      <c r="Y20" s="36">
        <f t="shared" si="6"/>
        <v>0</v>
      </c>
      <c r="Z20" s="36">
        <f t="shared" si="7"/>
        <v>0</v>
      </c>
      <c r="AA20" s="36">
        <f t="shared" si="8"/>
        <v>0</v>
      </c>
    </row>
    <row r="21" spans="1:27" ht="39">
      <c r="A21" s="14" t="s">
        <v>35</v>
      </c>
      <c r="B21" s="15" t="s">
        <v>36</v>
      </c>
      <c r="C21" s="7">
        <v>9210614</v>
      </c>
      <c r="D21" s="7">
        <v>9210614</v>
      </c>
      <c r="E21" s="7">
        <v>23573741</v>
      </c>
      <c r="F21" s="7">
        <v>26302785</v>
      </c>
      <c r="G21" s="7">
        <v>60282435</v>
      </c>
      <c r="H21" s="7">
        <v>-1592562</v>
      </c>
      <c r="I21" s="7">
        <v>2909980</v>
      </c>
      <c r="J21" s="8">
        <v>15.3</v>
      </c>
      <c r="L21" s="34">
        <v>9210614</v>
      </c>
      <c r="M21" s="35">
        <v>9210614</v>
      </c>
      <c r="N21" s="35">
        <v>23573741</v>
      </c>
      <c r="O21" s="35">
        <v>26302785</v>
      </c>
      <c r="P21" s="35">
        <v>60282435</v>
      </c>
      <c r="Q21" s="35">
        <v>-1592562</v>
      </c>
      <c r="R21" s="35">
        <v>2909980</v>
      </c>
      <c r="S21" s="35">
        <v>15.3</v>
      </c>
      <c r="T21" s="36">
        <f t="shared" si="1"/>
        <v>0</v>
      </c>
      <c r="U21" s="36">
        <f t="shared" si="2"/>
        <v>0</v>
      </c>
      <c r="V21" s="36">
        <f t="shared" si="3"/>
        <v>0</v>
      </c>
      <c r="W21" s="36">
        <f t="shared" si="4"/>
        <v>0</v>
      </c>
      <c r="X21" s="36">
        <f t="shared" si="5"/>
        <v>0</v>
      </c>
      <c r="Y21" s="36">
        <f t="shared" si="6"/>
        <v>0</v>
      </c>
      <c r="Z21" s="36">
        <f t="shared" si="7"/>
        <v>0</v>
      </c>
      <c r="AA21" s="36">
        <f t="shared" si="8"/>
        <v>0</v>
      </c>
    </row>
    <row r="22" spans="1:27" s="20" customFormat="1" ht="77.25">
      <c r="A22" s="16" t="s">
        <v>119</v>
      </c>
      <c r="B22" s="21" t="s">
        <v>37</v>
      </c>
      <c r="C22" s="18">
        <v>975376</v>
      </c>
      <c r="D22" s="18">
        <v>988601</v>
      </c>
      <c r="E22" s="18">
        <v>8767284</v>
      </c>
      <c r="F22" s="18">
        <v>9005036</v>
      </c>
      <c r="G22" s="18">
        <v>4441264</v>
      </c>
      <c r="H22" s="18">
        <v>949734</v>
      </c>
      <c r="I22" s="18">
        <v>1131685</v>
      </c>
      <c r="J22" s="19">
        <v>16.399999999999999</v>
      </c>
      <c r="L22" s="34">
        <v>975376</v>
      </c>
      <c r="M22" s="35">
        <v>988601</v>
      </c>
      <c r="N22" s="35">
        <v>8767284</v>
      </c>
      <c r="O22" s="35">
        <v>9005036</v>
      </c>
      <c r="P22" s="35">
        <v>4441264</v>
      </c>
      <c r="Q22" s="35">
        <v>949734</v>
      </c>
      <c r="R22" s="35">
        <v>1131685</v>
      </c>
      <c r="S22" s="35">
        <v>16.399999999999999</v>
      </c>
      <c r="T22" s="36">
        <f t="shared" si="1"/>
        <v>0</v>
      </c>
      <c r="U22" s="36">
        <f t="shared" si="2"/>
        <v>0</v>
      </c>
      <c r="V22" s="36">
        <f t="shared" si="3"/>
        <v>0</v>
      </c>
      <c r="W22" s="36">
        <f t="shared" si="4"/>
        <v>0</v>
      </c>
      <c r="X22" s="36">
        <f t="shared" si="5"/>
        <v>0</v>
      </c>
      <c r="Y22" s="36">
        <f t="shared" si="6"/>
        <v>0</v>
      </c>
      <c r="Z22" s="36">
        <f t="shared" si="7"/>
        <v>0</v>
      </c>
      <c r="AA22" s="36">
        <f t="shared" si="8"/>
        <v>0</v>
      </c>
    </row>
    <row r="23" spans="1:27" ht="26.25">
      <c r="A23" s="14" t="s">
        <v>38</v>
      </c>
      <c r="B23" s="15" t="s">
        <v>39</v>
      </c>
      <c r="C23" s="7">
        <v>410870</v>
      </c>
      <c r="D23" s="7">
        <v>410870</v>
      </c>
      <c r="E23" s="7">
        <v>7513566</v>
      </c>
      <c r="F23" s="7">
        <v>7803617</v>
      </c>
      <c r="G23" s="7">
        <v>3479127</v>
      </c>
      <c r="H23" s="7">
        <v>885712</v>
      </c>
      <c r="I23" s="7">
        <v>1125979</v>
      </c>
      <c r="J23" s="8">
        <v>18.899999999999999</v>
      </c>
      <c r="L23" s="34">
        <v>410870</v>
      </c>
      <c r="M23" s="35">
        <v>410870</v>
      </c>
      <c r="N23" s="35">
        <v>7513566</v>
      </c>
      <c r="O23" s="35">
        <v>7803617</v>
      </c>
      <c r="P23" s="35">
        <v>3479127</v>
      </c>
      <c r="Q23" s="35">
        <v>885712</v>
      </c>
      <c r="R23" s="35">
        <v>1125979</v>
      </c>
      <c r="S23" s="35">
        <v>18.899999999999999</v>
      </c>
      <c r="T23" s="36">
        <f t="shared" si="1"/>
        <v>0</v>
      </c>
      <c r="U23" s="36">
        <f t="shared" si="2"/>
        <v>0</v>
      </c>
      <c r="V23" s="36">
        <f t="shared" si="3"/>
        <v>0</v>
      </c>
      <c r="W23" s="36">
        <f t="shared" si="4"/>
        <v>0</v>
      </c>
      <c r="X23" s="36">
        <f t="shared" si="5"/>
        <v>0</v>
      </c>
      <c r="Y23" s="36">
        <f t="shared" si="6"/>
        <v>0</v>
      </c>
      <c r="Z23" s="36">
        <f t="shared" si="7"/>
        <v>0</v>
      </c>
      <c r="AA23" s="36">
        <f t="shared" si="8"/>
        <v>0</v>
      </c>
    </row>
    <row r="24" spans="1:27" ht="39">
      <c r="A24" s="14" t="s">
        <v>40</v>
      </c>
      <c r="B24" s="15" t="s">
        <v>41</v>
      </c>
      <c r="C24" s="7">
        <v>564506</v>
      </c>
      <c r="D24" s="7">
        <v>577731</v>
      </c>
      <c r="E24" s="7">
        <v>1253718</v>
      </c>
      <c r="F24" s="7">
        <v>1201419</v>
      </c>
      <c r="G24" s="7">
        <v>962137</v>
      </c>
      <c r="H24" s="7">
        <v>64022</v>
      </c>
      <c r="I24" s="7">
        <v>5706</v>
      </c>
      <c r="J24" s="8">
        <v>0.5</v>
      </c>
      <c r="L24" s="34">
        <v>564506</v>
      </c>
      <c r="M24" s="35">
        <v>577731</v>
      </c>
      <c r="N24" s="35">
        <v>1253718</v>
      </c>
      <c r="O24" s="35">
        <v>1201419</v>
      </c>
      <c r="P24" s="35">
        <v>962137</v>
      </c>
      <c r="Q24" s="35">
        <v>64022</v>
      </c>
      <c r="R24" s="35">
        <v>5706</v>
      </c>
      <c r="S24" s="35">
        <v>0.5</v>
      </c>
      <c r="T24" s="36">
        <f t="shared" si="1"/>
        <v>0</v>
      </c>
      <c r="U24" s="36">
        <f t="shared" si="2"/>
        <v>0</v>
      </c>
      <c r="V24" s="36">
        <f t="shared" si="3"/>
        <v>0</v>
      </c>
      <c r="W24" s="36">
        <f t="shared" si="4"/>
        <v>0</v>
      </c>
      <c r="X24" s="36">
        <f t="shared" si="5"/>
        <v>0</v>
      </c>
      <c r="Y24" s="36">
        <f t="shared" si="6"/>
        <v>0</v>
      </c>
      <c r="Z24" s="36">
        <f t="shared" si="7"/>
        <v>0</v>
      </c>
      <c r="AA24" s="36">
        <f t="shared" si="8"/>
        <v>0</v>
      </c>
    </row>
    <row r="25" spans="1:27" s="20" customFormat="1" ht="16.5" thickBot="1">
      <c r="A25" s="16" t="s">
        <v>120</v>
      </c>
      <c r="B25" s="21" t="s">
        <v>42</v>
      </c>
      <c r="C25" s="18">
        <v>28441</v>
      </c>
      <c r="D25" s="18">
        <v>28541</v>
      </c>
      <c r="E25" s="18">
        <v>2663725</v>
      </c>
      <c r="F25" s="18">
        <v>2404098</v>
      </c>
      <c r="G25" s="18">
        <v>8044967</v>
      </c>
      <c r="H25" s="18">
        <v>487980</v>
      </c>
      <c r="I25" s="18">
        <v>-304023</v>
      </c>
      <c r="J25" s="19">
        <v>-6.1</v>
      </c>
      <c r="L25" s="34">
        <v>28441</v>
      </c>
      <c r="M25" s="35">
        <v>28541</v>
      </c>
      <c r="N25" s="35">
        <v>2663725</v>
      </c>
      <c r="O25" s="35">
        <v>2404098</v>
      </c>
      <c r="P25" s="35">
        <v>8044967</v>
      </c>
      <c r="Q25" s="35">
        <v>487980</v>
      </c>
      <c r="R25" s="35">
        <v>-304023</v>
      </c>
      <c r="S25" s="35">
        <v>-6.1</v>
      </c>
      <c r="T25" s="36">
        <f t="shared" si="1"/>
        <v>0</v>
      </c>
      <c r="U25" s="36">
        <f t="shared" si="2"/>
        <v>0</v>
      </c>
      <c r="V25" s="36">
        <f t="shared" si="3"/>
        <v>0</v>
      </c>
      <c r="W25" s="36">
        <f t="shared" si="4"/>
        <v>0</v>
      </c>
      <c r="X25" s="36">
        <f t="shared" si="5"/>
        <v>0</v>
      </c>
      <c r="Y25" s="36">
        <f t="shared" si="6"/>
        <v>0</v>
      </c>
      <c r="Z25" s="36">
        <f t="shared" si="7"/>
        <v>0</v>
      </c>
      <c r="AA25" s="36">
        <f t="shared" si="8"/>
        <v>0</v>
      </c>
    </row>
    <row r="26" spans="1:27" ht="15.75">
      <c r="A26" s="14" t="s">
        <v>43</v>
      </c>
      <c r="B26" s="15" t="s">
        <v>44</v>
      </c>
      <c r="C26" s="7">
        <v>1930</v>
      </c>
      <c r="D26" s="7">
        <v>1930</v>
      </c>
      <c r="E26" s="7">
        <v>734334</v>
      </c>
      <c r="F26" s="7">
        <v>542777</v>
      </c>
      <c r="G26" s="7">
        <v>3687515</v>
      </c>
      <c r="H26" s="7">
        <v>298329</v>
      </c>
      <c r="I26" s="7">
        <v>-61707</v>
      </c>
      <c r="J26" s="8">
        <v>-5.3</v>
      </c>
      <c r="L26" s="32">
        <v>1930</v>
      </c>
      <c r="M26" s="33">
        <v>1930</v>
      </c>
      <c r="N26" s="33">
        <v>734334</v>
      </c>
      <c r="O26" s="33">
        <v>542777</v>
      </c>
      <c r="P26" s="33">
        <v>3687515</v>
      </c>
      <c r="Q26" s="33">
        <v>298329</v>
      </c>
      <c r="R26" s="33">
        <v>-61707</v>
      </c>
      <c r="S26" s="33">
        <v>-5.3</v>
      </c>
      <c r="T26" s="36">
        <f t="shared" si="1"/>
        <v>0</v>
      </c>
      <c r="U26" s="36">
        <f t="shared" si="2"/>
        <v>0</v>
      </c>
      <c r="V26" s="36">
        <f t="shared" si="3"/>
        <v>0</v>
      </c>
      <c r="W26" s="36">
        <f t="shared" si="4"/>
        <v>0</v>
      </c>
      <c r="X26" s="36">
        <f t="shared" si="5"/>
        <v>0</v>
      </c>
      <c r="Y26" s="36">
        <f t="shared" si="6"/>
        <v>0</v>
      </c>
      <c r="Z26" s="36">
        <f t="shared" si="7"/>
        <v>0</v>
      </c>
      <c r="AA26" s="36">
        <f t="shared" si="8"/>
        <v>0</v>
      </c>
    </row>
    <row r="27" spans="1:27" ht="26.25">
      <c r="A27" s="14" t="s">
        <v>45</v>
      </c>
      <c r="B27" s="15" t="s">
        <v>46</v>
      </c>
      <c r="C27" s="7">
        <v>26511</v>
      </c>
      <c r="D27" s="7">
        <v>26511</v>
      </c>
      <c r="E27" s="7">
        <v>1929391</v>
      </c>
      <c r="F27" s="7">
        <v>1850212</v>
      </c>
      <c r="G27" s="7">
        <v>4274976</v>
      </c>
      <c r="H27" s="7">
        <v>169007</v>
      </c>
      <c r="I27" s="7">
        <v>-253324</v>
      </c>
      <c r="J27" s="8">
        <v>-7</v>
      </c>
      <c r="L27" s="34">
        <v>26511</v>
      </c>
      <c r="M27" s="35">
        <v>26511</v>
      </c>
      <c r="N27" s="35">
        <v>1929391</v>
      </c>
      <c r="O27" s="35">
        <v>1850212</v>
      </c>
      <c r="P27" s="35">
        <v>4274976</v>
      </c>
      <c r="Q27" s="35">
        <v>169007</v>
      </c>
      <c r="R27" s="35">
        <v>-253324</v>
      </c>
      <c r="S27" s="35">
        <v>-7</v>
      </c>
      <c r="T27" s="36">
        <f t="shared" si="1"/>
        <v>0</v>
      </c>
      <c r="U27" s="36">
        <f t="shared" si="2"/>
        <v>0</v>
      </c>
      <c r="V27" s="36">
        <f t="shared" si="3"/>
        <v>0</v>
      </c>
      <c r="W27" s="36">
        <f t="shared" si="4"/>
        <v>0</v>
      </c>
      <c r="X27" s="36">
        <f t="shared" si="5"/>
        <v>0</v>
      </c>
      <c r="Y27" s="36">
        <f t="shared" si="6"/>
        <v>0</v>
      </c>
      <c r="Z27" s="36">
        <f t="shared" si="7"/>
        <v>0</v>
      </c>
      <c r="AA27" s="36">
        <f t="shared" si="8"/>
        <v>0</v>
      </c>
    </row>
    <row r="28" spans="1:27" ht="26.25">
      <c r="A28" s="14" t="s">
        <v>47</v>
      </c>
      <c r="B28" s="15" t="s">
        <v>48</v>
      </c>
      <c r="C28" s="7" t="s">
        <v>49</v>
      </c>
      <c r="D28" s="7">
        <v>100</v>
      </c>
      <c r="E28" s="7" t="s">
        <v>49</v>
      </c>
      <c r="F28" s="7">
        <v>11109</v>
      </c>
      <c r="G28" s="7">
        <v>82476</v>
      </c>
      <c r="H28" s="7">
        <v>20644</v>
      </c>
      <c r="I28" s="7">
        <v>11008</v>
      </c>
      <c r="J28" s="8">
        <v>115.9</v>
      </c>
      <c r="L28" s="34" t="s">
        <v>49</v>
      </c>
      <c r="M28" s="35">
        <v>100</v>
      </c>
      <c r="N28" s="35" t="s">
        <v>49</v>
      </c>
      <c r="O28" s="35">
        <v>11109</v>
      </c>
      <c r="P28" s="35">
        <v>82476</v>
      </c>
      <c r="Q28" s="35">
        <v>20644</v>
      </c>
      <c r="R28" s="35">
        <v>11008</v>
      </c>
      <c r="S28" s="35">
        <v>115.9</v>
      </c>
      <c r="T28" s="36" t="e">
        <f t="shared" si="1"/>
        <v>#VALUE!</v>
      </c>
      <c r="U28" s="36">
        <f t="shared" si="2"/>
        <v>0</v>
      </c>
      <c r="V28" s="36" t="e">
        <f t="shared" si="3"/>
        <v>#VALUE!</v>
      </c>
      <c r="W28" s="36">
        <f t="shared" si="4"/>
        <v>0</v>
      </c>
      <c r="X28" s="36">
        <f t="shared" si="5"/>
        <v>0</v>
      </c>
      <c r="Y28" s="36">
        <f t="shared" si="6"/>
        <v>0</v>
      </c>
      <c r="Z28" s="36">
        <f t="shared" si="7"/>
        <v>0</v>
      </c>
      <c r="AA28" s="36">
        <f t="shared" si="8"/>
        <v>0</v>
      </c>
    </row>
    <row r="29" spans="1:27" s="20" customFormat="1" ht="51.75">
      <c r="A29" s="16" t="s">
        <v>121</v>
      </c>
      <c r="B29" s="21" t="s">
        <v>50</v>
      </c>
      <c r="C29" s="18">
        <v>67249</v>
      </c>
      <c r="D29" s="18">
        <v>67249</v>
      </c>
      <c r="E29" s="18">
        <v>9851501</v>
      </c>
      <c r="F29" s="18">
        <v>9291472</v>
      </c>
      <c r="G29" s="18">
        <v>78811394</v>
      </c>
      <c r="H29" s="18">
        <v>3520196</v>
      </c>
      <c r="I29" s="18">
        <v>1370622</v>
      </c>
      <c r="J29" s="19">
        <v>18.899999999999999</v>
      </c>
      <c r="L29" s="34">
        <v>67249</v>
      </c>
      <c r="M29" s="35">
        <v>67249</v>
      </c>
      <c r="N29" s="35">
        <v>9851501</v>
      </c>
      <c r="O29" s="35">
        <v>9291472</v>
      </c>
      <c r="P29" s="35">
        <v>78811394</v>
      </c>
      <c r="Q29" s="35">
        <v>3520196</v>
      </c>
      <c r="R29" s="35">
        <v>1370622</v>
      </c>
      <c r="S29" s="35">
        <v>18.899999999999999</v>
      </c>
      <c r="T29" s="36">
        <f t="shared" si="1"/>
        <v>0</v>
      </c>
      <c r="U29" s="36">
        <f t="shared" si="2"/>
        <v>0</v>
      </c>
      <c r="V29" s="36">
        <f t="shared" si="3"/>
        <v>0</v>
      </c>
      <c r="W29" s="36">
        <f t="shared" si="4"/>
        <v>0</v>
      </c>
      <c r="X29" s="36">
        <f t="shared" si="5"/>
        <v>0</v>
      </c>
      <c r="Y29" s="36">
        <f t="shared" si="6"/>
        <v>0</v>
      </c>
      <c r="Z29" s="36">
        <f t="shared" si="7"/>
        <v>0</v>
      </c>
      <c r="AA29" s="36">
        <f t="shared" si="8"/>
        <v>0</v>
      </c>
    </row>
    <row r="30" spans="1:27" ht="39">
      <c r="A30" s="14" t="s">
        <v>51</v>
      </c>
      <c r="B30" s="15" t="s">
        <v>52</v>
      </c>
      <c r="C30" s="7">
        <v>11794</v>
      </c>
      <c r="D30" s="7">
        <v>11794</v>
      </c>
      <c r="E30" s="7">
        <v>9634753</v>
      </c>
      <c r="F30" s="7">
        <v>9018129</v>
      </c>
      <c r="G30" s="7">
        <v>67581312</v>
      </c>
      <c r="H30" s="7">
        <v>2992282</v>
      </c>
      <c r="I30" s="7">
        <v>1312579</v>
      </c>
      <c r="J30" s="8">
        <v>18.399999999999999</v>
      </c>
      <c r="L30" s="34">
        <v>11794</v>
      </c>
      <c r="M30" s="35">
        <v>11794</v>
      </c>
      <c r="N30" s="35">
        <v>9634753</v>
      </c>
      <c r="O30" s="35">
        <v>9018129</v>
      </c>
      <c r="P30" s="35">
        <v>67581312</v>
      </c>
      <c r="Q30" s="35">
        <v>2992282</v>
      </c>
      <c r="R30" s="35">
        <v>1312579</v>
      </c>
      <c r="S30" s="35">
        <v>18.399999999999999</v>
      </c>
      <c r="T30" s="36">
        <f t="shared" si="1"/>
        <v>0</v>
      </c>
      <c r="U30" s="36">
        <f t="shared" si="2"/>
        <v>0</v>
      </c>
      <c r="V30" s="36">
        <f t="shared" si="3"/>
        <v>0</v>
      </c>
      <c r="W30" s="36">
        <f t="shared" si="4"/>
        <v>0</v>
      </c>
      <c r="X30" s="36">
        <f t="shared" si="5"/>
        <v>0</v>
      </c>
      <c r="Y30" s="36">
        <f t="shared" si="6"/>
        <v>0</v>
      </c>
      <c r="Z30" s="36">
        <f t="shared" si="7"/>
        <v>0</v>
      </c>
      <c r="AA30" s="36">
        <f t="shared" si="8"/>
        <v>0</v>
      </c>
    </row>
    <row r="31" spans="1:27" ht="39">
      <c r="A31" s="14" t="s">
        <v>53</v>
      </c>
      <c r="B31" s="15" t="s">
        <v>54</v>
      </c>
      <c r="C31" s="7">
        <v>55455</v>
      </c>
      <c r="D31" s="7">
        <v>55455</v>
      </c>
      <c r="E31" s="7">
        <v>216748</v>
      </c>
      <c r="F31" s="7">
        <v>273343</v>
      </c>
      <c r="G31" s="7">
        <v>11230082</v>
      </c>
      <c r="H31" s="7">
        <v>527914</v>
      </c>
      <c r="I31" s="7">
        <v>58043</v>
      </c>
      <c r="J31" s="8">
        <v>35.6</v>
      </c>
      <c r="L31" s="34">
        <v>55455</v>
      </c>
      <c r="M31" s="35">
        <v>55455</v>
      </c>
      <c r="N31" s="35">
        <v>216748</v>
      </c>
      <c r="O31" s="35">
        <v>273343</v>
      </c>
      <c r="P31" s="35">
        <v>11230082</v>
      </c>
      <c r="Q31" s="35">
        <v>527914</v>
      </c>
      <c r="R31" s="35">
        <v>58043</v>
      </c>
      <c r="S31" s="35">
        <v>35.6</v>
      </c>
      <c r="T31" s="36">
        <f t="shared" si="1"/>
        <v>0</v>
      </c>
      <c r="U31" s="36">
        <f t="shared" si="2"/>
        <v>0</v>
      </c>
      <c r="V31" s="36">
        <f t="shared" si="3"/>
        <v>0</v>
      </c>
      <c r="W31" s="36">
        <f t="shared" si="4"/>
        <v>0</v>
      </c>
      <c r="X31" s="36">
        <f t="shared" si="5"/>
        <v>0</v>
      </c>
      <c r="Y31" s="36">
        <f t="shared" si="6"/>
        <v>0</v>
      </c>
      <c r="Z31" s="36">
        <f t="shared" si="7"/>
        <v>0</v>
      </c>
      <c r="AA31" s="36">
        <f t="shared" si="8"/>
        <v>0</v>
      </c>
    </row>
    <row r="32" spans="1:27" s="20" customFormat="1" ht="26.25">
      <c r="A32" s="16" t="s">
        <v>122</v>
      </c>
      <c r="B32" s="21" t="s">
        <v>55</v>
      </c>
      <c r="C32" s="18">
        <v>6596858</v>
      </c>
      <c r="D32" s="18">
        <v>6596868</v>
      </c>
      <c r="E32" s="18">
        <v>19178008</v>
      </c>
      <c r="F32" s="18">
        <v>19430484</v>
      </c>
      <c r="G32" s="18">
        <v>11967109</v>
      </c>
      <c r="H32" s="18">
        <v>414689</v>
      </c>
      <c r="I32" s="18">
        <v>720150</v>
      </c>
      <c r="J32" s="19">
        <v>5.5</v>
      </c>
      <c r="L32" s="34">
        <v>6596858</v>
      </c>
      <c r="M32" s="35">
        <v>6596868</v>
      </c>
      <c r="N32" s="35">
        <v>19178008</v>
      </c>
      <c r="O32" s="35">
        <v>19430484</v>
      </c>
      <c r="P32" s="35">
        <v>11967109</v>
      </c>
      <c r="Q32" s="35">
        <v>414689</v>
      </c>
      <c r="R32" s="35">
        <v>720150</v>
      </c>
      <c r="S32" s="35">
        <v>5.5</v>
      </c>
      <c r="T32" s="36">
        <f t="shared" si="1"/>
        <v>0</v>
      </c>
      <c r="U32" s="36">
        <f t="shared" si="2"/>
        <v>0</v>
      </c>
      <c r="V32" s="36">
        <f t="shared" si="3"/>
        <v>0</v>
      </c>
      <c r="W32" s="36">
        <f t="shared" si="4"/>
        <v>0</v>
      </c>
      <c r="X32" s="36">
        <f t="shared" si="5"/>
        <v>0</v>
      </c>
      <c r="Y32" s="36">
        <f t="shared" si="6"/>
        <v>0</v>
      </c>
      <c r="Z32" s="36">
        <f t="shared" si="7"/>
        <v>0</v>
      </c>
      <c r="AA32" s="36">
        <f t="shared" si="8"/>
        <v>0</v>
      </c>
    </row>
    <row r="33" spans="1:27" ht="26.25">
      <c r="A33" s="14" t="s">
        <v>56</v>
      </c>
      <c r="B33" s="15" t="s">
        <v>57</v>
      </c>
      <c r="C33" s="7">
        <v>740125</v>
      </c>
      <c r="D33" s="7">
        <v>740125</v>
      </c>
      <c r="E33" s="7">
        <v>666366</v>
      </c>
      <c r="F33" s="7">
        <v>855466</v>
      </c>
      <c r="G33" s="7">
        <v>417338</v>
      </c>
      <c r="H33" s="7">
        <v>30732</v>
      </c>
      <c r="I33" s="7">
        <v>54330</v>
      </c>
      <c r="J33" s="8">
        <v>7.8</v>
      </c>
      <c r="L33" s="34">
        <v>740125</v>
      </c>
      <c r="M33" s="35">
        <v>740125</v>
      </c>
      <c r="N33" s="35">
        <v>666366</v>
      </c>
      <c r="O33" s="35">
        <v>855466</v>
      </c>
      <c r="P33" s="35">
        <v>417338</v>
      </c>
      <c r="Q33" s="35">
        <v>30732</v>
      </c>
      <c r="R33" s="35">
        <v>54330</v>
      </c>
      <c r="S33" s="35">
        <v>7.8</v>
      </c>
      <c r="T33" s="36">
        <f t="shared" si="1"/>
        <v>0</v>
      </c>
      <c r="U33" s="36">
        <f t="shared" si="2"/>
        <v>0</v>
      </c>
      <c r="V33" s="36">
        <f t="shared" si="3"/>
        <v>0</v>
      </c>
      <c r="W33" s="36">
        <f t="shared" si="4"/>
        <v>0</v>
      </c>
      <c r="X33" s="36">
        <f t="shared" si="5"/>
        <v>0</v>
      </c>
      <c r="Y33" s="36">
        <f t="shared" si="6"/>
        <v>0</v>
      </c>
      <c r="Z33" s="36">
        <f t="shared" si="7"/>
        <v>0</v>
      </c>
      <c r="AA33" s="36">
        <f t="shared" si="8"/>
        <v>0</v>
      </c>
    </row>
    <row r="34" spans="1:27" ht="16.5" thickBot="1">
      <c r="A34" s="14" t="s">
        <v>58</v>
      </c>
      <c r="B34" s="15" t="s">
        <v>59</v>
      </c>
      <c r="C34" s="7">
        <v>316635</v>
      </c>
      <c r="D34" s="7">
        <v>316635</v>
      </c>
      <c r="E34" s="7">
        <v>2715646</v>
      </c>
      <c r="F34" s="7">
        <v>2624365</v>
      </c>
      <c r="G34" s="7">
        <v>3185097</v>
      </c>
      <c r="H34" s="7">
        <v>-238506</v>
      </c>
      <c r="I34" s="7">
        <v>-88895</v>
      </c>
      <c r="J34" s="8">
        <v>-3.6</v>
      </c>
      <c r="L34" s="34">
        <v>316635</v>
      </c>
      <c r="M34" s="35">
        <v>316635</v>
      </c>
      <c r="N34" s="35">
        <v>2715646</v>
      </c>
      <c r="O34" s="35">
        <v>2624365</v>
      </c>
      <c r="P34" s="35">
        <v>3185097</v>
      </c>
      <c r="Q34" s="35">
        <v>-238506</v>
      </c>
      <c r="R34" s="35">
        <v>-88895</v>
      </c>
      <c r="S34" s="35">
        <v>-3.6</v>
      </c>
      <c r="T34" s="36">
        <f t="shared" si="1"/>
        <v>0</v>
      </c>
      <c r="U34" s="36">
        <f t="shared" si="2"/>
        <v>0</v>
      </c>
      <c r="V34" s="36">
        <f t="shared" si="3"/>
        <v>0</v>
      </c>
      <c r="W34" s="36">
        <f t="shared" si="4"/>
        <v>0</v>
      </c>
      <c r="X34" s="36">
        <f t="shared" si="5"/>
        <v>0</v>
      </c>
      <c r="Y34" s="36">
        <f t="shared" si="6"/>
        <v>0</v>
      </c>
      <c r="Z34" s="36">
        <f t="shared" si="7"/>
        <v>0</v>
      </c>
      <c r="AA34" s="36">
        <f t="shared" si="8"/>
        <v>0</v>
      </c>
    </row>
    <row r="35" spans="1:27" ht="26.25">
      <c r="A35" s="14" t="s">
        <v>60</v>
      </c>
      <c r="B35" s="15" t="s">
        <v>61</v>
      </c>
      <c r="C35" s="7">
        <v>981188</v>
      </c>
      <c r="D35" s="7">
        <v>981188</v>
      </c>
      <c r="E35" s="7">
        <v>3024607</v>
      </c>
      <c r="F35" s="7">
        <v>3229096</v>
      </c>
      <c r="G35" s="7">
        <v>4618218</v>
      </c>
      <c r="H35" s="7">
        <v>351875</v>
      </c>
      <c r="I35" s="7">
        <v>211866</v>
      </c>
      <c r="J35" s="8">
        <v>10</v>
      </c>
      <c r="L35" s="32">
        <v>981188</v>
      </c>
      <c r="M35" s="33">
        <v>981188</v>
      </c>
      <c r="N35" s="33">
        <v>3024607</v>
      </c>
      <c r="O35" s="33">
        <v>3229096</v>
      </c>
      <c r="P35" s="33">
        <v>4618218</v>
      </c>
      <c r="Q35" s="33">
        <v>351875</v>
      </c>
      <c r="R35" s="33">
        <v>211866</v>
      </c>
      <c r="S35" s="33">
        <v>10</v>
      </c>
      <c r="T35" s="36">
        <f t="shared" si="1"/>
        <v>0</v>
      </c>
      <c r="U35" s="36">
        <f t="shared" si="2"/>
        <v>0</v>
      </c>
      <c r="V35" s="36">
        <f t="shared" si="3"/>
        <v>0</v>
      </c>
      <c r="W35" s="36">
        <f t="shared" si="4"/>
        <v>0</v>
      </c>
      <c r="X35" s="36">
        <f t="shared" si="5"/>
        <v>0</v>
      </c>
      <c r="Y35" s="36">
        <f t="shared" si="6"/>
        <v>0</v>
      </c>
      <c r="Z35" s="36">
        <f t="shared" si="7"/>
        <v>0</v>
      </c>
      <c r="AA35" s="36">
        <f t="shared" si="8"/>
        <v>0</v>
      </c>
    </row>
    <row r="36" spans="1:27" ht="39">
      <c r="A36" s="14" t="s">
        <v>62</v>
      </c>
      <c r="B36" s="15" t="s">
        <v>63</v>
      </c>
      <c r="C36" s="7">
        <v>4558910</v>
      </c>
      <c r="D36" s="7">
        <v>4558920</v>
      </c>
      <c r="E36" s="7">
        <v>12771389</v>
      </c>
      <c r="F36" s="7">
        <v>12721557</v>
      </c>
      <c r="G36" s="7">
        <v>3746456</v>
      </c>
      <c r="H36" s="7">
        <v>270588</v>
      </c>
      <c r="I36" s="7">
        <v>542849</v>
      </c>
      <c r="J36" s="8">
        <v>6.1</v>
      </c>
      <c r="L36" s="34">
        <v>4558910</v>
      </c>
      <c r="M36" s="35">
        <v>4558920</v>
      </c>
      <c r="N36" s="35">
        <v>12771389</v>
      </c>
      <c r="O36" s="35">
        <v>12721557</v>
      </c>
      <c r="P36" s="35">
        <v>3746456</v>
      </c>
      <c r="Q36" s="35">
        <v>270588</v>
      </c>
      <c r="R36" s="35">
        <v>542849</v>
      </c>
      <c r="S36" s="35">
        <v>6.1</v>
      </c>
      <c r="T36" s="36">
        <f t="shared" si="1"/>
        <v>0</v>
      </c>
      <c r="U36" s="36">
        <f t="shared" si="2"/>
        <v>0</v>
      </c>
      <c r="V36" s="36">
        <f t="shared" si="3"/>
        <v>0</v>
      </c>
      <c r="W36" s="36">
        <f t="shared" si="4"/>
        <v>0</v>
      </c>
      <c r="X36" s="36">
        <f t="shared" si="5"/>
        <v>0</v>
      </c>
      <c r="Y36" s="36">
        <f t="shared" si="6"/>
        <v>0</v>
      </c>
      <c r="Z36" s="36">
        <f t="shared" si="7"/>
        <v>0</v>
      </c>
      <c r="AA36" s="36">
        <f t="shared" si="8"/>
        <v>0</v>
      </c>
    </row>
    <row r="37" spans="1:27" s="20" customFormat="1" ht="39">
      <c r="A37" s="16" t="s">
        <v>123</v>
      </c>
      <c r="B37" s="21" t="s">
        <v>64</v>
      </c>
      <c r="C37" s="18">
        <v>447727</v>
      </c>
      <c r="D37" s="18">
        <v>448827</v>
      </c>
      <c r="E37" s="18">
        <v>1653065</v>
      </c>
      <c r="F37" s="18">
        <v>1540339</v>
      </c>
      <c r="G37" s="18">
        <v>1392217</v>
      </c>
      <c r="H37" s="18">
        <v>-348850</v>
      </c>
      <c r="I37" s="18">
        <v>-614477</v>
      </c>
      <c r="J37" s="19">
        <v>-38.9</v>
      </c>
      <c r="L37" s="34">
        <v>447727</v>
      </c>
      <c r="M37" s="35">
        <v>448827</v>
      </c>
      <c r="N37" s="35">
        <v>1653065</v>
      </c>
      <c r="O37" s="35">
        <v>1540339</v>
      </c>
      <c r="P37" s="35">
        <v>1392217</v>
      </c>
      <c r="Q37" s="35">
        <v>-348850</v>
      </c>
      <c r="R37" s="35">
        <v>-614477</v>
      </c>
      <c r="S37" s="35">
        <v>-38.9</v>
      </c>
      <c r="T37" s="36">
        <f t="shared" si="1"/>
        <v>0</v>
      </c>
      <c r="U37" s="36">
        <f t="shared" si="2"/>
        <v>0</v>
      </c>
      <c r="V37" s="36">
        <f t="shared" si="3"/>
        <v>0</v>
      </c>
      <c r="W37" s="36">
        <f t="shared" si="4"/>
        <v>0</v>
      </c>
      <c r="X37" s="36">
        <f t="shared" si="5"/>
        <v>0</v>
      </c>
      <c r="Y37" s="36">
        <f t="shared" si="6"/>
        <v>0</v>
      </c>
      <c r="Z37" s="36">
        <f t="shared" si="7"/>
        <v>0</v>
      </c>
      <c r="AA37" s="36">
        <f t="shared" si="8"/>
        <v>0</v>
      </c>
    </row>
    <row r="38" spans="1:27" ht="26.25">
      <c r="A38" s="14" t="s">
        <v>65</v>
      </c>
      <c r="B38" s="15" t="s">
        <v>66</v>
      </c>
      <c r="C38" s="7">
        <v>446781</v>
      </c>
      <c r="D38" s="7">
        <v>447881</v>
      </c>
      <c r="E38" s="7">
        <v>1654798</v>
      </c>
      <c r="F38" s="7">
        <v>1542366</v>
      </c>
      <c r="G38" s="7">
        <v>1317847</v>
      </c>
      <c r="H38" s="7">
        <v>-348683</v>
      </c>
      <c r="I38" s="7">
        <v>-614183</v>
      </c>
      <c r="J38" s="8">
        <v>-38.9</v>
      </c>
      <c r="L38" s="34">
        <v>446781</v>
      </c>
      <c r="M38" s="35">
        <v>447881</v>
      </c>
      <c r="N38" s="35">
        <v>1654798</v>
      </c>
      <c r="O38" s="35">
        <v>1542366</v>
      </c>
      <c r="P38" s="35">
        <v>1317847</v>
      </c>
      <c r="Q38" s="35">
        <v>-348683</v>
      </c>
      <c r="R38" s="35">
        <v>-614183</v>
      </c>
      <c r="S38" s="35">
        <v>-38.9</v>
      </c>
      <c r="T38" s="36">
        <f t="shared" si="1"/>
        <v>0</v>
      </c>
      <c r="U38" s="36">
        <f t="shared" si="2"/>
        <v>0</v>
      </c>
      <c r="V38" s="36">
        <f t="shared" si="3"/>
        <v>0</v>
      </c>
      <c r="W38" s="36">
        <f t="shared" si="4"/>
        <v>0</v>
      </c>
      <c r="X38" s="36">
        <f t="shared" si="5"/>
        <v>0</v>
      </c>
      <c r="Y38" s="36">
        <f t="shared" si="6"/>
        <v>0</v>
      </c>
      <c r="Z38" s="36">
        <f t="shared" si="7"/>
        <v>0</v>
      </c>
      <c r="AA38" s="36">
        <f t="shared" si="8"/>
        <v>0</v>
      </c>
    </row>
    <row r="39" spans="1:27" ht="26.25">
      <c r="A39" s="14" t="s">
        <v>67</v>
      </c>
      <c r="B39" s="15" t="s">
        <v>68</v>
      </c>
      <c r="C39" s="7">
        <v>946</v>
      </c>
      <c r="D39" s="7">
        <v>946</v>
      </c>
      <c r="E39" s="7">
        <v>-1733</v>
      </c>
      <c r="F39" s="7">
        <v>-2027</v>
      </c>
      <c r="G39" s="7">
        <v>74370</v>
      </c>
      <c r="H39" s="7">
        <v>-167</v>
      </c>
      <c r="I39" s="7">
        <v>-294</v>
      </c>
      <c r="J39" s="8">
        <v>22.3</v>
      </c>
      <c r="L39" s="34">
        <v>946</v>
      </c>
      <c r="M39" s="35">
        <v>946</v>
      </c>
      <c r="N39" s="35">
        <v>-1733</v>
      </c>
      <c r="O39" s="35">
        <v>-2027</v>
      </c>
      <c r="P39" s="35">
        <v>74370</v>
      </c>
      <c r="Q39" s="35">
        <v>-167</v>
      </c>
      <c r="R39" s="35">
        <v>-294</v>
      </c>
      <c r="S39" s="35">
        <v>22.3</v>
      </c>
      <c r="T39" s="36">
        <f t="shared" si="1"/>
        <v>0</v>
      </c>
      <c r="U39" s="36">
        <f t="shared" si="2"/>
        <v>0</v>
      </c>
      <c r="V39" s="36">
        <f t="shared" si="3"/>
        <v>0</v>
      </c>
      <c r="W39" s="36">
        <f t="shared" si="4"/>
        <v>0</v>
      </c>
      <c r="X39" s="36">
        <f t="shared" si="5"/>
        <v>0</v>
      </c>
      <c r="Y39" s="36">
        <f t="shared" si="6"/>
        <v>0</v>
      </c>
      <c r="Z39" s="36">
        <f t="shared" si="7"/>
        <v>0</v>
      </c>
      <c r="AA39" s="36">
        <f t="shared" si="8"/>
        <v>0</v>
      </c>
    </row>
    <row r="40" spans="1:27" s="20" customFormat="1" ht="26.25">
      <c r="A40" s="16" t="s">
        <v>124</v>
      </c>
      <c r="B40" s="21" t="s">
        <v>69</v>
      </c>
      <c r="C40" s="18" t="s">
        <v>49</v>
      </c>
      <c r="D40" s="18" t="s">
        <v>49</v>
      </c>
      <c r="E40" s="18">
        <v>146</v>
      </c>
      <c r="F40" s="18">
        <v>114</v>
      </c>
      <c r="G40" s="18" t="s">
        <v>49</v>
      </c>
      <c r="H40" s="18" t="s">
        <v>49</v>
      </c>
      <c r="I40" s="18" t="s">
        <v>49</v>
      </c>
      <c r="J40" s="19" t="s">
        <v>49</v>
      </c>
      <c r="L40" s="34" t="s">
        <v>49</v>
      </c>
      <c r="M40" s="35" t="s">
        <v>49</v>
      </c>
      <c r="N40" s="35">
        <v>146</v>
      </c>
      <c r="O40" s="35">
        <v>114</v>
      </c>
      <c r="P40" s="35" t="s">
        <v>49</v>
      </c>
      <c r="Q40" s="35" t="s">
        <v>49</v>
      </c>
      <c r="R40" s="35" t="s">
        <v>49</v>
      </c>
      <c r="S40" s="35" t="s">
        <v>49</v>
      </c>
      <c r="T40" s="36" t="e">
        <f t="shared" si="1"/>
        <v>#VALUE!</v>
      </c>
      <c r="U40" s="36" t="e">
        <f t="shared" si="2"/>
        <v>#VALUE!</v>
      </c>
      <c r="V40" s="36">
        <f t="shared" si="3"/>
        <v>0</v>
      </c>
      <c r="W40" s="36">
        <f t="shared" si="4"/>
        <v>0</v>
      </c>
      <c r="X40" s="36" t="e">
        <f t="shared" si="5"/>
        <v>#VALUE!</v>
      </c>
      <c r="Y40" s="36" t="e">
        <f t="shared" si="6"/>
        <v>#VALUE!</v>
      </c>
      <c r="Z40" s="36" t="e">
        <f t="shared" si="7"/>
        <v>#VALUE!</v>
      </c>
      <c r="AA40" s="36" t="e">
        <f t="shared" si="8"/>
        <v>#VALUE!</v>
      </c>
    </row>
    <row r="41" spans="1:27" ht="26.25">
      <c r="A41" s="14" t="s">
        <v>70</v>
      </c>
      <c r="B41" s="15" t="s">
        <v>71</v>
      </c>
      <c r="C41" s="7" t="s">
        <v>49</v>
      </c>
      <c r="D41" s="7" t="s">
        <v>49</v>
      </c>
      <c r="E41" s="7">
        <v>146</v>
      </c>
      <c r="F41" s="7">
        <v>114</v>
      </c>
      <c r="G41" s="7" t="s">
        <v>49</v>
      </c>
      <c r="H41" s="7" t="s">
        <v>49</v>
      </c>
      <c r="I41" s="7" t="s">
        <v>49</v>
      </c>
      <c r="J41" s="8" t="s">
        <v>49</v>
      </c>
      <c r="L41" s="34" t="s">
        <v>49</v>
      </c>
      <c r="M41" s="35" t="s">
        <v>49</v>
      </c>
      <c r="N41" s="35">
        <v>146</v>
      </c>
      <c r="O41" s="35">
        <v>114</v>
      </c>
      <c r="P41" s="35" t="s">
        <v>49</v>
      </c>
      <c r="Q41" s="35" t="s">
        <v>49</v>
      </c>
      <c r="R41" s="35" t="s">
        <v>49</v>
      </c>
      <c r="S41" s="35" t="s">
        <v>49</v>
      </c>
      <c r="T41" s="36" t="e">
        <f t="shared" si="1"/>
        <v>#VALUE!</v>
      </c>
      <c r="U41" s="36" t="e">
        <f t="shared" si="2"/>
        <v>#VALUE!</v>
      </c>
      <c r="V41" s="36">
        <f t="shared" si="3"/>
        <v>0</v>
      </c>
      <c r="W41" s="36">
        <f t="shared" si="4"/>
        <v>0</v>
      </c>
      <c r="X41" s="36" t="e">
        <f t="shared" si="5"/>
        <v>#VALUE!</v>
      </c>
      <c r="Y41" s="36" t="e">
        <f t="shared" si="6"/>
        <v>#VALUE!</v>
      </c>
      <c r="Z41" s="36" t="e">
        <f t="shared" si="7"/>
        <v>#VALUE!</v>
      </c>
      <c r="AA41" s="36" t="e">
        <f t="shared" si="8"/>
        <v>#VALUE!</v>
      </c>
    </row>
    <row r="42" spans="1:27" s="20" customFormat="1" ht="27" thickBot="1">
      <c r="A42" s="16" t="s">
        <v>125</v>
      </c>
      <c r="B42" s="21" t="s">
        <v>72</v>
      </c>
      <c r="C42" s="18">
        <v>17520</v>
      </c>
      <c r="D42" s="18">
        <v>17520</v>
      </c>
      <c r="E42" s="18">
        <v>5035583</v>
      </c>
      <c r="F42" s="18">
        <v>6285301</v>
      </c>
      <c r="G42" s="18" t="s">
        <v>49</v>
      </c>
      <c r="H42" s="18">
        <v>-18387</v>
      </c>
      <c r="I42" s="18">
        <v>1622213</v>
      </c>
      <c r="J42" s="19">
        <v>-53.3</v>
      </c>
      <c r="L42" s="34">
        <v>17520</v>
      </c>
      <c r="M42" s="35">
        <v>17520</v>
      </c>
      <c r="N42" s="35">
        <v>5035583</v>
      </c>
      <c r="O42" s="35">
        <v>6285301</v>
      </c>
      <c r="P42" s="35" t="s">
        <v>49</v>
      </c>
      <c r="Q42" s="35">
        <v>-18387</v>
      </c>
      <c r="R42" s="35">
        <v>1622213</v>
      </c>
      <c r="S42" s="35">
        <v>-53.3</v>
      </c>
      <c r="T42" s="36">
        <f t="shared" si="1"/>
        <v>0</v>
      </c>
      <c r="U42" s="36">
        <f t="shared" si="2"/>
        <v>0</v>
      </c>
      <c r="V42" s="36">
        <f t="shared" si="3"/>
        <v>0</v>
      </c>
      <c r="W42" s="36">
        <f t="shared" si="4"/>
        <v>0</v>
      </c>
      <c r="X42" s="36" t="e">
        <f t="shared" si="5"/>
        <v>#VALUE!</v>
      </c>
      <c r="Y42" s="36">
        <f t="shared" si="6"/>
        <v>0</v>
      </c>
      <c r="Z42" s="36">
        <f t="shared" si="7"/>
        <v>0</v>
      </c>
      <c r="AA42" s="36">
        <f t="shared" si="8"/>
        <v>0</v>
      </c>
    </row>
    <row r="43" spans="1:27" ht="51.75">
      <c r="A43" s="14" t="s">
        <v>73</v>
      </c>
      <c r="B43" s="15" t="s">
        <v>74</v>
      </c>
      <c r="C43" s="7">
        <v>17520</v>
      </c>
      <c r="D43" s="7">
        <v>17520</v>
      </c>
      <c r="E43" s="7">
        <v>5035583</v>
      </c>
      <c r="F43" s="7">
        <v>6285301</v>
      </c>
      <c r="G43" s="7" t="s">
        <v>49</v>
      </c>
      <c r="H43" s="7">
        <v>-18387</v>
      </c>
      <c r="I43" s="7">
        <v>1622213</v>
      </c>
      <c r="J43" s="8">
        <v>-53.3</v>
      </c>
      <c r="L43" s="32">
        <v>17520</v>
      </c>
      <c r="M43" s="33">
        <v>17520</v>
      </c>
      <c r="N43" s="33">
        <v>5035583</v>
      </c>
      <c r="O43" s="33">
        <v>6285301</v>
      </c>
      <c r="P43" s="33" t="s">
        <v>49</v>
      </c>
      <c r="Q43" s="33">
        <v>-18387</v>
      </c>
      <c r="R43" s="33">
        <v>1622213</v>
      </c>
      <c r="S43" s="33">
        <v>-53.3</v>
      </c>
      <c r="T43" s="36">
        <f t="shared" si="1"/>
        <v>0</v>
      </c>
      <c r="U43" s="36">
        <f t="shared" si="2"/>
        <v>0</v>
      </c>
      <c r="V43" s="36">
        <f t="shared" si="3"/>
        <v>0</v>
      </c>
      <c r="W43" s="36">
        <f t="shared" si="4"/>
        <v>0</v>
      </c>
      <c r="X43" s="36" t="e">
        <f t="shared" si="5"/>
        <v>#VALUE!</v>
      </c>
      <c r="Y43" s="36">
        <f t="shared" si="6"/>
        <v>0</v>
      </c>
      <c r="Z43" s="36">
        <f t="shared" si="7"/>
        <v>0</v>
      </c>
      <c r="AA43" s="36">
        <f t="shared" si="8"/>
        <v>0</v>
      </c>
    </row>
    <row r="44" spans="1:27" s="20" customFormat="1" ht="39">
      <c r="A44" s="16" t="s">
        <v>126</v>
      </c>
      <c r="B44" s="21" t="s">
        <v>75</v>
      </c>
      <c r="C44" s="18">
        <v>5013708</v>
      </c>
      <c r="D44" s="18">
        <v>5943270</v>
      </c>
      <c r="E44" s="18">
        <v>5751335</v>
      </c>
      <c r="F44" s="18">
        <v>6840001</v>
      </c>
      <c r="G44" s="18">
        <v>2832538</v>
      </c>
      <c r="H44" s="18">
        <v>264334</v>
      </c>
      <c r="I44" s="18">
        <v>223821</v>
      </c>
      <c r="J44" s="19">
        <v>3.4</v>
      </c>
      <c r="L44" s="34">
        <v>5013708</v>
      </c>
      <c r="M44" s="35">
        <v>5943270</v>
      </c>
      <c r="N44" s="35">
        <v>5751335</v>
      </c>
      <c r="O44" s="35">
        <v>6840001</v>
      </c>
      <c r="P44" s="35">
        <v>2832538</v>
      </c>
      <c r="Q44" s="35">
        <v>264334</v>
      </c>
      <c r="R44" s="35">
        <v>223821</v>
      </c>
      <c r="S44" s="35">
        <v>3.4</v>
      </c>
      <c r="T44" s="36">
        <f t="shared" si="1"/>
        <v>0</v>
      </c>
      <c r="U44" s="36">
        <f t="shared" si="2"/>
        <v>0</v>
      </c>
      <c r="V44" s="36">
        <f t="shared" si="3"/>
        <v>0</v>
      </c>
      <c r="W44" s="36">
        <f t="shared" si="4"/>
        <v>0</v>
      </c>
      <c r="X44" s="36">
        <f t="shared" si="5"/>
        <v>0</v>
      </c>
      <c r="Y44" s="36">
        <f t="shared" si="6"/>
        <v>0</v>
      </c>
      <c r="Z44" s="36">
        <f t="shared" si="7"/>
        <v>0</v>
      </c>
      <c r="AA44" s="36">
        <f t="shared" si="8"/>
        <v>0</v>
      </c>
    </row>
    <row r="45" spans="1:27" ht="26.25">
      <c r="A45" s="14" t="s">
        <v>76</v>
      </c>
      <c r="B45" s="15" t="s">
        <v>77</v>
      </c>
      <c r="C45" s="7">
        <v>5013708</v>
      </c>
      <c r="D45" s="7">
        <v>5943270</v>
      </c>
      <c r="E45" s="7">
        <v>5751335</v>
      </c>
      <c r="F45" s="7">
        <v>6840001</v>
      </c>
      <c r="G45" s="7">
        <v>2832538</v>
      </c>
      <c r="H45" s="7">
        <v>264334</v>
      </c>
      <c r="I45" s="7">
        <v>223821</v>
      </c>
      <c r="J45" s="8">
        <v>3.4</v>
      </c>
      <c r="L45" s="34">
        <v>5013708</v>
      </c>
      <c r="M45" s="35">
        <v>5943270</v>
      </c>
      <c r="N45" s="35">
        <v>5751335</v>
      </c>
      <c r="O45" s="35">
        <v>6840001</v>
      </c>
      <c r="P45" s="35">
        <v>2832538</v>
      </c>
      <c r="Q45" s="35">
        <v>264334</v>
      </c>
      <c r="R45" s="35">
        <v>223821</v>
      </c>
      <c r="S45" s="35">
        <v>3.4</v>
      </c>
      <c r="T45" s="36">
        <f t="shared" si="1"/>
        <v>0</v>
      </c>
      <c r="U45" s="36">
        <f t="shared" si="2"/>
        <v>0</v>
      </c>
      <c r="V45" s="36">
        <f t="shared" si="3"/>
        <v>0</v>
      </c>
      <c r="W45" s="36">
        <f t="shared" si="4"/>
        <v>0</v>
      </c>
      <c r="X45" s="36">
        <f t="shared" si="5"/>
        <v>0</v>
      </c>
      <c r="Y45" s="36">
        <f t="shared" si="6"/>
        <v>0</v>
      </c>
      <c r="Z45" s="36">
        <f t="shared" si="7"/>
        <v>0</v>
      </c>
      <c r="AA45" s="36">
        <f t="shared" si="8"/>
        <v>0</v>
      </c>
    </row>
    <row r="46" spans="1:27" s="20" customFormat="1" ht="39">
      <c r="A46" s="16" t="s">
        <v>127</v>
      </c>
      <c r="B46" s="21" t="s">
        <v>78</v>
      </c>
      <c r="C46" s="18">
        <v>2928028</v>
      </c>
      <c r="D46" s="18">
        <v>5930678</v>
      </c>
      <c r="E46" s="18">
        <v>7555427</v>
      </c>
      <c r="F46" s="18">
        <v>9687988</v>
      </c>
      <c r="G46" s="18">
        <v>544198</v>
      </c>
      <c r="H46" s="18">
        <v>-426710</v>
      </c>
      <c r="I46" s="18">
        <v>-596995</v>
      </c>
      <c r="J46" s="19">
        <v>-8.5</v>
      </c>
      <c r="L46" s="34">
        <v>2928028</v>
      </c>
      <c r="M46" s="35">
        <v>5930678</v>
      </c>
      <c r="N46" s="35">
        <v>7555427</v>
      </c>
      <c r="O46" s="35">
        <v>9687988</v>
      </c>
      <c r="P46" s="35">
        <v>544198</v>
      </c>
      <c r="Q46" s="35">
        <v>-426710</v>
      </c>
      <c r="R46" s="35">
        <v>-596995</v>
      </c>
      <c r="S46" s="35">
        <v>-8.5</v>
      </c>
      <c r="T46" s="36">
        <f t="shared" si="1"/>
        <v>0</v>
      </c>
      <c r="U46" s="36">
        <f t="shared" si="2"/>
        <v>0</v>
      </c>
      <c r="V46" s="36">
        <f t="shared" si="3"/>
        <v>0</v>
      </c>
      <c r="W46" s="36">
        <f t="shared" si="4"/>
        <v>0</v>
      </c>
      <c r="X46" s="36">
        <f t="shared" si="5"/>
        <v>0</v>
      </c>
      <c r="Y46" s="36">
        <f t="shared" si="6"/>
        <v>0</v>
      </c>
      <c r="Z46" s="36">
        <f t="shared" si="7"/>
        <v>0</v>
      </c>
      <c r="AA46" s="36">
        <f t="shared" si="8"/>
        <v>0</v>
      </c>
    </row>
    <row r="47" spans="1:27" ht="26.25">
      <c r="A47" s="14" t="s">
        <v>79</v>
      </c>
      <c r="B47" s="15" t="s">
        <v>80</v>
      </c>
      <c r="C47" s="7" t="s">
        <v>49</v>
      </c>
      <c r="D47" s="7" t="s">
        <v>49</v>
      </c>
      <c r="E47" s="7" t="s">
        <v>49</v>
      </c>
      <c r="F47" s="7">
        <v>30</v>
      </c>
      <c r="G47" s="7" t="s">
        <v>49</v>
      </c>
      <c r="H47" s="7">
        <v>33</v>
      </c>
      <c r="I47" s="7">
        <v>30</v>
      </c>
      <c r="J47" s="8">
        <v>100</v>
      </c>
      <c r="L47" s="34" t="s">
        <v>49</v>
      </c>
      <c r="M47" s="35" t="s">
        <v>49</v>
      </c>
      <c r="N47" s="35" t="s">
        <v>49</v>
      </c>
      <c r="O47" s="35">
        <v>30</v>
      </c>
      <c r="P47" s="35" t="s">
        <v>49</v>
      </c>
      <c r="Q47" s="35">
        <v>33</v>
      </c>
      <c r="R47" s="35">
        <v>30</v>
      </c>
      <c r="S47" s="35">
        <v>100</v>
      </c>
      <c r="T47" s="36" t="e">
        <f t="shared" si="1"/>
        <v>#VALUE!</v>
      </c>
      <c r="U47" s="36" t="e">
        <f t="shared" si="2"/>
        <v>#VALUE!</v>
      </c>
      <c r="V47" s="36" t="e">
        <f t="shared" si="3"/>
        <v>#VALUE!</v>
      </c>
      <c r="W47" s="36">
        <f t="shared" si="4"/>
        <v>0</v>
      </c>
      <c r="X47" s="36" t="e">
        <f t="shared" si="5"/>
        <v>#VALUE!</v>
      </c>
      <c r="Y47" s="36">
        <f t="shared" si="6"/>
        <v>0</v>
      </c>
      <c r="Z47" s="36">
        <f t="shared" si="7"/>
        <v>0</v>
      </c>
      <c r="AA47" s="36">
        <f t="shared" si="8"/>
        <v>0</v>
      </c>
    </row>
    <row r="48" spans="1:27" ht="39.75" thickBot="1">
      <c r="A48" s="14" t="s">
        <v>81</v>
      </c>
      <c r="B48" s="15" t="s">
        <v>82</v>
      </c>
      <c r="C48" s="7">
        <v>2902126</v>
      </c>
      <c r="D48" s="7">
        <v>5904416</v>
      </c>
      <c r="E48" s="7">
        <v>4936733</v>
      </c>
      <c r="F48" s="7">
        <v>7541653</v>
      </c>
      <c r="G48" s="7">
        <v>324837</v>
      </c>
      <c r="H48" s="7">
        <v>-344461</v>
      </c>
      <c r="I48" s="7">
        <v>-123870</v>
      </c>
      <c r="J48" s="8">
        <v>-3.5</v>
      </c>
      <c r="L48" s="34">
        <v>2902126</v>
      </c>
      <c r="M48" s="35">
        <v>5904416</v>
      </c>
      <c r="N48" s="35">
        <v>4936733</v>
      </c>
      <c r="O48" s="35">
        <v>7541653</v>
      </c>
      <c r="P48" s="35">
        <v>324837</v>
      </c>
      <c r="Q48" s="35">
        <v>-344461</v>
      </c>
      <c r="R48" s="35">
        <v>-123870</v>
      </c>
      <c r="S48" s="35">
        <v>-3.5</v>
      </c>
      <c r="T48" s="36">
        <f t="shared" si="1"/>
        <v>0</v>
      </c>
      <c r="U48" s="36">
        <f t="shared" si="2"/>
        <v>0</v>
      </c>
      <c r="V48" s="36">
        <f t="shared" si="3"/>
        <v>0</v>
      </c>
      <c r="W48" s="36">
        <f t="shared" si="4"/>
        <v>0</v>
      </c>
      <c r="X48" s="36">
        <f t="shared" si="5"/>
        <v>0</v>
      </c>
      <c r="Y48" s="36">
        <f t="shared" si="6"/>
        <v>0</v>
      </c>
      <c r="Z48" s="36">
        <f t="shared" si="7"/>
        <v>0</v>
      </c>
      <c r="AA48" s="36">
        <f t="shared" si="8"/>
        <v>0</v>
      </c>
    </row>
    <row r="49" spans="1:27" ht="51.75">
      <c r="A49" s="14" t="s">
        <v>83</v>
      </c>
      <c r="B49" s="15" t="s">
        <v>84</v>
      </c>
      <c r="C49" s="7">
        <v>24254</v>
      </c>
      <c r="D49" s="7">
        <v>24614</v>
      </c>
      <c r="E49" s="7">
        <v>2619986</v>
      </c>
      <c r="F49" s="7">
        <v>2148878</v>
      </c>
      <c r="G49" s="7">
        <v>203430</v>
      </c>
      <c r="H49" s="7">
        <v>-82551</v>
      </c>
      <c r="I49" s="7">
        <v>-471874</v>
      </c>
      <c r="J49" s="8">
        <v>-26.1</v>
      </c>
      <c r="L49" s="32">
        <v>24254</v>
      </c>
      <c r="M49" s="33">
        <v>24614</v>
      </c>
      <c r="N49" s="33">
        <v>2619986</v>
      </c>
      <c r="O49" s="33">
        <v>2148878</v>
      </c>
      <c r="P49" s="33">
        <v>203430</v>
      </c>
      <c r="Q49" s="33">
        <v>-82551</v>
      </c>
      <c r="R49" s="33">
        <v>-471874</v>
      </c>
      <c r="S49" s="33">
        <v>-26.1</v>
      </c>
      <c r="T49" s="36">
        <f t="shared" si="1"/>
        <v>0</v>
      </c>
      <c r="U49" s="36">
        <f t="shared" si="2"/>
        <v>0</v>
      </c>
      <c r="V49" s="36">
        <f t="shared" si="3"/>
        <v>0</v>
      </c>
      <c r="W49" s="36">
        <f t="shared" si="4"/>
        <v>0</v>
      </c>
      <c r="X49" s="36">
        <f t="shared" si="5"/>
        <v>0</v>
      </c>
      <c r="Y49" s="36">
        <f t="shared" si="6"/>
        <v>0</v>
      </c>
      <c r="Z49" s="36">
        <f t="shared" si="7"/>
        <v>0</v>
      </c>
      <c r="AA49" s="36">
        <f t="shared" si="8"/>
        <v>0</v>
      </c>
    </row>
    <row r="50" spans="1:27" ht="26.25">
      <c r="A50" s="14" t="s">
        <v>85</v>
      </c>
      <c r="B50" s="15" t="s">
        <v>86</v>
      </c>
      <c r="C50" s="7">
        <v>1648</v>
      </c>
      <c r="D50" s="7">
        <v>1648</v>
      </c>
      <c r="E50" s="7">
        <v>-1292</v>
      </c>
      <c r="F50" s="7">
        <v>-2573</v>
      </c>
      <c r="G50" s="7">
        <v>15931</v>
      </c>
      <c r="H50" s="7">
        <v>269</v>
      </c>
      <c r="I50" s="7">
        <v>-1281</v>
      </c>
      <c r="J50" s="8">
        <v>-43.5</v>
      </c>
      <c r="L50" s="34">
        <v>1648</v>
      </c>
      <c r="M50" s="35">
        <v>1648</v>
      </c>
      <c r="N50" s="35">
        <v>-1292</v>
      </c>
      <c r="O50" s="35">
        <v>-2573</v>
      </c>
      <c r="P50" s="35">
        <v>15931</v>
      </c>
      <c r="Q50" s="35">
        <v>269</v>
      </c>
      <c r="R50" s="35">
        <v>-1281</v>
      </c>
      <c r="S50" s="35">
        <v>-43.5</v>
      </c>
      <c r="T50" s="36">
        <f t="shared" si="1"/>
        <v>0</v>
      </c>
      <c r="U50" s="36">
        <f t="shared" si="2"/>
        <v>0</v>
      </c>
      <c r="V50" s="36">
        <f t="shared" si="3"/>
        <v>0</v>
      </c>
      <c r="W50" s="36">
        <f t="shared" si="4"/>
        <v>0</v>
      </c>
      <c r="X50" s="36">
        <f t="shared" si="5"/>
        <v>0</v>
      </c>
      <c r="Y50" s="36">
        <f t="shared" si="6"/>
        <v>0</v>
      </c>
      <c r="Z50" s="36">
        <f t="shared" si="7"/>
        <v>0</v>
      </c>
      <c r="AA50" s="36">
        <f t="shared" si="8"/>
        <v>0</v>
      </c>
    </row>
    <row r="51" spans="1:27" s="20" customFormat="1" ht="51.75">
      <c r="A51" s="16" t="s">
        <v>128</v>
      </c>
      <c r="B51" s="21" t="s">
        <v>87</v>
      </c>
      <c r="C51" s="18">
        <v>3126341</v>
      </c>
      <c r="D51" s="18">
        <v>3126341</v>
      </c>
      <c r="E51" s="18">
        <v>1230008</v>
      </c>
      <c r="F51" s="18">
        <v>1505181</v>
      </c>
      <c r="G51" s="18">
        <v>815818</v>
      </c>
      <c r="H51" s="18">
        <v>34870</v>
      </c>
      <c r="I51" s="18">
        <v>275884</v>
      </c>
      <c r="J51" s="19">
        <v>-0.4</v>
      </c>
      <c r="L51" s="34">
        <v>3126341</v>
      </c>
      <c r="M51" s="35">
        <v>3126341</v>
      </c>
      <c r="N51" s="35">
        <v>1230008</v>
      </c>
      <c r="O51" s="35">
        <v>1505181</v>
      </c>
      <c r="P51" s="35">
        <v>815818</v>
      </c>
      <c r="Q51" s="35">
        <v>34870</v>
      </c>
      <c r="R51" s="35">
        <v>275884</v>
      </c>
      <c r="S51" s="35">
        <v>-0.4</v>
      </c>
      <c r="T51" s="36">
        <f t="shared" si="1"/>
        <v>0</v>
      </c>
      <c r="U51" s="36">
        <f t="shared" si="2"/>
        <v>0</v>
      </c>
      <c r="V51" s="36">
        <f t="shared" si="3"/>
        <v>0</v>
      </c>
      <c r="W51" s="36">
        <f t="shared" si="4"/>
        <v>0</v>
      </c>
      <c r="X51" s="36">
        <f t="shared" si="5"/>
        <v>0</v>
      </c>
      <c r="Y51" s="36">
        <f t="shared" si="6"/>
        <v>0</v>
      </c>
      <c r="Z51" s="36">
        <f t="shared" si="7"/>
        <v>0</v>
      </c>
      <c r="AA51" s="36">
        <f t="shared" si="8"/>
        <v>0</v>
      </c>
    </row>
    <row r="52" spans="1:27" ht="15.75">
      <c r="A52" s="14" t="s">
        <v>88</v>
      </c>
      <c r="B52" s="15" t="s">
        <v>89</v>
      </c>
      <c r="C52" s="7">
        <v>2687104</v>
      </c>
      <c r="D52" s="7">
        <v>2687104</v>
      </c>
      <c r="E52" s="7">
        <v>206126</v>
      </c>
      <c r="F52" s="7">
        <v>515367</v>
      </c>
      <c r="G52" s="7">
        <v>101120</v>
      </c>
      <c r="H52" s="7">
        <v>-28075</v>
      </c>
      <c r="I52" s="7">
        <v>309240</v>
      </c>
      <c r="J52" s="8">
        <v>-9.9</v>
      </c>
      <c r="L52" s="34">
        <v>2687104</v>
      </c>
      <c r="M52" s="35">
        <v>2687104</v>
      </c>
      <c r="N52" s="35">
        <v>206126</v>
      </c>
      <c r="O52" s="35">
        <v>515367</v>
      </c>
      <c r="P52" s="35">
        <v>101120</v>
      </c>
      <c r="Q52" s="35">
        <v>-28075</v>
      </c>
      <c r="R52" s="35">
        <v>309240</v>
      </c>
      <c r="S52" s="35">
        <v>-9.9</v>
      </c>
      <c r="T52" s="36">
        <f t="shared" si="1"/>
        <v>0</v>
      </c>
      <c r="U52" s="36">
        <f t="shared" si="2"/>
        <v>0</v>
      </c>
      <c r="V52" s="36">
        <f t="shared" si="3"/>
        <v>0</v>
      </c>
      <c r="W52" s="36">
        <f t="shared" si="4"/>
        <v>0</v>
      </c>
      <c r="X52" s="36">
        <f t="shared" si="5"/>
        <v>0</v>
      </c>
      <c r="Y52" s="36">
        <f t="shared" si="6"/>
        <v>0</v>
      </c>
      <c r="Z52" s="36">
        <f t="shared" si="7"/>
        <v>0</v>
      </c>
      <c r="AA52" s="36">
        <f t="shared" si="8"/>
        <v>0</v>
      </c>
    </row>
    <row r="53" spans="1:27" ht="52.5" thickBot="1">
      <c r="A53" s="14" t="s">
        <v>90</v>
      </c>
      <c r="B53" s="15" t="s">
        <v>91</v>
      </c>
      <c r="C53" s="7">
        <v>10</v>
      </c>
      <c r="D53" s="7">
        <v>10</v>
      </c>
      <c r="E53" s="7">
        <v>533835</v>
      </c>
      <c r="F53" s="7">
        <v>484785</v>
      </c>
      <c r="G53" s="7">
        <v>43946</v>
      </c>
      <c r="H53" s="7">
        <v>-44349</v>
      </c>
      <c r="I53" s="7">
        <v>-49051</v>
      </c>
      <c r="J53" s="8">
        <v>-13.3</v>
      </c>
      <c r="L53" s="34">
        <v>10</v>
      </c>
      <c r="M53" s="35">
        <v>10</v>
      </c>
      <c r="N53" s="35">
        <v>533835</v>
      </c>
      <c r="O53" s="35">
        <v>484785</v>
      </c>
      <c r="P53" s="35">
        <v>43946</v>
      </c>
      <c r="Q53" s="35">
        <v>-44349</v>
      </c>
      <c r="R53" s="35">
        <v>-49051</v>
      </c>
      <c r="S53" s="35">
        <v>-13.3</v>
      </c>
      <c r="T53" s="36">
        <f t="shared" si="1"/>
        <v>0</v>
      </c>
      <c r="U53" s="36">
        <f t="shared" si="2"/>
        <v>0</v>
      </c>
      <c r="V53" s="36">
        <f t="shared" si="3"/>
        <v>0</v>
      </c>
      <c r="W53" s="36">
        <f t="shared" si="4"/>
        <v>0</v>
      </c>
      <c r="X53" s="36">
        <f t="shared" si="5"/>
        <v>0</v>
      </c>
      <c r="Y53" s="36">
        <f t="shared" si="6"/>
        <v>0</v>
      </c>
      <c r="Z53" s="36">
        <f t="shared" si="7"/>
        <v>0</v>
      </c>
      <c r="AA53" s="36">
        <f t="shared" si="8"/>
        <v>0</v>
      </c>
    </row>
    <row r="54" spans="1:27" ht="26.25">
      <c r="A54" s="14" t="s">
        <v>92</v>
      </c>
      <c r="B54" s="15" t="s">
        <v>93</v>
      </c>
      <c r="C54" s="7">
        <v>439127</v>
      </c>
      <c r="D54" s="7">
        <v>439127</v>
      </c>
      <c r="E54" s="7">
        <v>483679</v>
      </c>
      <c r="F54" s="7">
        <v>498441</v>
      </c>
      <c r="G54" s="7">
        <v>659246</v>
      </c>
      <c r="H54" s="7">
        <v>106345</v>
      </c>
      <c r="I54" s="7">
        <v>15069</v>
      </c>
      <c r="J54" s="8">
        <v>21.6</v>
      </c>
      <c r="L54" s="32">
        <v>439127</v>
      </c>
      <c r="M54" s="33">
        <v>439127</v>
      </c>
      <c r="N54" s="33">
        <v>483679</v>
      </c>
      <c r="O54" s="33">
        <v>498441</v>
      </c>
      <c r="P54" s="33">
        <v>659246</v>
      </c>
      <c r="Q54" s="33">
        <v>106345</v>
      </c>
      <c r="R54" s="33">
        <v>15069</v>
      </c>
      <c r="S54" s="33">
        <v>21.6</v>
      </c>
      <c r="T54" s="36">
        <f t="shared" si="1"/>
        <v>0</v>
      </c>
      <c r="U54" s="36">
        <f t="shared" si="2"/>
        <v>0</v>
      </c>
      <c r="V54" s="36">
        <f t="shared" si="3"/>
        <v>0</v>
      </c>
      <c r="W54" s="36">
        <f t="shared" si="4"/>
        <v>0</v>
      </c>
      <c r="X54" s="36">
        <f t="shared" si="5"/>
        <v>0</v>
      </c>
      <c r="Y54" s="36">
        <f t="shared" si="6"/>
        <v>0</v>
      </c>
      <c r="Z54" s="36">
        <f t="shared" si="7"/>
        <v>0</v>
      </c>
      <c r="AA54" s="36">
        <f t="shared" si="8"/>
        <v>0</v>
      </c>
    </row>
    <row r="55" spans="1:27" ht="90">
      <c r="A55" s="14" t="s">
        <v>94</v>
      </c>
      <c r="B55" s="15" t="s">
        <v>95</v>
      </c>
      <c r="C55" s="7">
        <v>100</v>
      </c>
      <c r="D55" s="7">
        <v>100</v>
      </c>
      <c r="E55" s="7">
        <v>6368</v>
      </c>
      <c r="F55" s="7">
        <v>6588</v>
      </c>
      <c r="G55" s="7">
        <v>11506</v>
      </c>
      <c r="H55" s="7">
        <v>949</v>
      </c>
      <c r="I55" s="7">
        <v>626</v>
      </c>
      <c r="J55" s="8">
        <v>11.4</v>
      </c>
      <c r="L55" s="34">
        <v>100</v>
      </c>
      <c r="M55" s="35">
        <v>100</v>
      </c>
      <c r="N55" s="35">
        <v>6368</v>
      </c>
      <c r="O55" s="35">
        <v>6588</v>
      </c>
      <c r="P55" s="35">
        <v>11506</v>
      </c>
      <c r="Q55" s="35">
        <v>949</v>
      </c>
      <c r="R55" s="35">
        <v>626</v>
      </c>
      <c r="S55" s="35">
        <v>11.4</v>
      </c>
      <c r="T55" s="36">
        <f t="shared" si="1"/>
        <v>0</v>
      </c>
      <c r="U55" s="36">
        <f t="shared" si="2"/>
        <v>0</v>
      </c>
      <c r="V55" s="36">
        <f t="shared" si="3"/>
        <v>0</v>
      </c>
      <c r="W55" s="36">
        <f t="shared" si="4"/>
        <v>0</v>
      </c>
      <c r="X55" s="36">
        <f t="shared" si="5"/>
        <v>0</v>
      </c>
      <c r="Y55" s="36">
        <f t="shared" si="6"/>
        <v>0</v>
      </c>
      <c r="Z55" s="36">
        <f t="shared" si="7"/>
        <v>0</v>
      </c>
      <c r="AA55" s="36">
        <f t="shared" si="8"/>
        <v>0</v>
      </c>
    </row>
    <row r="56" spans="1:27" s="20" customFormat="1" ht="51.75">
      <c r="A56" s="16" t="s">
        <v>129</v>
      </c>
      <c r="B56" s="21" t="s">
        <v>96</v>
      </c>
      <c r="C56" s="18" t="s">
        <v>49</v>
      </c>
      <c r="D56" s="18" t="s">
        <v>49</v>
      </c>
      <c r="E56" s="18">
        <v>114489</v>
      </c>
      <c r="F56" s="18">
        <v>160410</v>
      </c>
      <c r="G56" s="18">
        <v>5536</v>
      </c>
      <c r="H56" s="18">
        <v>-1011</v>
      </c>
      <c r="I56" s="18">
        <v>6715</v>
      </c>
      <c r="J56" s="19">
        <v>4.5</v>
      </c>
      <c r="L56" s="34" t="s">
        <v>49</v>
      </c>
      <c r="M56" s="35" t="s">
        <v>49</v>
      </c>
      <c r="N56" s="35">
        <v>114489</v>
      </c>
      <c r="O56" s="35">
        <v>160410</v>
      </c>
      <c r="P56" s="35">
        <v>5536</v>
      </c>
      <c r="Q56" s="35">
        <v>-1011</v>
      </c>
      <c r="R56" s="35">
        <v>6715</v>
      </c>
      <c r="S56" s="35">
        <v>4.5</v>
      </c>
      <c r="T56" s="36" t="e">
        <f t="shared" si="1"/>
        <v>#VALUE!</v>
      </c>
      <c r="U56" s="36" t="e">
        <f t="shared" si="2"/>
        <v>#VALUE!</v>
      </c>
      <c r="V56" s="36">
        <f t="shared" si="3"/>
        <v>0</v>
      </c>
      <c r="W56" s="36">
        <f t="shared" si="4"/>
        <v>0</v>
      </c>
      <c r="X56" s="36">
        <f t="shared" si="5"/>
        <v>0</v>
      </c>
      <c r="Y56" s="36">
        <f t="shared" si="6"/>
        <v>0</v>
      </c>
      <c r="Z56" s="36">
        <f t="shared" si="7"/>
        <v>0</v>
      </c>
      <c r="AA56" s="36">
        <f t="shared" si="8"/>
        <v>0</v>
      </c>
    </row>
    <row r="57" spans="1:27" ht="65.25" thickBot="1">
      <c r="A57" s="14" t="s">
        <v>97</v>
      </c>
      <c r="B57" s="15" t="s">
        <v>98</v>
      </c>
      <c r="C57" s="7" t="s">
        <v>49</v>
      </c>
      <c r="D57" s="7" t="s">
        <v>49</v>
      </c>
      <c r="E57" s="7">
        <v>114489</v>
      </c>
      <c r="F57" s="7">
        <v>160410</v>
      </c>
      <c r="G57" s="7">
        <v>5536</v>
      </c>
      <c r="H57" s="7">
        <v>-1011</v>
      </c>
      <c r="I57" s="7">
        <v>6715</v>
      </c>
      <c r="J57" s="8">
        <v>4.5</v>
      </c>
      <c r="L57" s="34" t="s">
        <v>49</v>
      </c>
      <c r="M57" s="35" t="s">
        <v>49</v>
      </c>
      <c r="N57" s="35">
        <v>114489</v>
      </c>
      <c r="O57" s="35">
        <v>160410</v>
      </c>
      <c r="P57" s="35">
        <v>5536</v>
      </c>
      <c r="Q57" s="35">
        <v>-1011</v>
      </c>
      <c r="R57" s="35">
        <v>6715</v>
      </c>
      <c r="S57" s="35">
        <v>4.5</v>
      </c>
      <c r="T57" s="36" t="e">
        <f t="shared" si="1"/>
        <v>#VALUE!</v>
      </c>
      <c r="U57" s="36" t="e">
        <f t="shared" si="2"/>
        <v>#VALUE!</v>
      </c>
      <c r="V57" s="36">
        <f t="shared" si="3"/>
        <v>0</v>
      </c>
      <c r="W57" s="36">
        <f t="shared" si="4"/>
        <v>0</v>
      </c>
      <c r="X57" s="36">
        <f t="shared" si="5"/>
        <v>0</v>
      </c>
      <c r="Y57" s="36">
        <f t="shared" si="6"/>
        <v>0</v>
      </c>
      <c r="Z57" s="36">
        <f t="shared" si="7"/>
        <v>0</v>
      </c>
      <c r="AA57" s="36">
        <f t="shared" si="8"/>
        <v>0</v>
      </c>
    </row>
    <row r="58" spans="1:27" s="20" customFormat="1" ht="15.75">
      <c r="A58" s="16" t="s">
        <v>130</v>
      </c>
      <c r="B58" s="21" t="s">
        <v>99</v>
      </c>
      <c r="C58" s="18" t="s">
        <v>49</v>
      </c>
      <c r="D58" s="18" t="s">
        <v>49</v>
      </c>
      <c r="E58" s="18">
        <v>651</v>
      </c>
      <c r="F58" s="18">
        <v>934</v>
      </c>
      <c r="G58" s="18">
        <v>5861</v>
      </c>
      <c r="H58" s="18">
        <v>576</v>
      </c>
      <c r="I58" s="18">
        <v>283</v>
      </c>
      <c r="J58" s="19">
        <v>51</v>
      </c>
      <c r="L58" s="32" t="s">
        <v>49</v>
      </c>
      <c r="M58" s="33" t="s">
        <v>49</v>
      </c>
      <c r="N58" s="33">
        <v>651</v>
      </c>
      <c r="O58" s="33">
        <v>934</v>
      </c>
      <c r="P58" s="33">
        <v>5861</v>
      </c>
      <c r="Q58" s="33">
        <v>576</v>
      </c>
      <c r="R58" s="33">
        <v>283</v>
      </c>
      <c r="S58" s="33">
        <v>51</v>
      </c>
      <c r="T58" s="36" t="e">
        <f t="shared" si="1"/>
        <v>#VALUE!</v>
      </c>
      <c r="U58" s="36" t="e">
        <f t="shared" si="2"/>
        <v>#VALUE!</v>
      </c>
      <c r="V58" s="36">
        <f t="shared" si="3"/>
        <v>0</v>
      </c>
      <c r="W58" s="36">
        <f t="shared" si="4"/>
        <v>0</v>
      </c>
      <c r="X58" s="36">
        <f t="shared" si="5"/>
        <v>0</v>
      </c>
      <c r="Y58" s="36">
        <f t="shared" si="6"/>
        <v>0</v>
      </c>
      <c r="Z58" s="36">
        <f t="shared" si="7"/>
        <v>0</v>
      </c>
      <c r="AA58" s="36">
        <f t="shared" si="8"/>
        <v>0</v>
      </c>
    </row>
    <row r="59" spans="1:27" ht="15.75">
      <c r="A59" s="14" t="s">
        <v>100</v>
      </c>
      <c r="B59" s="15" t="s">
        <v>101</v>
      </c>
      <c r="C59" s="7" t="s">
        <v>49</v>
      </c>
      <c r="D59" s="7" t="s">
        <v>49</v>
      </c>
      <c r="E59" s="7">
        <v>651</v>
      </c>
      <c r="F59" s="7">
        <v>934</v>
      </c>
      <c r="G59" s="7">
        <v>5861</v>
      </c>
      <c r="H59" s="7">
        <v>576</v>
      </c>
      <c r="I59" s="7">
        <v>283</v>
      </c>
      <c r="J59" s="8">
        <v>51</v>
      </c>
      <c r="L59" s="34" t="s">
        <v>49</v>
      </c>
      <c r="M59" s="35" t="s">
        <v>49</v>
      </c>
      <c r="N59" s="35">
        <v>651</v>
      </c>
      <c r="O59" s="35">
        <v>934</v>
      </c>
      <c r="P59" s="35">
        <v>5861</v>
      </c>
      <c r="Q59" s="35">
        <v>576</v>
      </c>
      <c r="R59" s="35">
        <v>283</v>
      </c>
      <c r="S59" s="35">
        <v>51</v>
      </c>
      <c r="T59" s="36" t="e">
        <f t="shared" si="1"/>
        <v>#VALUE!</v>
      </c>
      <c r="U59" s="36" t="e">
        <f t="shared" si="2"/>
        <v>#VALUE!</v>
      </c>
      <c r="V59" s="36">
        <f t="shared" si="3"/>
        <v>0</v>
      </c>
      <c r="W59" s="36">
        <f t="shared" si="4"/>
        <v>0</v>
      </c>
      <c r="X59" s="36">
        <f t="shared" si="5"/>
        <v>0</v>
      </c>
      <c r="Y59" s="36">
        <f t="shared" si="6"/>
        <v>0</v>
      </c>
      <c r="Z59" s="36">
        <f t="shared" si="7"/>
        <v>0</v>
      </c>
      <c r="AA59" s="36">
        <f t="shared" si="8"/>
        <v>0</v>
      </c>
    </row>
    <row r="60" spans="1:27" s="20" customFormat="1" ht="39">
      <c r="A60" s="16" t="s">
        <v>131</v>
      </c>
      <c r="B60" s="21" t="s">
        <v>102</v>
      </c>
      <c r="C60" s="18" t="s">
        <v>49</v>
      </c>
      <c r="D60" s="18" t="s">
        <v>49</v>
      </c>
      <c r="E60" s="18">
        <v>873</v>
      </c>
      <c r="F60" s="18">
        <v>1083</v>
      </c>
      <c r="G60" s="18" t="s">
        <v>49</v>
      </c>
      <c r="H60" s="18" t="s">
        <v>49</v>
      </c>
      <c r="I60" s="18" t="s">
        <v>49</v>
      </c>
      <c r="J60" s="19" t="s">
        <v>49</v>
      </c>
      <c r="L60" s="34" t="s">
        <v>49</v>
      </c>
      <c r="M60" s="35" t="s">
        <v>49</v>
      </c>
      <c r="N60" s="35">
        <v>873</v>
      </c>
      <c r="O60" s="35">
        <v>1083</v>
      </c>
      <c r="P60" s="35" t="s">
        <v>49</v>
      </c>
      <c r="Q60" s="35" t="s">
        <v>49</v>
      </c>
      <c r="R60" s="35" t="s">
        <v>49</v>
      </c>
      <c r="S60" s="35" t="s">
        <v>49</v>
      </c>
      <c r="T60" s="36" t="e">
        <f t="shared" si="1"/>
        <v>#VALUE!</v>
      </c>
      <c r="U60" s="36" t="e">
        <f t="shared" si="2"/>
        <v>#VALUE!</v>
      </c>
      <c r="V60" s="36">
        <f t="shared" si="3"/>
        <v>0</v>
      </c>
      <c r="W60" s="36">
        <f t="shared" si="4"/>
        <v>0</v>
      </c>
      <c r="X60" s="36" t="e">
        <f t="shared" si="5"/>
        <v>#VALUE!</v>
      </c>
      <c r="Y60" s="36" t="e">
        <f t="shared" si="6"/>
        <v>#VALUE!</v>
      </c>
      <c r="Z60" s="36" t="e">
        <f t="shared" si="7"/>
        <v>#VALUE!</v>
      </c>
      <c r="AA60" s="36" t="e">
        <f t="shared" si="8"/>
        <v>#VALUE!</v>
      </c>
    </row>
    <row r="61" spans="1:27" ht="26.25">
      <c r="A61" s="14" t="s">
        <v>103</v>
      </c>
      <c r="B61" s="15" t="s">
        <v>104</v>
      </c>
      <c r="C61" s="7" t="s">
        <v>49</v>
      </c>
      <c r="D61" s="7" t="s">
        <v>49</v>
      </c>
      <c r="E61" s="7">
        <v>873</v>
      </c>
      <c r="F61" s="7">
        <v>1083</v>
      </c>
      <c r="G61" s="7" t="s">
        <v>49</v>
      </c>
      <c r="H61" s="7" t="s">
        <v>49</v>
      </c>
      <c r="I61" s="7" t="s">
        <v>49</v>
      </c>
      <c r="J61" s="8" t="s">
        <v>49</v>
      </c>
      <c r="L61" s="34" t="s">
        <v>49</v>
      </c>
      <c r="M61" s="35" t="s">
        <v>49</v>
      </c>
      <c r="N61" s="35">
        <v>873</v>
      </c>
      <c r="O61" s="35">
        <v>1083</v>
      </c>
      <c r="P61" s="35" t="s">
        <v>49</v>
      </c>
      <c r="Q61" s="35" t="s">
        <v>49</v>
      </c>
      <c r="R61" s="35" t="s">
        <v>49</v>
      </c>
      <c r="S61" s="35" t="s">
        <v>49</v>
      </c>
      <c r="T61" s="36" t="e">
        <f t="shared" si="1"/>
        <v>#VALUE!</v>
      </c>
      <c r="U61" s="36" t="e">
        <f t="shared" si="2"/>
        <v>#VALUE!</v>
      </c>
      <c r="V61" s="36">
        <f t="shared" si="3"/>
        <v>0</v>
      </c>
      <c r="W61" s="36">
        <f t="shared" si="4"/>
        <v>0</v>
      </c>
      <c r="X61" s="36" t="e">
        <f t="shared" si="5"/>
        <v>#VALUE!</v>
      </c>
      <c r="Y61" s="36" t="e">
        <f t="shared" si="6"/>
        <v>#VALUE!</v>
      </c>
      <c r="Z61" s="36" t="e">
        <f t="shared" si="7"/>
        <v>#VALUE!</v>
      </c>
      <c r="AA61" s="36" t="e">
        <f t="shared" si="8"/>
        <v>#VALUE!</v>
      </c>
    </row>
    <row r="62" spans="1:27" s="20" customFormat="1" ht="51.75">
      <c r="A62" s="16" t="s">
        <v>132</v>
      </c>
      <c r="B62" s="21" t="s">
        <v>105</v>
      </c>
      <c r="C62" s="18">
        <v>11</v>
      </c>
      <c r="D62" s="18" t="s">
        <v>49</v>
      </c>
      <c r="E62" s="18">
        <v>217</v>
      </c>
      <c r="F62" s="18">
        <v>192</v>
      </c>
      <c r="G62" s="18" t="s">
        <v>49</v>
      </c>
      <c r="H62" s="18">
        <v>428</v>
      </c>
      <c r="I62" s="18">
        <v>428</v>
      </c>
      <c r="J62" s="19">
        <v>222.9</v>
      </c>
      <c r="L62" s="34">
        <v>11</v>
      </c>
      <c r="M62" s="35" t="s">
        <v>49</v>
      </c>
      <c r="N62" s="35">
        <v>217</v>
      </c>
      <c r="O62" s="35">
        <v>192</v>
      </c>
      <c r="P62" s="35" t="s">
        <v>49</v>
      </c>
      <c r="Q62" s="35">
        <v>428</v>
      </c>
      <c r="R62" s="35">
        <v>428</v>
      </c>
      <c r="S62" s="35">
        <v>222.9</v>
      </c>
      <c r="T62" s="36">
        <f t="shared" si="1"/>
        <v>0</v>
      </c>
      <c r="U62" s="36" t="e">
        <f t="shared" si="2"/>
        <v>#VALUE!</v>
      </c>
      <c r="V62" s="36">
        <f t="shared" si="3"/>
        <v>0</v>
      </c>
      <c r="W62" s="36">
        <f t="shared" si="4"/>
        <v>0</v>
      </c>
      <c r="X62" s="36" t="e">
        <f t="shared" si="5"/>
        <v>#VALUE!</v>
      </c>
      <c r="Y62" s="36">
        <f t="shared" si="6"/>
        <v>0</v>
      </c>
      <c r="Z62" s="36">
        <f t="shared" si="7"/>
        <v>0</v>
      </c>
      <c r="AA62" s="36">
        <f t="shared" si="8"/>
        <v>0</v>
      </c>
    </row>
    <row r="63" spans="1:27" ht="27" thickBot="1">
      <c r="A63" s="14" t="s">
        <v>106</v>
      </c>
      <c r="B63" s="15" t="s">
        <v>107</v>
      </c>
      <c r="C63" s="7">
        <v>11</v>
      </c>
      <c r="D63" s="7" t="s">
        <v>49</v>
      </c>
      <c r="E63" s="7">
        <v>217</v>
      </c>
      <c r="F63" s="7">
        <v>192</v>
      </c>
      <c r="G63" s="7" t="s">
        <v>49</v>
      </c>
      <c r="H63" s="7">
        <v>428</v>
      </c>
      <c r="I63" s="7">
        <v>428</v>
      </c>
      <c r="J63" s="8">
        <v>222.9</v>
      </c>
      <c r="L63" s="34">
        <v>11</v>
      </c>
      <c r="M63" s="35" t="s">
        <v>49</v>
      </c>
      <c r="N63" s="35">
        <v>217</v>
      </c>
      <c r="O63" s="35">
        <v>192</v>
      </c>
      <c r="P63" s="35" t="s">
        <v>49</v>
      </c>
      <c r="Q63" s="35">
        <v>428</v>
      </c>
      <c r="R63" s="35">
        <v>428</v>
      </c>
      <c r="S63" s="35">
        <v>222.9</v>
      </c>
      <c r="T63" s="36">
        <f t="shared" si="1"/>
        <v>0</v>
      </c>
      <c r="U63" s="36" t="e">
        <f t="shared" si="2"/>
        <v>#VALUE!</v>
      </c>
      <c r="V63" s="36">
        <f t="shared" si="3"/>
        <v>0</v>
      </c>
      <c r="W63" s="36">
        <f t="shared" si="4"/>
        <v>0</v>
      </c>
      <c r="X63" s="36" t="e">
        <f t="shared" si="5"/>
        <v>#VALUE!</v>
      </c>
      <c r="Y63" s="36">
        <f t="shared" si="6"/>
        <v>0</v>
      </c>
      <c r="Z63" s="36">
        <f t="shared" si="7"/>
        <v>0</v>
      </c>
      <c r="AA63" s="36">
        <f t="shared" si="8"/>
        <v>0</v>
      </c>
    </row>
    <row r="64" spans="1:27" s="20" customFormat="1" ht="26.25">
      <c r="A64" s="22" t="s">
        <v>133</v>
      </c>
      <c r="B64" s="23" t="s">
        <v>108</v>
      </c>
      <c r="C64" s="24">
        <v>30191</v>
      </c>
      <c r="D64" s="24">
        <v>24922</v>
      </c>
      <c r="E64" s="24">
        <v>553804</v>
      </c>
      <c r="F64" s="24">
        <v>632892</v>
      </c>
      <c r="G64" s="24">
        <v>6538</v>
      </c>
      <c r="H64" s="24">
        <v>-6402</v>
      </c>
      <c r="I64" s="24">
        <v>51732</v>
      </c>
      <c r="J64" s="25">
        <v>10.1</v>
      </c>
      <c r="L64" s="32">
        <v>30191</v>
      </c>
      <c r="M64" s="33">
        <v>24922</v>
      </c>
      <c r="N64" s="33">
        <v>553804</v>
      </c>
      <c r="O64" s="33">
        <v>632892</v>
      </c>
      <c r="P64" s="33">
        <v>6538</v>
      </c>
      <c r="Q64" s="33">
        <v>-6402</v>
      </c>
      <c r="R64" s="33">
        <v>51732</v>
      </c>
      <c r="S64" s="33">
        <v>10.1</v>
      </c>
      <c r="T64" s="36">
        <f t="shared" si="1"/>
        <v>0</v>
      </c>
      <c r="U64" s="36">
        <f t="shared" si="2"/>
        <v>0</v>
      </c>
      <c r="V64" s="36">
        <f t="shared" si="3"/>
        <v>0</v>
      </c>
      <c r="W64" s="36">
        <f t="shared" si="4"/>
        <v>0</v>
      </c>
      <c r="X64" s="36">
        <f t="shared" si="5"/>
        <v>0</v>
      </c>
      <c r="Y64" s="36">
        <f t="shared" si="6"/>
        <v>0</v>
      </c>
      <c r="Z64" s="36">
        <f t="shared" si="7"/>
        <v>0</v>
      </c>
      <c r="AA64" s="36">
        <f t="shared" si="8"/>
        <v>0</v>
      </c>
    </row>
    <row r="65" spans="1:27" ht="39">
      <c r="A65" s="14" t="s">
        <v>109</v>
      </c>
      <c r="B65" s="15" t="s">
        <v>110</v>
      </c>
      <c r="C65" s="7">
        <v>29058</v>
      </c>
      <c r="D65" s="7">
        <v>23789</v>
      </c>
      <c r="E65" s="7">
        <v>557681</v>
      </c>
      <c r="F65" s="7">
        <v>642050</v>
      </c>
      <c r="G65" s="7">
        <v>1094</v>
      </c>
      <c r="H65" s="7">
        <v>36</v>
      </c>
      <c r="I65" s="7">
        <v>57013</v>
      </c>
      <c r="J65" s="8">
        <v>10.8</v>
      </c>
      <c r="L65" s="34">
        <v>29058</v>
      </c>
      <c r="M65" s="35">
        <v>23789</v>
      </c>
      <c r="N65" s="35">
        <v>557681</v>
      </c>
      <c r="O65" s="35">
        <v>642050</v>
      </c>
      <c r="P65" s="35">
        <v>1094</v>
      </c>
      <c r="Q65" s="35">
        <v>36</v>
      </c>
      <c r="R65" s="35">
        <v>57013</v>
      </c>
      <c r="S65" s="35">
        <v>10.8</v>
      </c>
      <c r="T65" s="36">
        <f t="shared" si="1"/>
        <v>0</v>
      </c>
      <c r="U65" s="36">
        <f t="shared" si="2"/>
        <v>0</v>
      </c>
      <c r="V65" s="36">
        <f t="shared" si="3"/>
        <v>0</v>
      </c>
      <c r="W65" s="36">
        <f t="shared" si="4"/>
        <v>0</v>
      </c>
      <c r="X65" s="36">
        <f t="shared" si="5"/>
        <v>0</v>
      </c>
      <c r="Y65" s="36">
        <f t="shared" si="6"/>
        <v>0</v>
      </c>
      <c r="Z65" s="36">
        <f t="shared" si="7"/>
        <v>0</v>
      </c>
      <c r="AA65" s="36">
        <f t="shared" si="8"/>
        <v>0</v>
      </c>
    </row>
    <row r="66" spans="1:27" ht="26.25">
      <c r="A66" s="14" t="s">
        <v>111</v>
      </c>
      <c r="B66" s="15" t="s">
        <v>112</v>
      </c>
      <c r="C66" s="7">
        <v>1133</v>
      </c>
      <c r="D66" s="7">
        <v>1133</v>
      </c>
      <c r="E66" s="7">
        <v>-3877</v>
      </c>
      <c r="F66" s="7">
        <v>-9158</v>
      </c>
      <c r="G66" s="7">
        <v>5444</v>
      </c>
      <c r="H66" s="7">
        <v>-6438</v>
      </c>
      <c r="I66" s="7">
        <v>-5281</v>
      </c>
      <c r="J66" s="8">
        <v>-56.8</v>
      </c>
      <c r="L66" s="34">
        <v>1133</v>
      </c>
      <c r="M66" s="35">
        <v>1133</v>
      </c>
      <c r="N66" s="35">
        <v>-3877</v>
      </c>
      <c r="O66" s="35">
        <v>-9158</v>
      </c>
      <c r="P66" s="35">
        <v>5444</v>
      </c>
      <c r="Q66" s="35">
        <v>-6438</v>
      </c>
      <c r="R66" s="35">
        <v>-5281</v>
      </c>
      <c r="S66" s="35">
        <v>-56.8</v>
      </c>
      <c r="T66" s="36">
        <f t="shared" si="1"/>
        <v>0</v>
      </c>
      <c r="U66" s="36">
        <f t="shared" si="2"/>
        <v>0</v>
      </c>
      <c r="V66" s="36">
        <f t="shared" si="3"/>
        <v>0</v>
      </c>
      <c r="W66" s="36">
        <f t="shared" si="4"/>
        <v>0</v>
      </c>
      <c r="X66" s="36">
        <f t="shared" si="5"/>
        <v>0</v>
      </c>
      <c r="Y66" s="36">
        <f t="shared" si="6"/>
        <v>0</v>
      </c>
      <c r="Z66" s="36">
        <f t="shared" si="7"/>
        <v>0</v>
      </c>
      <c r="AA66" s="36">
        <f t="shared" si="8"/>
        <v>0</v>
      </c>
    </row>
  </sheetData>
  <autoFilter ref="A8:AA66"/>
  <mergeCells count="11">
    <mergeCell ref="A1:J1"/>
    <mergeCell ref="A2:J2"/>
    <mergeCell ref="A3:J3"/>
    <mergeCell ref="C5:D5"/>
    <mergeCell ref="E5:F5"/>
    <mergeCell ref="G5:G6"/>
    <mergeCell ref="H5:H6"/>
    <mergeCell ref="I5:I6"/>
    <mergeCell ref="J5:J6"/>
    <mergeCell ref="A5:A6"/>
    <mergeCell ref="B5:B6"/>
  </mergeCells>
  <phoneticPr fontId="0" type="noConversion"/>
  <pageMargins left="0.98425196850393704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35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T35</vt:lpstr>
      <vt:lpstr>'T35'!ExternalData_1</vt:lpstr>
      <vt:lpstr>'T35'!Заголовки_для_печати</vt:lpstr>
    </vt:vector>
  </TitlesOfParts>
  <Company>ГАР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41.KolbikMV</cp:lastModifiedBy>
  <cp:lastPrinted>2017-11-28T10:28:33Z</cp:lastPrinted>
  <dcterms:created xsi:type="dcterms:W3CDTF">2006-03-06T10:31:21Z</dcterms:created>
  <dcterms:modified xsi:type="dcterms:W3CDTF">2025-09-15T21:42:26Z</dcterms:modified>
</cp:coreProperties>
</file>