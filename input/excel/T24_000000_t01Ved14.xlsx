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390" yWindow="120" windowWidth="8445" windowHeight="4350" tabRatio="364"/>
  </bookViews>
  <sheets>
    <sheet name="T1" sheetId="1" r:id="rId1"/>
  </sheets>
  <definedNames>
    <definedName name="ExternalData_1" localSheetId="0">'T1'!$A$8:$P$66</definedName>
    <definedName name="_xlnm.Print_Titles" localSheetId="0">'T1'!$A:$B,'T1'!$4:$7</definedName>
  </definedNames>
  <calcPr calcId="125725"/>
</workbook>
</file>

<file path=xl/calcChain.xml><?xml version="1.0" encoding="utf-8"?>
<calcChain xmlns="http://schemas.openxmlformats.org/spreadsheetml/2006/main">
  <c r="AD10" i="1"/>
  <c r="AE10"/>
  <c r="AF10"/>
  <c r="AG10"/>
  <c r="AH10"/>
  <c r="AI10"/>
  <c r="AJ10"/>
  <c r="AK10"/>
  <c r="AL10"/>
  <c r="AM10"/>
  <c r="AN10"/>
  <c r="AO10"/>
  <c r="AD11"/>
  <c r="AE11"/>
  <c r="AF11"/>
  <c r="AG11"/>
  <c r="AH11"/>
  <c r="AI11"/>
  <c r="AJ11"/>
  <c r="AK11"/>
  <c r="AL11"/>
  <c r="AM11"/>
  <c r="AN11"/>
  <c r="AO11"/>
  <c r="AD12"/>
  <c r="AE12"/>
  <c r="AF12"/>
  <c r="AG12"/>
  <c r="AH12"/>
  <c r="AI12"/>
  <c r="AJ12"/>
  <c r="AK12"/>
  <c r="AL12"/>
  <c r="AM12"/>
  <c r="AN12"/>
  <c r="AO12"/>
  <c r="AD13"/>
  <c r="AE13"/>
  <c r="AF13"/>
  <c r="AG13"/>
  <c r="AH13"/>
  <c r="AI13"/>
  <c r="AJ13"/>
  <c r="AK13"/>
  <c r="AL13"/>
  <c r="AM13"/>
  <c r="AN13"/>
  <c r="AO13"/>
  <c r="AD14"/>
  <c r="AE14"/>
  <c r="AF14"/>
  <c r="AG14"/>
  <c r="AH14"/>
  <c r="AI14"/>
  <c r="AJ14"/>
  <c r="AK14"/>
  <c r="AL14"/>
  <c r="AM14"/>
  <c r="AN14"/>
  <c r="AO14"/>
  <c r="AD15"/>
  <c r="AE15"/>
  <c r="AF15"/>
  <c r="AG15"/>
  <c r="AH15"/>
  <c r="AI15"/>
  <c r="AJ15"/>
  <c r="AK15"/>
  <c r="AL15"/>
  <c r="AM15"/>
  <c r="AN15"/>
  <c r="AO15"/>
  <c r="AD16"/>
  <c r="AE16"/>
  <c r="AF16"/>
  <c r="AG16"/>
  <c r="AH16"/>
  <c r="AI16"/>
  <c r="AJ16"/>
  <c r="AK16"/>
  <c r="AL16"/>
  <c r="AM16"/>
  <c r="AN16"/>
  <c r="AO16"/>
  <c r="AD17"/>
  <c r="AE17"/>
  <c r="AF17"/>
  <c r="AG17"/>
  <c r="AH17"/>
  <c r="AI17"/>
  <c r="AJ17"/>
  <c r="AK17"/>
  <c r="AL17"/>
  <c r="AM17"/>
  <c r="AN17"/>
  <c r="AO17"/>
  <c r="AD18"/>
  <c r="AE18"/>
  <c r="AF18"/>
  <c r="AG18"/>
  <c r="AH18"/>
  <c r="AI18"/>
  <c r="AJ18"/>
  <c r="AK18"/>
  <c r="AL18"/>
  <c r="AM18"/>
  <c r="AN18"/>
  <c r="AO18"/>
  <c r="AD19"/>
  <c r="AE19"/>
  <c r="AF19"/>
  <c r="AG19"/>
  <c r="AH19"/>
  <c r="AI19"/>
  <c r="AJ19"/>
  <c r="AK19"/>
  <c r="AL19"/>
  <c r="AM19"/>
  <c r="AN19"/>
  <c r="AO19"/>
  <c r="AD20"/>
  <c r="AE20"/>
  <c r="AF20"/>
  <c r="AG20"/>
  <c r="AH20"/>
  <c r="AI20"/>
  <c r="AJ20"/>
  <c r="AK20"/>
  <c r="AL20"/>
  <c r="AM20"/>
  <c r="AN20"/>
  <c r="AO20"/>
  <c r="AD21"/>
  <c r="AE21"/>
  <c r="AF21"/>
  <c r="AG21"/>
  <c r="AH21"/>
  <c r="AI21"/>
  <c r="AJ21"/>
  <c r="AK21"/>
  <c r="AL21"/>
  <c r="AM21"/>
  <c r="AN21"/>
  <c r="AO21"/>
  <c r="AD22"/>
  <c r="AE22"/>
  <c r="AF22"/>
  <c r="AG22"/>
  <c r="AH22"/>
  <c r="AI22"/>
  <c r="AJ22"/>
  <c r="AK22"/>
  <c r="AL22"/>
  <c r="AM22"/>
  <c r="AN22"/>
  <c r="AO22"/>
  <c r="AD23"/>
  <c r="AE23"/>
  <c r="AF23"/>
  <c r="AG23"/>
  <c r="AH23"/>
  <c r="AI23"/>
  <c r="AJ23"/>
  <c r="AK23"/>
  <c r="AL23"/>
  <c r="AM23"/>
  <c r="AN23"/>
  <c r="AO23"/>
  <c r="AD24"/>
  <c r="AE24"/>
  <c r="AF24"/>
  <c r="AG24"/>
  <c r="AH24"/>
  <c r="AI24"/>
  <c r="AJ24"/>
  <c r="AK24"/>
  <c r="AL24"/>
  <c r="AM24"/>
  <c r="AN24"/>
  <c r="AO24"/>
  <c r="AD25"/>
  <c r="AE25"/>
  <c r="AF25"/>
  <c r="AG25"/>
  <c r="AH25"/>
  <c r="AI25"/>
  <c r="AJ25"/>
  <c r="AK25"/>
  <c r="AL25"/>
  <c r="AM25"/>
  <c r="AN25"/>
  <c r="AO25"/>
  <c r="AD26"/>
  <c r="AE26"/>
  <c r="AF26"/>
  <c r="AG26"/>
  <c r="AH26"/>
  <c r="AI26"/>
  <c r="AJ26"/>
  <c r="AK26"/>
  <c r="AL26"/>
  <c r="AM26"/>
  <c r="AN26"/>
  <c r="AO26"/>
  <c r="AD27"/>
  <c r="AE27"/>
  <c r="AF27"/>
  <c r="AG27"/>
  <c r="AH27"/>
  <c r="AI27"/>
  <c r="AJ27"/>
  <c r="AK27"/>
  <c r="AL27"/>
  <c r="AM27"/>
  <c r="AN27"/>
  <c r="AO27"/>
  <c r="AD28"/>
  <c r="AE28"/>
  <c r="AF28"/>
  <c r="AG28"/>
  <c r="AH28"/>
  <c r="AI28"/>
  <c r="AJ28"/>
  <c r="AK28"/>
  <c r="AL28"/>
  <c r="AM28"/>
  <c r="AN28"/>
  <c r="AO28"/>
  <c r="AD29"/>
  <c r="AE29"/>
  <c r="AF29"/>
  <c r="AG29"/>
  <c r="AH29"/>
  <c r="AI29"/>
  <c r="AJ29"/>
  <c r="AK29"/>
  <c r="AL29"/>
  <c r="AM29"/>
  <c r="AN29"/>
  <c r="AO29"/>
  <c r="AD30"/>
  <c r="AE30"/>
  <c r="AF30"/>
  <c r="AG30"/>
  <c r="AH30"/>
  <c r="AI30"/>
  <c r="AJ30"/>
  <c r="AK30"/>
  <c r="AL30"/>
  <c r="AM30"/>
  <c r="AN30"/>
  <c r="AO30"/>
  <c r="AD31"/>
  <c r="AE31"/>
  <c r="AF31"/>
  <c r="AG31"/>
  <c r="AH31"/>
  <c r="AI31"/>
  <c r="AJ31"/>
  <c r="AK31"/>
  <c r="AL31"/>
  <c r="AM31"/>
  <c r="AN31"/>
  <c r="AO31"/>
  <c r="AD32"/>
  <c r="AE32"/>
  <c r="AF32"/>
  <c r="AG32"/>
  <c r="AH32"/>
  <c r="AI32"/>
  <c r="AJ32"/>
  <c r="AK32"/>
  <c r="AL32"/>
  <c r="AM32"/>
  <c r="AN32"/>
  <c r="AO32"/>
  <c r="AD33"/>
  <c r="AE33"/>
  <c r="AF33"/>
  <c r="AG33"/>
  <c r="AH33"/>
  <c r="AI33"/>
  <c r="AJ33"/>
  <c r="AK33"/>
  <c r="AL33"/>
  <c r="AM33"/>
  <c r="AN33"/>
  <c r="AO33"/>
  <c r="AD34"/>
  <c r="AE34"/>
  <c r="AF34"/>
  <c r="AG34"/>
  <c r="AH34"/>
  <c r="AI34"/>
  <c r="AJ34"/>
  <c r="AK34"/>
  <c r="AL34"/>
  <c r="AM34"/>
  <c r="AN34"/>
  <c r="AO34"/>
  <c r="AD35"/>
  <c r="AE35"/>
  <c r="AF35"/>
  <c r="AG35"/>
  <c r="AH35"/>
  <c r="AI35"/>
  <c r="AJ35"/>
  <c r="AK35"/>
  <c r="AL35"/>
  <c r="AM35"/>
  <c r="AN35"/>
  <c r="AO35"/>
  <c r="AD36"/>
  <c r="AE36"/>
  <c r="AF36"/>
  <c r="AG36"/>
  <c r="AH36"/>
  <c r="AI36"/>
  <c r="AJ36"/>
  <c r="AK36"/>
  <c r="AL36"/>
  <c r="AM36"/>
  <c r="AN36"/>
  <c r="AO36"/>
  <c r="AD37"/>
  <c r="AE37"/>
  <c r="AF37"/>
  <c r="AG37"/>
  <c r="AH37"/>
  <c r="AI37"/>
  <c r="AJ37"/>
  <c r="AK37"/>
  <c r="AL37"/>
  <c r="AM37"/>
  <c r="AN37"/>
  <c r="AO37"/>
  <c r="AD38"/>
  <c r="AE38"/>
  <c r="AF38"/>
  <c r="AG38"/>
  <c r="AH38"/>
  <c r="AI38"/>
  <c r="AJ38"/>
  <c r="AK38"/>
  <c r="AL38"/>
  <c r="AM38"/>
  <c r="AN38"/>
  <c r="AO38"/>
  <c r="AD39"/>
  <c r="AE39"/>
  <c r="AF39"/>
  <c r="AG39"/>
  <c r="AH39"/>
  <c r="AI39"/>
  <c r="AJ39"/>
  <c r="AK39"/>
  <c r="AL39"/>
  <c r="AM39"/>
  <c r="AN39"/>
  <c r="AO39"/>
  <c r="AD40"/>
  <c r="AE40"/>
  <c r="AF40"/>
  <c r="AG40"/>
  <c r="AH40"/>
  <c r="AI40"/>
  <c r="AJ40"/>
  <c r="AK40"/>
  <c r="AL40"/>
  <c r="AM40"/>
  <c r="AN40"/>
  <c r="AO40"/>
  <c r="AD41"/>
  <c r="AE41"/>
  <c r="AF41"/>
  <c r="AG41"/>
  <c r="AH41"/>
  <c r="AI41"/>
  <c r="AJ41"/>
  <c r="AK41"/>
  <c r="AL41"/>
  <c r="AM41"/>
  <c r="AN41"/>
  <c r="AO41"/>
  <c r="AD42"/>
  <c r="AE42"/>
  <c r="AF42"/>
  <c r="AG42"/>
  <c r="AH42"/>
  <c r="AI42"/>
  <c r="AJ42"/>
  <c r="AK42"/>
  <c r="AL42"/>
  <c r="AM42"/>
  <c r="AN42"/>
  <c r="AO42"/>
  <c r="AD43"/>
  <c r="AE43"/>
  <c r="AF43"/>
  <c r="AG43"/>
  <c r="AH43"/>
  <c r="AI43"/>
  <c r="AJ43"/>
  <c r="AK43"/>
  <c r="AL43"/>
  <c r="AM43"/>
  <c r="AN43"/>
  <c r="AO43"/>
  <c r="AD44"/>
  <c r="AE44"/>
  <c r="AF44"/>
  <c r="AG44"/>
  <c r="AH44"/>
  <c r="AI44"/>
  <c r="AJ44"/>
  <c r="AK44"/>
  <c r="AL44"/>
  <c r="AM44"/>
  <c r="AN44"/>
  <c r="AO44"/>
  <c r="AD45"/>
  <c r="AE45"/>
  <c r="AF45"/>
  <c r="AG45"/>
  <c r="AH45"/>
  <c r="AI45"/>
  <c r="AJ45"/>
  <c r="AK45"/>
  <c r="AL45"/>
  <c r="AM45"/>
  <c r="AN45"/>
  <c r="AO45"/>
  <c r="AD46"/>
  <c r="AE46"/>
  <c r="AF46"/>
  <c r="AG46"/>
  <c r="AH46"/>
  <c r="AI46"/>
  <c r="AJ46"/>
  <c r="AK46"/>
  <c r="AL46"/>
  <c r="AM46"/>
  <c r="AN46"/>
  <c r="AO46"/>
  <c r="AD47"/>
  <c r="AE47"/>
  <c r="AF47"/>
  <c r="AG47"/>
  <c r="AH47"/>
  <c r="AI47"/>
  <c r="AJ47"/>
  <c r="AK47"/>
  <c r="AL47"/>
  <c r="AM47"/>
  <c r="AN47"/>
  <c r="AO47"/>
  <c r="AD48"/>
  <c r="AE48"/>
  <c r="AF48"/>
  <c r="AG48"/>
  <c r="AH48"/>
  <c r="AI48"/>
  <c r="AJ48"/>
  <c r="AK48"/>
  <c r="AL48"/>
  <c r="AM48"/>
  <c r="AN48"/>
  <c r="AO48"/>
  <c r="AD49"/>
  <c r="AE49"/>
  <c r="AF49"/>
  <c r="AG49"/>
  <c r="AH49"/>
  <c r="AI49"/>
  <c r="AJ49"/>
  <c r="AK49"/>
  <c r="AL49"/>
  <c r="AM49"/>
  <c r="AN49"/>
  <c r="AO49"/>
  <c r="AD50"/>
  <c r="AE50"/>
  <c r="AF50"/>
  <c r="AG50"/>
  <c r="AH50"/>
  <c r="AI50"/>
  <c r="AJ50"/>
  <c r="AK50"/>
  <c r="AL50"/>
  <c r="AM50"/>
  <c r="AN50"/>
  <c r="AO50"/>
  <c r="AD51"/>
  <c r="AE51"/>
  <c r="AF51"/>
  <c r="AG51"/>
  <c r="AH51"/>
  <c r="AI51"/>
  <c r="AJ51"/>
  <c r="AK51"/>
  <c r="AL51"/>
  <c r="AM51"/>
  <c r="AN51"/>
  <c r="AO51"/>
  <c r="AD52"/>
  <c r="AE52"/>
  <c r="AF52"/>
  <c r="AG52"/>
  <c r="AH52"/>
  <c r="AI52"/>
  <c r="AJ52"/>
  <c r="AK52"/>
  <c r="AL52"/>
  <c r="AM52"/>
  <c r="AN52"/>
  <c r="AO52"/>
  <c r="AD53"/>
  <c r="AE53"/>
  <c r="AF53"/>
  <c r="AG53"/>
  <c r="AH53"/>
  <c r="AI53"/>
  <c r="AJ53"/>
  <c r="AK53"/>
  <c r="AL53"/>
  <c r="AM53"/>
  <c r="AN53"/>
  <c r="AO53"/>
  <c r="AD54"/>
  <c r="AE54"/>
  <c r="AF54"/>
  <c r="AG54"/>
  <c r="AH54"/>
  <c r="AI54"/>
  <c r="AJ54"/>
  <c r="AK54"/>
  <c r="AL54"/>
  <c r="AM54"/>
  <c r="AN54"/>
  <c r="AO54"/>
  <c r="AD55"/>
  <c r="AE55"/>
  <c r="AF55"/>
  <c r="AG55"/>
  <c r="AH55"/>
  <c r="AI55"/>
  <c r="AJ55"/>
  <c r="AK55"/>
  <c r="AL55"/>
  <c r="AM55"/>
  <c r="AN55"/>
  <c r="AO55"/>
  <c r="AD56"/>
  <c r="AE56"/>
  <c r="AF56"/>
  <c r="AG56"/>
  <c r="AH56"/>
  <c r="AI56"/>
  <c r="AJ56"/>
  <c r="AK56"/>
  <c r="AL56"/>
  <c r="AM56"/>
  <c r="AN56"/>
  <c r="AO56"/>
  <c r="AD57"/>
  <c r="AE57"/>
  <c r="AF57"/>
  <c r="AG57"/>
  <c r="AH57"/>
  <c r="AI57"/>
  <c r="AJ57"/>
  <c r="AK57"/>
  <c r="AL57"/>
  <c r="AM57"/>
  <c r="AN57"/>
  <c r="AO57"/>
  <c r="AD58"/>
  <c r="AE58"/>
  <c r="AF58"/>
  <c r="AG58"/>
  <c r="AH58"/>
  <c r="AI58"/>
  <c r="AJ58"/>
  <c r="AK58"/>
  <c r="AL58"/>
  <c r="AM58"/>
  <c r="AN58"/>
  <c r="AO58"/>
  <c r="AD59"/>
  <c r="AE59"/>
  <c r="AF59"/>
  <c r="AG59"/>
  <c r="AH59"/>
  <c r="AI59"/>
  <c r="AJ59"/>
  <c r="AK59"/>
  <c r="AL59"/>
  <c r="AM59"/>
  <c r="AN59"/>
  <c r="AO59"/>
  <c r="AD60"/>
  <c r="AE60"/>
  <c r="AF60"/>
  <c r="AG60"/>
  <c r="AH60"/>
  <c r="AI60"/>
  <c r="AJ60"/>
  <c r="AK60"/>
  <c r="AL60"/>
  <c r="AM60"/>
  <c r="AN60"/>
  <c r="AO60"/>
  <c r="AD61"/>
  <c r="AE61"/>
  <c r="AF61"/>
  <c r="AG61"/>
  <c r="AH61"/>
  <c r="AI61"/>
  <c r="AJ61"/>
  <c r="AK61"/>
  <c r="AL61"/>
  <c r="AM61"/>
  <c r="AN61"/>
  <c r="AO61"/>
  <c r="AD62"/>
  <c r="AE62"/>
  <c r="AF62"/>
  <c r="AG62"/>
  <c r="AH62"/>
  <c r="AI62"/>
  <c r="AJ62"/>
  <c r="AK62"/>
  <c r="AL62"/>
  <c r="AM62"/>
  <c r="AN62"/>
  <c r="AO62"/>
  <c r="AD63"/>
  <c r="AE63"/>
  <c r="AF63"/>
  <c r="AG63"/>
  <c r="AH63"/>
  <c r="AI63"/>
  <c r="AJ63"/>
  <c r="AK63"/>
  <c r="AL63"/>
  <c r="AM63"/>
  <c r="AN63"/>
  <c r="AO63"/>
  <c r="AD64"/>
  <c r="AE64"/>
  <c r="AF64"/>
  <c r="AG64"/>
  <c r="AH64"/>
  <c r="AI64"/>
  <c r="AJ64"/>
  <c r="AK64"/>
  <c r="AL64"/>
  <c r="AM64"/>
  <c r="AN64"/>
  <c r="AO64"/>
  <c r="AD65"/>
  <c r="AE65"/>
  <c r="AF65"/>
  <c r="AG65"/>
  <c r="AH65"/>
  <c r="AI65"/>
  <c r="AJ65"/>
  <c r="AK65"/>
  <c r="AL65"/>
  <c r="AM65"/>
  <c r="AN65"/>
  <c r="AO65"/>
  <c r="AD66"/>
  <c r="AE66"/>
  <c r="AF66"/>
  <c r="AG66"/>
  <c r="AH66"/>
  <c r="AI66"/>
  <c r="AJ66"/>
  <c r="AK66"/>
  <c r="AL66"/>
  <c r="AM66"/>
  <c r="AN66"/>
  <c r="AO66"/>
  <c r="AE9"/>
  <c r="AF9"/>
  <c r="AG9"/>
  <c r="AH9"/>
  <c r="AI9"/>
  <c r="AJ9"/>
  <c r="AK9"/>
  <c r="AL9"/>
  <c r="AM9"/>
  <c r="AN9"/>
  <c r="AO9"/>
  <c r="AD9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<sst xmlns="http://schemas.openxmlformats.org/spreadsheetml/2006/main" count="296" uniqueCount="138">
  <si>
    <t>тыс.руб.</t>
  </si>
  <si>
    <t>Валюта баланса</t>
  </si>
  <si>
    <t>Внеоборотные активы</t>
  </si>
  <si>
    <t>Оборотные активы</t>
  </si>
  <si>
    <t>А</t>
  </si>
  <si>
    <t>Продолжение</t>
  </si>
  <si>
    <t>Капитал и резервы</t>
  </si>
  <si>
    <t>Долгосрочные обязательства</t>
  </si>
  <si>
    <t>Краткосрочные обязательства</t>
  </si>
  <si>
    <t>итог актива убыточных организаций</t>
  </si>
  <si>
    <t>в % к валюте баланса</t>
  </si>
  <si>
    <t>Б</t>
  </si>
  <si>
    <t>Наименование</t>
  </si>
  <si>
    <t xml:space="preserve">Код </t>
  </si>
  <si>
    <t>Валюта баланса убыточных органи-заций, на конец года</t>
  </si>
  <si>
    <t>на конец предыдущего года</t>
  </si>
  <si>
    <t>на конец отчетного года</t>
  </si>
  <si>
    <t>Баланс организаций за 2024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</si>
  <si>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</si>
  <si>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</si>
  <si>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</si>
  <si>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</si>
  <si>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</si>
  <si>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</si>
  <si>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</si>
  <si>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</si>
  <si>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</si>
  <si>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</si>
  <si>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</si>
  <si>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</si>
  <si>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</si>
  <si>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</si>
  <si>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</si>
  <si>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</si>
  <si>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-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</si>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</sst>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 CYR"/>
      <family val="1"/>
      <charset val="204"/>
    </font>
    <font>
      <sz val="8"/>
      <name val="Times New Roman"/>
      <family val="1"/>
    </font>
    <font>
      <sz val="12"/>
      <name val="Times New Roman"/>
      <family val="1"/>
    </font>
    <font>
      <sz val="9"/>
      <name val="Times New Roman CYR"/>
      <family val="1"/>
      <charset val="204"/>
    </font>
    <font>
      <b/>
      <sz val="9"/>
      <name val="Times New Roman CYR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0" fontId="3" fillId="0" borderId="0" xfId="0" applyFont="1"/>
    <xf numFmtId="49" fontId="1" fillId="0" borderId="0" xfId="0" applyNumberFormat="1" applyFont="1" applyAlignment="1">
      <alignment horizontal="left" wrapText="1"/>
    </xf>
    <xf numFmtId="49" fontId="3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/>
    </xf>
    <xf numFmtId="49" fontId="6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wrapText="1"/>
    </xf>
    <xf numFmtId="1" fontId="9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8" fillId="0" borderId="0" xfId="0" applyFont="1"/>
    <xf numFmtId="1" fontId="5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right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0" fontId="10" fillId="0" borderId="9" xfId="0" applyFont="1" applyBorder="1" applyAlignment="1">
      <alignment horizontal="right"/>
    </xf>
    <xf numFmtId="0" fontId="10" fillId="0" borderId="10" xfId="0" applyFont="1" applyBorder="1" applyAlignment="1">
      <alignment horizontal="right"/>
    </xf>
    <xf numFmtId="1" fontId="8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66"/>
  <sheetViews>
    <sheetView tabSelected="1" zoomScaleNormal="100" workbookViewId="0">
      <pane xSplit="2" ySplit="7" topLeftCell="AA8" activePane="bottomRight" state="frozen"/>
      <selection pane="topRight" activeCell="C1" sqref="C1"/>
      <selection pane="bottomLeft" activeCell="A8" sqref="A8"/>
      <selection pane="bottomRight" activeCell="AM2" sqref="AM2"/>
    </sheetView>
  </sheetViews>
  <sheetFormatPr defaultColWidth="8.85546875" defaultRowHeight="12.75"/>
  <cols>
    <col min="1" max="1" width="10.7109375" style="14" customWidth="1"/>
    <col min="2" max="2" width="27.28515625" style="7" customWidth="1"/>
    <col min="3" max="8" width="15.7109375" style="3" customWidth="1"/>
    <col min="9" max="13" width="12.28515625" style="3" customWidth="1"/>
    <col min="14" max="14" width="13.7109375" style="3" customWidth="1"/>
    <col min="15" max="15" width="12.28515625" style="3" customWidth="1"/>
    <col min="16" max="16" width="7.140625" style="2" customWidth="1"/>
    <col min="17" max="16384" width="8.85546875" style="1"/>
  </cols>
  <sheetData>
    <row r="1" spans="1:41" ht="19.899999999999999" customHeight="1">
      <c r="C1" s="22" t="s">
        <v>17</v>
      </c>
      <c r="D1" s="22"/>
      <c r="E1" s="22"/>
      <c r="F1" s="22"/>
      <c r="G1" s="11"/>
      <c r="I1" s="24" t="s">
        <v>17</v>
      </c>
      <c r="J1" s="24"/>
      <c r="K1" s="24"/>
      <c r="L1" s="24"/>
      <c r="M1" s="25"/>
      <c r="N1" s="12"/>
    </row>
    <row r="2" spans="1:41" ht="27.6" customHeight="1">
      <c r="C2" s="23" t="s">
        <v>19</v>
      </c>
      <c r="D2" s="23"/>
      <c r="E2" s="23"/>
      <c r="F2" s="23"/>
      <c r="G2" s="9"/>
      <c r="I2" s="26" t="s">
        <v>19</v>
      </c>
      <c r="J2" s="26"/>
      <c r="K2" s="26"/>
      <c r="L2" s="26"/>
      <c r="M2" s="25"/>
      <c r="N2" s="10"/>
    </row>
    <row r="3" spans="1:41" ht="14.45" customHeight="1">
      <c r="C3" s="23" t="s">
        <v>18</v>
      </c>
      <c r="D3" s="23"/>
      <c r="E3" s="23"/>
      <c r="F3" s="23"/>
      <c r="G3" s="9"/>
      <c r="I3" s="26" t="s">
        <v>18</v>
      </c>
      <c r="J3" s="26"/>
      <c r="K3" s="26"/>
      <c r="L3" s="26"/>
      <c r="M3" s="25"/>
      <c r="N3" s="10"/>
    </row>
    <row r="4" spans="1:41">
      <c r="H4" s="3" t="s">
        <v>0</v>
      </c>
      <c r="O4" s="30" t="s">
        <v>5</v>
      </c>
      <c r="P4" s="30"/>
    </row>
    <row r="5" spans="1:41" ht="39" customHeight="1">
      <c r="A5" s="27" t="s">
        <v>13</v>
      </c>
      <c r="B5" s="31" t="s">
        <v>12</v>
      </c>
      <c r="C5" s="28" t="s">
        <v>1</v>
      </c>
      <c r="D5" s="29"/>
      <c r="E5" s="28" t="s">
        <v>2</v>
      </c>
      <c r="F5" s="29"/>
      <c r="G5" s="28" t="s">
        <v>3</v>
      </c>
      <c r="H5" s="29"/>
      <c r="I5" s="28" t="s">
        <v>6</v>
      </c>
      <c r="J5" s="29"/>
      <c r="K5" s="28" t="s">
        <v>7</v>
      </c>
      <c r="L5" s="29"/>
      <c r="M5" s="28" t="s">
        <v>8</v>
      </c>
      <c r="N5" s="29"/>
      <c r="O5" s="28" t="s">
        <v>14</v>
      </c>
      <c r="P5" s="29"/>
    </row>
    <row r="6" spans="1:41" ht="40.9" customHeight="1">
      <c r="A6" s="27"/>
      <c r="B6" s="32"/>
      <c r="C6" s="4" t="s">
        <v>15</v>
      </c>
      <c r="D6" s="4" t="s">
        <v>16</v>
      </c>
      <c r="E6" s="4" t="s">
        <v>15</v>
      </c>
      <c r="F6" s="4" t="s">
        <v>16</v>
      </c>
      <c r="G6" s="4" t="s">
        <v>15</v>
      </c>
      <c r="H6" s="4" t="s">
        <v>16</v>
      </c>
      <c r="I6" s="4" t="s">
        <v>15</v>
      </c>
      <c r="J6" s="4" t="s">
        <v>16</v>
      </c>
      <c r="K6" s="4" t="s">
        <v>15</v>
      </c>
      <c r="L6" s="4" t="s">
        <v>16</v>
      </c>
      <c r="M6" s="4" t="s">
        <v>15</v>
      </c>
      <c r="N6" s="4" t="s">
        <v>16</v>
      </c>
      <c r="O6" s="4" t="s">
        <v>9</v>
      </c>
      <c r="P6" s="13" t="s">
        <v>10</v>
      </c>
    </row>
    <row r="7" spans="1:41" s="6" customFormat="1" ht="9.6" customHeight="1">
      <c r="A7" s="15" t="s">
        <v>4</v>
      </c>
      <c r="B7" s="8" t="s">
        <v>11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5">
        <v>10</v>
      </c>
      <c r="M7" s="5">
        <v>11</v>
      </c>
      <c r="N7" s="5">
        <v>12</v>
      </c>
      <c r="O7" s="5">
        <v>13</v>
      </c>
      <c r="P7" s="16">
        <v>14</v>
      </c>
    </row>
    <row r="8" spans="1:41" s="21" customFormat="1" ht="13.5" thickBot="1">
      <c r="A8" s="17" t="s">
        <v>117</v>
      </c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/>
    </row>
    <row r="9" spans="1:41" s="21" customFormat="1" ht="26.25">
      <c r="A9" s="17" t="s">
        <v>118</v>
      </c>
      <c r="B9" s="18" t="s">
        <v>20</v>
      </c>
      <c r="C9" s="19">
        <v>731078261</v>
      </c>
      <c r="D9" s="19">
        <v>957828800</v>
      </c>
      <c r="E9" s="19">
        <v>421173737</v>
      </c>
      <c r="F9" s="19">
        <v>518590386</v>
      </c>
      <c r="G9" s="19">
        <v>309904524</v>
      </c>
      <c r="H9" s="19">
        <v>439238414</v>
      </c>
      <c r="I9" s="19">
        <v>239454229</v>
      </c>
      <c r="J9" s="19">
        <v>240186305</v>
      </c>
      <c r="K9" s="19">
        <v>292053079</v>
      </c>
      <c r="L9" s="19">
        <v>461437160</v>
      </c>
      <c r="M9" s="19">
        <v>199570953</v>
      </c>
      <c r="N9" s="19">
        <v>256205335</v>
      </c>
      <c r="O9" s="19">
        <v>362428768</v>
      </c>
      <c r="P9" s="20">
        <v>37.799999999999997</v>
      </c>
      <c r="R9" s="21">
        <v>731078261</v>
      </c>
      <c r="S9" s="21">
        <v>957828800</v>
      </c>
      <c r="T9" s="21">
        <v>421173737</v>
      </c>
      <c r="U9" s="21">
        <v>518590386</v>
      </c>
      <c r="V9" s="21">
        <v>309904524</v>
      </c>
      <c r="W9" s="21">
        <v>439238414</v>
      </c>
      <c r="X9" s="33">
        <v>239454229</v>
      </c>
      <c r="Y9" s="34">
        <v>240186305</v>
      </c>
      <c r="Z9" s="34">
        <v>292053079</v>
      </c>
      <c r="AA9" s="34">
        <v>461437160</v>
      </c>
      <c r="AB9" s="34">
        <v>199570953</v>
      </c>
      <c r="AC9" s="34">
        <v>256205335</v>
      </c>
      <c r="AD9" s="37">
        <f>C9-R9</f>
        <v>0</v>
      </c>
      <c r="AE9" s="37">
        <f t="shared" ref="AE9:AO9" si="0">D9-S9</f>
        <v>0</v>
      </c>
      <c r="AF9" s="37">
        <f t="shared" si="0"/>
        <v>0</v>
      </c>
      <c r="AG9" s="37">
        <f t="shared" si="0"/>
        <v>0</v>
      </c>
      <c r="AH9" s="37">
        <f t="shared" si="0"/>
        <v>0</v>
      </c>
      <c r="AI9" s="37">
        <f t="shared" si="0"/>
        <v>0</v>
      </c>
      <c r="AJ9" s="37">
        <f t="shared" si="0"/>
        <v>0</v>
      </c>
      <c r="AK9" s="37">
        <f t="shared" si="0"/>
        <v>0</v>
      </c>
      <c r="AL9" s="37">
        <f t="shared" si="0"/>
        <v>0</v>
      </c>
      <c r="AM9" s="37">
        <f t="shared" si="0"/>
        <v>0</v>
      </c>
      <c r="AN9" s="37">
        <f t="shared" si="0"/>
        <v>0</v>
      </c>
      <c r="AO9" s="37">
        <f t="shared" si="0"/>
        <v>0</v>
      </c>
    </row>
    <row r="10" spans="1:41" s="21" customFormat="1" ht="51.75">
      <c r="A10" s="17" t="s">
        <v>119</v>
      </c>
      <c r="B10" s="18" t="s">
        <v>21</v>
      </c>
      <c r="C10" s="19">
        <v>349709999</v>
      </c>
      <c r="D10" s="19">
        <v>332729896</v>
      </c>
      <c r="E10" s="19">
        <v>197005764</v>
      </c>
      <c r="F10" s="19">
        <v>182190999</v>
      </c>
      <c r="G10" s="19">
        <v>152704235</v>
      </c>
      <c r="H10" s="19">
        <v>150538897</v>
      </c>
      <c r="I10" s="19">
        <v>112935253</v>
      </c>
      <c r="J10" s="19">
        <v>96224418</v>
      </c>
      <c r="K10" s="19">
        <v>167833751</v>
      </c>
      <c r="L10" s="19">
        <v>160197781</v>
      </c>
      <c r="M10" s="19">
        <v>68940995</v>
      </c>
      <c r="N10" s="19">
        <v>76307697</v>
      </c>
      <c r="O10" s="19">
        <v>125456279</v>
      </c>
      <c r="P10" s="20">
        <v>37.700000000000003</v>
      </c>
      <c r="R10" s="21">
        <v>349709999</v>
      </c>
      <c r="S10" s="21">
        <v>332729896</v>
      </c>
      <c r="T10" s="21">
        <v>197005764</v>
      </c>
      <c r="U10" s="21">
        <v>182190999</v>
      </c>
      <c r="V10" s="21">
        <v>152704235</v>
      </c>
      <c r="W10" s="21">
        <v>150538897</v>
      </c>
      <c r="X10" s="35">
        <v>112935253</v>
      </c>
      <c r="Y10" s="36">
        <v>96224418</v>
      </c>
      <c r="Z10" s="36">
        <v>167833751</v>
      </c>
      <c r="AA10" s="36">
        <v>160197781</v>
      </c>
      <c r="AB10" s="36">
        <v>68940995</v>
      </c>
      <c r="AC10" s="36">
        <v>76307697</v>
      </c>
      <c r="AD10" s="37">
        <f t="shared" ref="AD10:AD66" si="1">C10-R10</f>
        <v>0</v>
      </c>
      <c r="AE10" s="37">
        <f t="shared" ref="AE10:AE66" si="2">D10-S10</f>
        <v>0</v>
      </c>
      <c r="AF10" s="37">
        <f t="shared" ref="AF10:AF66" si="3">E10-T10</f>
        <v>0</v>
      </c>
      <c r="AG10" s="37">
        <f t="shared" ref="AG10:AG66" si="4">F10-U10</f>
        <v>0</v>
      </c>
      <c r="AH10" s="37">
        <f t="shared" ref="AH10:AH66" si="5">G10-V10</f>
        <v>0</v>
      </c>
      <c r="AI10" s="37">
        <f t="shared" ref="AI10:AI66" si="6">H10-W10</f>
        <v>0</v>
      </c>
      <c r="AJ10" s="37">
        <f t="shared" ref="AJ10:AJ66" si="7">I10-X10</f>
        <v>0</v>
      </c>
      <c r="AK10" s="37">
        <f t="shared" ref="AK10:AK66" si="8">J10-Y10</f>
        <v>0</v>
      </c>
      <c r="AL10" s="37">
        <f t="shared" ref="AL10:AL66" si="9">K10-Z10</f>
        <v>0</v>
      </c>
      <c r="AM10" s="37">
        <f t="shared" ref="AM10:AM66" si="10">L10-AA10</f>
        <v>0</v>
      </c>
      <c r="AN10" s="37">
        <f t="shared" ref="AN10:AN66" si="11">M10-AB10</f>
        <v>0</v>
      </c>
      <c r="AO10" s="37">
        <f t="shared" ref="AO10:AO66" si="12">N10-AC10</f>
        <v>0</v>
      </c>
    </row>
    <row r="11" spans="1:41" ht="64.5">
      <c r="A11" s="14" t="s">
        <v>22</v>
      </c>
      <c r="B11" s="7" t="s">
        <v>23</v>
      </c>
      <c r="C11" s="3">
        <v>7450393</v>
      </c>
      <c r="D11" s="3">
        <v>8024247</v>
      </c>
      <c r="E11" s="3">
        <v>4669633</v>
      </c>
      <c r="F11" s="3">
        <v>5544284</v>
      </c>
      <c r="G11" s="3">
        <v>2780760</v>
      </c>
      <c r="H11" s="3">
        <v>2479963</v>
      </c>
      <c r="I11" s="3">
        <v>2223177</v>
      </c>
      <c r="J11" s="3">
        <v>1934959</v>
      </c>
      <c r="K11" s="3">
        <v>3620124</v>
      </c>
      <c r="L11" s="3">
        <v>4516048</v>
      </c>
      <c r="M11" s="3">
        <v>1607092</v>
      </c>
      <c r="N11" s="3">
        <v>1573240</v>
      </c>
      <c r="O11" s="3">
        <v>6184829</v>
      </c>
      <c r="P11" s="2">
        <v>77.099999999999994</v>
      </c>
      <c r="R11" s="1">
        <v>7450393</v>
      </c>
      <c r="S11" s="1">
        <v>8024247</v>
      </c>
      <c r="T11" s="1">
        <v>4669633</v>
      </c>
      <c r="U11" s="1">
        <v>5544284</v>
      </c>
      <c r="V11" s="1">
        <v>2780760</v>
      </c>
      <c r="W11" s="1">
        <v>2479963</v>
      </c>
      <c r="X11" s="35">
        <v>2223177</v>
      </c>
      <c r="Y11" s="36">
        <v>1934959</v>
      </c>
      <c r="Z11" s="36">
        <v>3620124</v>
      </c>
      <c r="AA11" s="36">
        <v>4516048</v>
      </c>
      <c r="AB11" s="36">
        <v>1607092</v>
      </c>
      <c r="AC11" s="36">
        <v>1573240</v>
      </c>
      <c r="AD11" s="37">
        <f t="shared" si="1"/>
        <v>0</v>
      </c>
      <c r="AE11" s="37">
        <f t="shared" si="2"/>
        <v>0</v>
      </c>
      <c r="AF11" s="37">
        <f t="shared" si="3"/>
        <v>0</v>
      </c>
      <c r="AG11" s="37">
        <f t="shared" si="4"/>
        <v>0</v>
      </c>
      <c r="AH11" s="37">
        <f t="shared" si="5"/>
        <v>0</v>
      </c>
      <c r="AI11" s="37">
        <f t="shared" si="6"/>
        <v>0</v>
      </c>
      <c r="AJ11" s="37">
        <f t="shared" si="7"/>
        <v>0</v>
      </c>
      <c r="AK11" s="37">
        <f t="shared" si="8"/>
        <v>0</v>
      </c>
      <c r="AL11" s="37">
        <f t="shared" si="9"/>
        <v>0</v>
      </c>
      <c r="AM11" s="37">
        <f t="shared" si="10"/>
        <v>0</v>
      </c>
      <c r="AN11" s="37">
        <f t="shared" si="11"/>
        <v>0</v>
      </c>
      <c r="AO11" s="37">
        <f t="shared" si="12"/>
        <v>0</v>
      </c>
    </row>
    <row r="12" spans="1:41" ht="15.75">
      <c r="A12" s="14" t="s">
        <v>24</v>
      </c>
      <c r="B12" s="7" t="s">
        <v>25</v>
      </c>
      <c r="C12" s="3">
        <v>342259606</v>
      </c>
      <c r="D12" s="3">
        <v>324705649</v>
      </c>
      <c r="E12" s="3">
        <v>192336131</v>
      </c>
      <c r="F12" s="3">
        <v>176646715</v>
      </c>
      <c r="G12" s="3">
        <v>149923475</v>
      </c>
      <c r="H12" s="3">
        <v>148058934</v>
      </c>
      <c r="I12" s="3">
        <v>110712076</v>
      </c>
      <c r="J12" s="3">
        <v>94289459</v>
      </c>
      <c r="K12" s="3">
        <v>164213627</v>
      </c>
      <c r="L12" s="3">
        <v>155681733</v>
      </c>
      <c r="M12" s="3">
        <v>67333903</v>
      </c>
      <c r="N12" s="3">
        <v>74734457</v>
      </c>
      <c r="O12" s="3">
        <v>119271450</v>
      </c>
      <c r="P12" s="2">
        <v>36.700000000000003</v>
      </c>
      <c r="R12" s="1">
        <v>342259606</v>
      </c>
      <c r="S12" s="1">
        <v>324705649</v>
      </c>
      <c r="T12" s="1">
        <v>192336131</v>
      </c>
      <c r="U12" s="1">
        <v>176646715</v>
      </c>
      <c r="V12" s="1">
        <v>149923475</v>
      </c>
      <c r="W12" s="1">
        <v>148058934</v>
      </c>
      <c r="X12" s="35">
        <v>110712076</v>
      </c>
      <c r="Y12" s="36">
        <v>94289459</v>
      </c>
      <c r="Z12" s="36">
        <v>164213627</v>
      </c>
      <c r="AA12" s="36">
        <v>155681733</v>
      </c>
      <c r="AB12" s="36">
        <v>67333903</v>
      </c>
      <c r="AC12" s="36">
        <v>74734457</v>
      </c>
      <c r="AD12" s="37">
        <f t="shared" si="1"/>
        <v>0</v>
      </c>
      <c r="AE12" s="37">
        <f t="shared" si="2"/>
        <v>0</v>
      </c>
      <c r="AF12" s="37">
        <f t="shared" si="3"/>
        <v>0</v>
      </c>
      <c r="AG12" s="37">
        <f t="shared" si="4"/>
        <v>0</v>
      </c>
      <c r="AH12" s="37">
        <f t="shared" si="5"/>
        <v>0</v>
      </c>
      <c r="AI12" s="37">
        <f t="shared" si="6"/>
        <v>0</v>
      </c>
      <c r="AJ12" s="37">
        <f t="shared" si="7"/>
        <v>0</v>
      </c>
      <c r="AK12" s="37">
        <f t="shared" si="8"/>
        <v>0</v>
      </c>
      <c r="AL12" s="37">
        <f t="shared" si="9"/>
        <v>0</v>
      </c>
      <c r="AM12" s="37">
        <f t="shared" si="10"/>
        <v>0</v>
      </c>
      <c r="AN12" s="37">
        <f t="shared" si="11"/>
        <v>0</v>
      </c>
      <c r="AO12" s="37">
        <f t="shared" si="12"/>
        <v>0</v>
      </c>
    </row>
    <row r="13" spans="1:41" s="21" customFormat="1" ht="26.25">
      <c r="A13" s="17" t="s">
        <v>120</v>
      </c>
      <c r="B13" s="18" t="s">
        <v>26</v>
      </c>
      <c r="C13" s="19">
        <v>105338781</v>
      </c>
      <c r="D13" s="19">
        <v>126195822</v>
      </c>
      <c r="E13" s="19">
        <v>75447894</v>
      </c>
      <c r="F13" s="19">
        <v>90849558</v>
      </c>
      <c r="G13" s="19">
        <v>29890887</v>
      </c>
      <c r="H13" s="19">
        <v>35346264</v>
      </c>
      <c r="I13" s="19">
        <v>18240543</v>
      </c>
      <c r="J13" s="19">
        <v>26692839</v>
      </c>
      <c r="K13" s="19">
        <v>54230290</v>
      </c>
      <c r="L13" s="19">
        <v>37696307</v>
      </c>
      <c r="M13" s="19">
        <v>32867948</v>
      </c>
      <c r="N13" s="19">
        <v>61806676</v>
      </c>
      <c r="O13" s="19">
        <v>15081043</v>
      </c>
      <c r="P13" s="20">
        <v>12</v>
      </c>
      <c r="R13" s="21">
        <v>105338781</v>
      </c>
      <c r="S13" s="21">
        <v>126195822</v>
      </c>
      <c r="T13" s="21">
        <v>75447894</v>
      </c>
      <c r="U13" s="21">
        <v>90849558</v>
      </c>
      <c r="V13" s="21">
        <v>29890887</v>
      </c>
      <c r="W13" s="21">
        <v>35346264</v>
      </c>
      <c r="X13" s="35">
        <v>18240543</v>
      </c>
      <c r="Y13" s="36">
        <v>26692839</v>
      </c>
      <c r="Z13" s="36">
        <v>54230290</v>
      </c>
      <c r="AA13" s="36">
        <v>37696307</v>
      </c>
      <c r="AB13" s="36">
        <v>32867948</v>
      </c>
      <c r="AC13" s="36">
        <v>61806676</v>
      </c>
      <c r="AD13" s="37">
        <f t="shared" si="1"/>
        <v>0</v>
      </c>
      <c r="AE13" s="37">
        <f t="shared" si="2"/>
        <v>0</v>
      </c>
      <c r="AF13" s="37">
        <f t="shared" si="3"/>
        <v>0</v>
      </c>
      <c r="AG13" s="37">
        <f t="shared" si="4"/>
        <v>0</v>
      </c>
      <c r="AH13" s="37">
        <f t="shared" si="5"/>
        <v>0</v>
      </c>
      <c r="AI13" s="37">
        <f t="shared" si="6"/>
        <v>0</v>
      </c>
      <c r="AJ13" s="37">
        <f t="shared" si="7"/>
        <v>0</v>
      </c>
      <c r="AK13" s="37">
        <f t="shared" si="8"/>
        <v>0</v>
      </c>
      <c r="AL13" s="37">
        <f t="shared" si="9"/>
        <v>0</v>
      </c>
      <c r="AM13" s="37">
        <f t="shared" si="10"/>
        <v>0</v>
      </c>
      <c r="AN13" s="37">
        <f t="shared" si="11"/>
        <v>0</v>
      </c>
      <c r="AO13" s="37">
        <f t="shared" si="12"/>
        <v>0</v>
      </c>
    </row>
    <row r="14" spans="1:41" ht="15.75">
      <c r="A14" s="14" t="s">
        <v>27</v>
      </c>
      <c r="B14" s="7" t="s">
        <v>28</v>
      </c>
      <c r="C14" s="3">
        <v>105338781</v>
      </c>
      <c r="D14" s="3">
        <v>126195822</v>
      </c>
      <c r="E14" s="3">
        <v>75447894</v>
      </c>
      <c r="F14" s="3">
        <v>90849558</v>
      </c>
      <c r="G14" s="3">
        <v>29890887</v>
      </c>
      <c r="H14" s="3">
        <v>35346264</v>
      </c>
      <c r="I14" s="3">
        <v>18240543</v>
      </c>
      <c r="J14" s="3">
        <v>26692839</v>
      </c>
      <c r="K14" s="3">
        <v>54230290</v>
      </c>
      <c r="L14" s="3">
        <v>37696307</v>
      </c>
      <c r="M14" s="3">
        <v>32867948</v>
      </c>
      <c r="N14" s="3">
        <v>61806676</v>
      </c>
      <c r="O14" s="3">
        <v>15081043</v>
      </c>
      <c r="P14" s="2">
        <v>12</v>
      </c>
      <c r="R14" s="1">
        <v>105338781</v>
      </c>
      <c r="S14" s="1">
        <v>126195822</v>
      </c>
      <c r="T14" s="1">
        <v>75447894</v>
      </c>
      <c r="U14" s="1">
        <v>90849558</v>
      </c>
      <c r="V14" s="1">
        <v>29890887</v>
      </c>
      <c r="W14" s="1">
        <v>35346264</v>
      </c>
      <c r="X14" s="35">
        <v>18240543</v>
      </c>
      <c r="Y14" s="36">
        <v>26692839</v>
      </c>
      <c r="Z14" s="36">
        <v>54230290</v>
      </c>
      <c r="AA14" s="36">
        <v>37696307</v>
      </c>
      <c r="AB14" s="36">
        <v>32867948</v>
      </c>
      <c r="AC14" s="36">
        <v>61806676</v>
      </c>
      <c r="AD14" s="37">
        <f t="shared" si="1"/>
        <v>0</v>
      </c>
      <c r="AE14" s="37">
        <f t="shared" si="2"/>
        <v>0</v>
      </c>
      <c r="AF14" s="37">
        <f t="shared" si="3"/>
        <v>0</v>
      </c>
      <c r="AG14" s="37">
        <f t="shared" si="4"/>
        <v>0</v>
      </c>
      <c r="AH14" s="37">
        <f t="shared" si="5"/>
        <v>0</v>
      </c>
      <c r="AI14" s="37">
        <f t="shared" si="6"/>
        <v>0</v>
      </c>
      <c r="AJ14" s="37">
        <f t="shared" si="7"/>
        <v>0</v>
      </c>
      <c r="AK14" s="37">
        <f t="shared" si="8"/>
        <v>0</v>
      </c>
      <c r="AL14" s="37">
        <f t="shared" si="9"/>
        <v>0</v>
      </c>
      <c r="AM14" s="37">
        <f t="shared" si="10"/>
        <v>0</v>
      </c>
      <c r="AN14" s="37">
        <f t="shared" si="11"/>
        <v>0</v>
      </c>
      <c r="AO14" s="37">
        <f t="shared" si="12"/>
        <v>0</v>
      </c>
    </row>
    <row r="15" spans="1:41" s="21" customFormat="1" ht="26.25">
      <c r="A15" s="17" t="s">
        <v>121</v>
      </c>
      <c r="B15" s="18" t="s">
        <v>29</v>
      </c>
      <c r="C15" s="19">
        <v>45003054</v>
      </c>
      <c r="D15" s="19">
        <v>46944192</v>
      </c>
      <c r="E15" s="19">
        <v>22134250</v>
      </c>
      <c r="F15" s="19">
        <v>21498478</v>
      </c>
      <c r="G15" s="19">
        <v>22868804</v>
      </c>
      <c r="H15" s="19">
        <v>25445714</v>
      </c>
      <c r="I15" s="19">
        <v>25745539</v>
      </c>
      <c r="J15" s="19">
        <v>28079582</v>
      </c>
      <c r="K15" s="19">
        <v>8365851</v>
      </c>
      <c r="L15" s="19">
        <v>11054502</v>
      </c>
      <c r="M15" s="19">
        <v>10891664</v>
      </c>
      <c r="N15" s="19">
        <v>7810108</v>
      </c>
      <c r="O15" s="19">
        <v>4614299</v>
      </c>
      <c r="P15" s="20">
        <v>9.8000000000000007</v>
      </c>
      <c r="R15" s="21">
        <v>45003054</v>
      </c>
      <c r="S15" s="21">
        <v>46944192</v>
      </c>
      <c r="T15" s="21">
        <v>22134250</v>
      </c>
      <c r="U15" s="21">
        <v>21498478</v>
      </c>
      <c r="V15" s="21">
        <v>22868804</v>
      </c>
      <c r="W15" s="21">
        <v>25445714</v>
      </c>
      <c r="X15" s="35">
        <v>25745539</v>
      </c>
      <c r="Y15" s="36">
        <v>28079582</v>
      </c>
      <c r="Z15" s="36">
        <v>8365851</v>
      </c>
      <c r="AA15" s="36">
        <v>11054502</v>
      </c>
      <c r="AB15" s="36">
        <v>10891664</v>
      </c>
      <c r="AC15" s="36">
        <v>7810108</v>
      </c>
      <c r="AD15" s="37">
        <f t="shared" si="1"/>
        <v>0</v>
      </c>
      <c r="AE15" s="37">
        <f t="shared" si="2"/>
        <v>0</v>
      </c>
      <c r="AF15" s="37">
        <f t="shared" si="3"/>
        <v>0</v>
      </c>
      <c r="AG15" s="37">
        <f t="shared" si="4"/>
        <v>0</v>
      </c>
      <c r="AH15" s="37">
        <f t="shared" si="5"/>
        <v>0</v>
      </c>
      <c r="AI15" s="37">
        <f t="shared" si="6"/>
        <v>0</v>
      </c>
      <c r="AJ15" s="37">
        <f t="shared" si="7"/>
        <v>0</v>
      </c>
      <c r="AK15" s="37">
        <f t="shared" si="8"/>
        <v>0</v>
      </c>
      <c r="AL15" s="37">
        <f t="shared" si="9"/>
        <v>0</v>
      </c>
      <c r="AM15" s="37">
        <f t="shared" si="10"/>
        <v>0</v>
      </c>
      <c r="AN15" s="37">
        <f t="shared" si="11"/>
        <v>0</v>
      </c>
      <c r="AO15" s="37">
        <f t="shared" si="12"/>
        <v>0</v>
      </c>
    </row>
    <row r="16" spans="1:41" ht="26.25">
      <c r="A16" s="14" t="s">
        <v>30</v>
      </c>
      <c r="B16" s="7" t="s">
        <v>31</v>
      </c>
      <c r="C16" s="3">
        <v>37054564</v>
      </c>
      <c r="D16" s="3">
        <v>37679092</v>
      </c>
      <c r="E16" s="3">
        <v>19568426</v>
      </c>
      <c r="F16" s="3">
        <v>18865955</v>
      </c>
      <c r="G16" s="3">
        <v>17486138</v>
      </c>
      <c r="H16" s="3">
        <v>18813137</v>
      </c>
      <c r="I16" s="3">
        <v>23411292</v>
      </c>
      <c r="J16" s="3">
        <v>25495348</v>
      </c>
      <c r="K16" s="3">
        <v>5187931</v>
      </c>
      <c r="L16" s="3">
        <v>6810097</v>
      </c>
      <c r="M16" s="3">
        <v>8455341</v>
      </c>
      <c r="N16" s="3">
        <v>5373647</v>
      </c>
      <c r="O16" s="3">
        <v>3340653</v>
      </c>
      <c r="P16" s="2">
        <v>8.9</v>
      </c>
      <c r="R16" s="1">
        <v>37054564</v>
      </c>
      <c r="S16" s="1">
        <v>37679092</v>
      </c>
      <c r="T16" s="1">
        <v>19568426</v>
      </c>
      <c r="U16" s="1">
        <v>18865955</v>
      </c>
      <c r="V16" s="1">
        <v>17486138</v>
      </c>
      <c r="W16" s="1">
        <v>18813137</v>
      </c>
      <c r="X16" s="35">
        <v>23411292</v>
      </c>
      <c r="Y16" s="36">
        <v>25495348</v>
      </c>
      <c r="Z16" s="36">
        <v>5187931</v>
      </c>
      <c r="AA16" s="36">
        <v>6810097</v>
      </c>
      <c r="AB16" s="36">
        <v>8455341</v>
      </c>
      <c r="AC16" s="36">
        <v>5373647</v>
      </c>
      <c r="AD16" s="37">
        <f t="shared" si="1"/>
        <v>0</v>
      </c>
      <c r="AE16" s="37">
        <f t="shared" si="2"/>
        <v>0</v>
      </c>
      <c r="AF16" s="37">
        <f t="shared" si="3"/>
        <v>0</v>
      </c>
      <c r="AG16" s="37">
        <f t="shared" si="4"/>
        <v>0</v>
      </c>
      <c r="AH16" s="37">
        <f t="shared" si="5"/>
        <v>0</v>
      </c>
      <c r="AI16" s="37">
        <f t="shared" si="6"/>
        <v>0</v>
      </c>
      <c r="AJ16" s="37">
        <f t="shared" si="7"/>
        <v>0</v>
      </c>
      <c r="AK16" s="37">
        <f t="shared" si="8"/>
        <v>0</v>
      </c>
      <c r="AL16" s="37">
        <f t="shared" si="9"/>
        <v>0</v>
      </c>
      <c r="AM16" s="37">
        <f t="shared" si="10"/>
        <v>0</v>
      </c>
      <c r="AN16" s="37">
        <f t="shared" si="11"/>
        <v>0</v>
      </c>
      <c r="AO16" s="37">
        <f t="shared" si="12"/>
        <v>0</v>
      </c>
    </row>
    <row r="17" spans="1:41" ht="15.75">
      <c r="A17" s="14" t="s">
        <v>32</v>
      </c>
      <c r="B17" s="7" t="s">
        <v>33</v>
      </c>
      <c r="C17" s="3">
        <v>1452818</v>
      </c>
      <c r="D17" s="3">
        <v>1583520</v>
      </c>
      <c r="E17" s="3">
        <v>941901</v>
      </c>
      <c r="F17" s="3">
        <v>929892</v>
      </c>
      <c r="G17" s="3">
        <v>510917</v>
      </c>
      <c r="H17" s="3">
        <v>653628</v>
      </c>
      <c r="I17" s="3">
        <v>1397084</v>
      </c>
      <c r="J17" s="3">
        <v>1513288</v>
      </c>
      <c r="K17" s="3">
        <v>543</v>
      </c>
      <c r="L17" s="3">
        <v>2335</v>
      </c>
      <c r="M17" s="3">
        <v>55191</v>
      </c>
      <c r="N17" s="3">
        <v>67897</v>
      </c>
      <c r="O17" s="3" t="s">
        <v>34</v>
      </c>
      <c r="P17" s="2" t="s">
        <v>34</v>
      </c>
      <c r="R17" s="1">
        <v>1452818</v>
      </c>
      <c r="S17" s="1">
        <v>1583520</v>
      </c>
      <c r="T17" s="1">
        <v>941901</v>
      </c>
      <c r="U17" s="1">
        <v>929892</v>
      </c>
      <c r="V17" s="1">
        <v>510917</v>
      </c>
      <c r="W17" s="1">
        <v>653628</v>
      </c>
      <c r="X17" s="35">
        <v>1397084</v>
      </c>
      <c r="Y17" s="36">
        <v>1513288</v>
      </c>
      <c r="Z17" s="36">
        <v>543</v>
      </c>
      <c r="AA17" s="36">
        <v>2335</v>
      </c>
      <c r="AB17" s="36">
        <v>55191</v>
      </c>
      <c r="AC17" s="36">
        <v>67897</v>
      </c>
      <c r="AD17" s="37">
        <f t="shared" si="1"/>
        <v>0</v>
      </c>
      <c r="AE17" s="37">
        <f t="shared" si="2"/>
        <v>0</v>
      </c>
      <c r="AF17" s="37">
        <f t="shared" si="3"/>
        <v>0</v>
      </c>
      <c r="AG17" s="37">
        <f t="shared" si="4"/>
        <v>0</v>
      </c>
      <c r="AH17" s="37">
        <f t="shared" si="5"/>
        <v>0</v>
      </c>
      <c r="AI17" s="37">
        <f t="shared" si="6"/>
        <v>0</v>
      </c>
      <c r="AJ17" s="37">
        <f t="shared" si="7"/>
        <v>0</v>
      </c>
      <c r="AK17" s="37">
        <f t="shared" si="8"/>
        <v>0</v>
      </c>
      <c r="AL17" s="37">
        <f t="shared" si="9"/>
        <v>0</v>
      </c>
      <c r="AM17" s="37">
        <f t="shared" si="10"/>
        <v>0</v>
      </c>
      <c r="AN17" s="37">
        <f t="shared" si="11"/>
        <v>0</v>
      </c>
      <c r="AO17" s="37">
        <f t="shared" si="12"/>
        <v>0</v>
      </c>
    </row>
    <row r="18" spans="1:41" ht="26.25">
      <c r="A18" s="14" t="s">
        <v>35</v>
      </c>
      <c r="B18" s="7" t="s">
        <v>36</v>
      </c>
      <c r="C18" s="3">
        <v>28526</v>
      </c>
      <c r="D18" s="3">
        <v>134649</v>
      </c>
      <c r="E18" s="3">
        <v>5524</v>
      </c>
      <c r="F18" s="3">
        <v>105983</v>
      </c>
      <c r="G18" s="3">
        <v>23002</v>
      </c>
      <c r="H18" s="3">
        <v>28666</v>
      </c>
      <c r="I18" s="3">
        <v>8753</v>
      </c>
      <c r="J18" s="3">
        <v>114891</v>
      </c>
      <c r="K18" s="3" t="s">
        <v>34</v>
      </c>
      <c r="L18" s="3" t="s">
        <v>34</v>
      </c>
      <c r="M18" s="3">
        <v>19773</v>
      </c>
      <c r="N18" s="3">
        <v>19758</v>
      </c>
      <c r="O18" s="3" t="s">
        <v>34</v>
      </c>
      <c r="P18" s="2" t="s">
        <v>34</v>
      </c>
      <c r="R18" s="1">
        <v>28526</v>
      </c>
      <c r="S18" s="1">
        <v>134649</v>
      </c>
      <c r="T18" s="1">
        <v>5524</v>
      </c>
      <c r="U18" s="1">
        <v>105983</v>
      </c>
      <c r="V18" s="1">
        <v>23002</v>
      </c>
      <c r="W18" s="1">
        <v>28666</v>
      </c>
      <c r="X18" s="35">
        <v>8753</v>
      </c>
      <c r="Y18" s="36">
        <v>114891</v>
      </c>
      <c r="Z18" s="36" t="s">
        <v>34</v>
      </c>
      <c r="AA18" s="36" t="s">
        <v>34</v>
      </c>
      <c r="AB18" s="36">
        <v>19773</v>
      </c>
      <c r="AC18" s="36">
        <v>19758</v>
      </c>
      <c r="AD18" s="37">
        <f t="shared" si="1"/>
        <v>0</v>
      </c>
      <c r="AE18" s="37">
        <f t="shared" si="2"/>
        <v>0</v>
      </c>
      <c r="AF18" s="37">
        <f t="shared" si="3"/>
        <v>0</v>
      </c>
      <c r="AG18" s="37">
        <f t="shared" si="4"/>
        <v>0</v>
      </c>
      <c r="AH18" s="37">
        <f t="shared" si="5"/>
        <v>0</v>
      </c>
      <c r="AI18" s="37">
        <f t="shared" si="6"/>
        <v>0</v>
      </c>
      <c r="AJ18" s="37">
        <f t="shared" si="7"/>
        <v>0</v>
      </c>
      <c r="AK18" s="37">
        <f t="shared" si="8"/>
        <v>0</v>
      </c>
      <c r="AL18" s="37" t="e">
        <f t="shared" si="9"/>
        <v>#VALUE!</v>
      </c>
      <c r="AM18" s="37" t="e">
        <f t="shared" si="10"/>
        <v>#VALUE!</v>
      </c>
      <c r="AN18" s="37">
        <f t="shared" si="11"/>
        <v>0</v>
      </c>
      <c r="AO18" s="37">
        <f t="shared" si="12"/>
        <v>0</v>
      </c>
    </row>
    <row r="19" spans="1:41" ht="26.25">
      <c r="A19" s="14" t="s">
        <v>37</v>
      </c>
      <c r="B19" s="7" t="s">
        <v>38</v>
      </c>
      <c r="C19" s="3">
        <v>6467146</v>
      </c>
      <c r="D19" s="3">
        <v>7546931</v>
      </c>
      <c r="E19" s="3">
        <v>1618399</v>
      </c>
      <c r="F19" s="3">
        <v>1596648</v>
      </c>
      <c r="G19" s="3">
        <v>4848747</v>
      </c>
      <c r="H19" s="3">
        <v>5950283</v>
      </c>
      <c r="I19" s="3">
        <v>928410</v>
      </c>
      <c r="J19" s="3">
        <v>956055</v>
      </c>
      <c r="K19" s="3">
        <v>3177377</v>
      </c>
      <c r="L19" s="3">
        <v>4242070</v>
      </c>
      <c r="M19" s="3">
        <v>2361359</v>
      </c>
      <c r="N19" s="3">
        <v>2348806</v>
      </c>
      <c r="O19" s="3">
        <v>1273646</v>
      </c>
      <c r="P19" s="2">
        <v>16.899999999999999</v>
      </c>
      <c r="R19" s="1">
        <v>6467146</v>
      </c>
      <c r="S19" s="1">
        <v>7546931</v>
      </c>
      <c r="T19" s="1">
        <v>1618399</v>
      </c>
      <c r="U19" s="1">
        <v>1596648</v>
      </c>
      <c r="V19" s="1">
        <v>4848747</v>
      </c>
      <c r="W19" s="1">
        <v>5950283</v>
      </c>
      <c r="X19" s="35">
        <v>928410</v>
      </c>
      <c r="Y19" s="36">
        <v>956055</v>
      </c>
      <c r="Z19" s="36">
        <v>3177377</v>
      </c>
      <c r="AA19" s="36">
        <v>4242070</v>
      </c>
      <c r="AB19" s="36">
        <v>2361359</v>
      </c>
      <c r="AC19" s="36">
        <v>2348806</v>
      </c>
      <c r="AD19" s="37">
        <f t="shared" si="1"/>
        <v>0</v>
      </c>
      <c r="AE19" s="37">
        <f t="shared" si="2"/>
        <v>0</v>
      </c>
      <c r="AF19" s="37">
        <f t="shared" si="3"/>
        <v>0</v>
      </c>
      <c r="AG19" s="37">
        <f t="shared" si="4"/>
        <v>0</v>
      </c>
      <c r="AH19" s="37">
        <f t="shared" si="5"/>
        <v>0</v>
      </c>
      <c r="AI19" s="37">
        <f t="shared" si="6"/>
        <v>0</v>
      </c>
      <c r="AJ19" s="37">
        <f t="shared" si="7"/>
        <v>0</v>
      </c>
      <c r="AK19" s="37">
        <f t="shared" si="8"/>
        <v>0</v>
      </c>
      <c r="AL19" s="37">
        <f t="shared" si="9"/>
        <v>0</v>
      </c>
      <c r="AM19" s="37">
        <f t="shared" si="10"/>
        <v>0</v>
      </c>
      <c r="AN19" s="37">
        <f t="shared" si="11"/>
        <v>0</v>
      </c>
      <c r="AO19" s="37">
        <f t="shared" si="12"/>
        <v>0</v>
      </c>
    </row>
    <row r="20" spans="1:41" s="21" customFormat="1" ht="77.25">
      <c r="A20" s="17" t="s">
        <v>122</v>
      </c>
      <c r="B20" s="18" t="s">
        <v>39</v>
      </c>
      <c r="C20" s="19">
        <v>63373302</v>
      </c>
      <c r="D20" s="19">
        <v>129565917</v>
      </c>
      <c r="E20" s="19">
        <v>33782163</v>
      </c>
      <c r="F20" s="19">
        <v>93178904</v>
      </c>
      <c r="G20" s="19">
        <v>29591139</v>
      </c>
      <c r="H20" s="19">
        <v>36387013</v>
      </c>
      <c r="I20" s="19">
        <v>23310756</v>
      </c>
      <c r="J20" s="19">
        <v>26146667</v>
      </c>
      <c r="K20" s="19">
        <v>19747747</v>
      </c>
      <c r="L20" s="19">
        <v>62219622</v>
      </c>
      <c r="M20" s="19">
        <v>20314799</v>
      </c>
      <c r="N20" s="19">
        <v>41199628</v>
      </c>
      <c r="O20" s="19">
        <v>10659233</v>
      </c>
      <c r="P20" s="20">
        <v>8.1999999999999993</v>
      </c>
      <c r="R20" s="21">
        <v>63373302</v>
      </c>
      <c r="S20" s="21">
        <v>129565917</v>
      </c>
      <c r="T20" s="21">
        <v>33782163</v>
      </c>
      <c r="U20" s="21">
        <v>93178904</v>
      </c>
      <c r="V20" s="21">
        <v>29591139</v>
      </c>
      <c r="W20" s="21">
        <v>36387013</v>
      </c>
      <c r="X20" s="35">
        <v>23310756</v>
      </c>
      <c r="Y20" s="36">
        <v>26146667</v>
      </c>
      <c r="Z20" s="36">
        <v>19747747</v>
      </c>
      <c r="AA20" s="36">
        <v>62219622</v>
      </c>
      <c r="AB20" s="36">
        <v>20314799</v>
      </c>
      <c r="AC20" s="36">
        <v>41199628</v>
      </c>
      <c r="AD20" s="37">
        <f t="shared" si="1"/>
        <v>0</v>
      </c>
      <c r="AE20" s="37">
        <f t="shared" si="2"/>
        <v>0</v>
      </c>
      <c r="AF20" s="37">
        <f t="shared" si="3"/>
        <v>0</v>
      </c>
      <c r="AG20" s="37">
        <f t="shared" si="4"/>
        <v>0</v>
      </c>
      <c r="AH20" s="37">
        <f t="shared" si="5"/>
        <v>0</v>
      </c>
      <c r="AI20" s="37">
        <f t="shared" si="6"/>
        <v>0</v>
      </c>
      <c r="AJ20" s="37">
        <f t="shared" si="7"/>
        <v>0</v>
      </c>
      <c r="AK20" s="37">
        <f t="shared" si="8"/>
        <v>0</v>
      </c>
      <c r="AL20" s="37">
        <f t="shared" si="9"/>
        <v>0</v>
      </c>
      <c r="AM20" s="37">
        <f t="shared" si="10"/>
        <v>0</v>
      </c>
      <c r="AN20" s="37">
        <f t="shared" si="11"/>
        <v>0</v>
      </c>
      <c r="AO20" s="37">
        <f t="shared" si="12"/>
        <v>0</v>
      </c>
    </row>
    <row r="21" spans="1:41" ht="39">
      <c r="A21" s="14" t="s">
        <v>40</v>
      </c>
      <c r="B21" s="7" t="s">
        <v>41</v>
      </c>
      <c r="C21" s="3">
        <v>63373302</v>
      </c>
      <c r="D21" s="3">
        <v>129565917</v>
      </c>
      <c r="E21" s="3">
        <v>33782163</v>
      </c>
      <c r="F21" s="3">
        <v>93178904</v>
      </c>
      <c r="G21" s="3">
        <v>29591139</v>
      </c>
      <c r="H21" s="3">
        <v>36387013</v>
      </c>
      <c r="I21" s="3">
        <v>23310756</v>
      </c>
      <c r="J21" s="3">
        <v>26146667</v>
      </c>
      <c r="K21" s="3">
        <v>19747747</v>
      </c>
      <c r="L21" s="3">
        <v>62219622</v>
      </c>
      <c r="M21" s="3">
        <v>20314799</v>
      </c>
      <c r="N21" s="3">
        <v>41199628</v>
      </c>
      <c r="O21" s="3">
        <v>10659233</v>
      </c>
      <c r="P21" s="2">
        <v>8.1999999999999993</v>
      </c>
      <c r="R21" s="1">
        <v>63373302</v>
      </c>
      <c r="S21" s="1">
        <v>129565917</v>
      </c>
      <c r="T21" s="1">
        <v>33782163</v>
      </c>
      <c r="U21" s="1">
        <v>93178904</v>
      </c>
      <c r="V21" s="1">
        <v>29591139</v>
      </c>
      <c r="W21" s="1">
        <v>36387013</v>
      </c>
      <c r="X21" s="35">
        <v>23310756</v>
      </c>
      <c r="Y21" s="36">
        <v>26146667</v>
      </c>
      <c r="Z21" s="36">
        <v>19747747</v>
      </c>
      <c r="AA21" s="36">
        <v>62219622</v>
      </c>
      <c r="AB21" s="36">
        <v>20314799</v>
      </c>
      <c r="AC21" s="36">
        <v>41199628</v>
      </c>
      <c r="AD21" s="37">
        <f t="shared" si="1"/>
        <v>0</v>
      </c>
      <c r="AE21" s="37">
        <f t="shared" si="2"/>
        <v>0</v>
      </c>
      <c r="AF21" s="37">
        <f t="shared" si="3"/>
        <v>0</v>
      </c>
      <c r="AG21" s="37">
        <f t="shared" si="4"/>
        <v>0</v>
      </c>
      <c r="AH21" s="37">
        <f t="shared" si="5"/>
        <v>0</v>
      </c>
      <c r="AI21" s="37">
        <f t="shared" si="6"/>
        <v>0</v>
      </c>
      <c r="AJ21" s="37">
        <f t="shared" si="7"/>
        <v>0</v>
      </c>
      <c r="AK21" s="37">
        <f t="shared" si="8"/>
        <v>0</v>
      </c>
      <c r="AL21" s="37">
        <f t="shared" si="9"/>
        <v>0</v>
      </c>
      <c r="AM21" s="37">
        <f t="shared" si="10"/>
        <v>0</v>
      </c>
      <c r="AN21" s="37">
        <f t="shared" si="11"/>
        <v>0</v>
      </c>
      <c r="AO21" s="37">
        <f t="shared" si="12"/>
        <v>0</v>
      </c>
    </row>
    <row r="22" spans="1:41" s="21" customFormat="1" ht="90.75" thickBot="1">
      <c r="A22" s="17" t="s">
        <v>123</v>
      </c>
      <c r="B22" s="18" t="s">
        <v>42</v>
      </c>
      <c r="C22" s="19">
        <v>10349520</v>
      </c>
      <c r="D22" s="19">
        <v>11006927</v>
      </c>
      <c r="E22" s="19">
        <v>8030355</v>
      </c>
      <c r="F22" s="19">
        <v>7420750</v>
      </c>
      <c r="G22" s="19">
        <v>2319165</v>
      </c>
      <c r="H22" s="19">
        <v>3586177</v>
      </c>
      <c r="I22" s="19">
        <v>5808471</v>
      </c>
      <c r="J22" s="19">
        <v>5397205</v>
      </c>
      <c r="K22" s="19">
        <v>2747692</v>
      </c>
      <c r="L22" s="19">
        <v>3477502</v>
      </c>
      <c r="M22" s="19">
        <v>1793357</v>
      </c>
      <c r="N22" s="19">
        <v>2132220</v>
      </c>
      <c r="O22" s="19">
        <v>1209227</v>
      </c>
      <c r="P22" s="20">
        <v>11</v>
      </c>
      <c r="R22" s="21">
        <v>10349520</v>
      </c>
      <c r="S22" s="21">
        <v>11006927</v>
      </c>
      <c r="T22" s="21">
        <v>8030355</v>
      </c>
      <c r="U22" s="21">
        <v>7420750</v>
      </c>
      <c r="V22" s="21">
        <v>2319165</v>
      </c>
      <c r="W22" s="21">
        <v>3586177</v>
      </c>
      <c r="X22" s="35">
        <v>5808471</v>
      </c>
      <c r="Y22" s="36">
        <v>5397205</v>
      </c>
      <c r="Z22" s="36">
        <v>2747692</v>
      </c>
      <c r="AA22" s="36">
        <v>3477502</v>
      </c>
      <c r="AB22" s="36">
        <v>1793357</v>
      </c>
      <c r="AC22" s="36">
        <v>2132220</v>
      </c>
      <c r="AD22" s="37">
        <f t="shared" si="1"/>
        <v>0</v>
      </c>
      <c r="AE22" s="37">
        <f t="shared" si="2"/>
        <v>0</v>
      </c>
      <c r="AF22" s="37">
        <f t="shared" si="3"/>
        <v>0</v>
      </c>
      <c r="AG22" s="37">
        <f t="shared" si="4"/>
        <v>0</v>
      </c>
      <c r="AH22" s="37">
        <f t="shared" si="5"/>
        <v>0</v>
      </c>
      <c r="AI22" s="37">
        <f t="shared" si="6"/>
        <v>0</v>
      </c>
      <c r="AJ22" s="37">
        <f t="shared" si="7"/>
        <v>0</v>
      </c>
      <c r="AK22" s="37">
        <f t="shared" si="8"/>
        <v>0</v>
      </c>
      <c r="AL22" s="37">
        <f t="shared" si="9"/>
        <v>0</v>
      </c>
      <c r="AM22" s="37">
        <f t="shared" si="10"/>
        <v>0</v>
      </c>
      <c r="AN22" s="37">
        <f t="shared" si="11"/>
        <v>0</v>
      </c>
      <c r="AO22" s="37">
        <f t="shared" si="12"/>
        <v>0</v>
      </c>
    </row>
    <row r="23" spans="1:41" ht="27" thickBot="1">
      <c r="A23" s="14" t="s">
        <v>43</v>
      </c>
      <c r="B23" s="7" t="s">
        <v>44</v>
      </c>
      <c r="C23" s="3">
        <v>8891973</v>
      </c>
      <c r="D23" s="3">
        <v>9324620</v>
      </c>
      <c r="E23" s="3">
        <v>6891371</v>
      </c>
      <c r="F23" s="3">
        <v>6204470</v>
      </c>
      <c r="G23" s="3">
        <v>2000602</v>
      </c>
      <c r="H23" s="3">
        <v>3120150</v>
      </c>
      <c r="I23" s="3">
        <v>4624990</v>
      </c>
      <c r="J23" s="3">
        <v>4195786</v>
      </c>
      <c r="K23" s="3">
        <v>2708379</v>
      </c>
      <c r="L23" s="3">
        <v>3374386</v>
      </c>
      <c r="M23" s="3">
        <v>1558604</v>
      </c>
      <c r="N23" s="3">
        <v>1754448</v>
      </c>
      <c r="O23" s="3">
        <v>1209221</v>
      </c>
      <c r="P23" s="2">
        <v>13</v>
      </c>
      <c r="R23" s="33">
        <v>8891973</v>
      </c>
      <c r="S23" s="34">
        <v>9324620</v>
      </c>
      <c r="T23" s="34">
        <v>6891371</v>
      </c>
      <c r="U23" s="34">
        <v>6204470</v>
      </c>
      <c r="V23" s="34">
        <v>2000602</v>
      </c>
      <c r="W23" s="34">
        <v>3120150</v>
      </c>
      <c r="X23" s="35">
        <v>4624990</v>
      </c>
      <c r="Y23" s="36">
        <v>4195786</v>
      </c>
      <c r="Z23" s="36">
        <v>2708379</v>
      </c>
      <c r="AA23" s="36">
        <v>3374386</v>
      </c>
      <c r="AB23" s="36">
        <v>1558604</v>
      </c>
      <c r="AC23" s="36">
        <v>1754448</v>
      </c>
      <c r="AD23" s="37">
        <f t="shared" si="1"/>
        <v>0</v>
      </c>
      <c r="AE23" s="37">
        <f t="shared" si="2"/>
        <v>0</v>
      </c>
      <c r="AF23" s="37">
        <f t="shared" si="3"/>
        <v>0</v>
      </c>
      <c r="AG23" s="37">
        <f t="shared" si="4"/>
        <v>0</v>
      </c>
      <c r="AH23" s="37">
        <f t="shared" si="5"/>
        <v>0</v>
      </c>
      <c r="AI23" s="37">
        <f t="shared" si="6"/>
        <v>0</v>
      </c>
      <c r="AJ23" s="37">
        <f t="shared" si="7"/>
        <v>0</v>
      </c>
      <c r="AK23" s="37">
        <f t="shared" si="8"/>
        <v>0</v>
      </c>
      <c r="AL23" s="37">
        <f t="shared" si="9"/>
        <v>0</v>
      </c>
      <c r="AM23" s="37">
        <f t="shared" si="10"/>
        <v>0</v>
      </c>
      <c r="AN23" s="37">
        <f t="shared" si="11"/>
        <v>0</v>
      </c>
      <c r="AO23" s="37">
        <f t="shared" si="12"/>
        <v>0</v>
      </c>
    </row>
    <row r="24" spans="1:41" ht="39">
      <c r="A24" s="14" t="s">
        <v>45</v>
      </c>
      <c r="B24" s="7" t="s">
        <v>46</v>
      </c>
      <c r="C24" s="3">
        <v>1457547</v>
      </c>
      <c r="D24" s="3">
        <v>1682307</v>
      </c>
      <c r="E24" s="3">
        <v>1138984</v>
      </c>
      <c r="F24" s="3">
        <v>1216280</v>
      </c>
      <c r="G24" s="3">
        <v>318563</v>
      </c>
      <c r="H24" s="3">
        <v>466027</v>
      </c>
      <c r="I24" s="3">
        <v>1183481</v>
      </c>
      <c r="J24" s="3">
        <v>1201419</v>
      </c>
      <c r="K24" s="3">
        <v>39313</v>
      </c>
      <c r="L24" s="3">
        <v>103116</v>
      </c>
      <c r="M24" s="3">
        <v>234753</v>
      </c>
      <c r="N24" s="3">
        <v>377772</v>
      </c>
      <c r="O24" s="3">
        <v>6</v>
      </c>
      <c r="P24" s="2">
        <v>0</v>
      </c>
      <c r="R24" s="35">
        <v>1457547</v>
      </c>
      <c r="S24" s="36">
        <v>1682307</v>
      </c>
      <c r="T24" s="36">
        <v>1138984</v>
      </c>
      <c r="U24" s="36">
        <v>1216280</v>
      </c>
      <c r="V24" s="36">
        <v>318563</v>
      </c>
      <c r="W24" s="36">
        <v>466027</v>
      </c>
      <c r="X24" s="33">
        <v>1183481</v>
      </c>
      <c r="Y24" s="34">
        <v>1201419</v>
      </c>
      <c r="Z24" s="34">
        <v>39313</v>
      </c>
      <c r="AA24" s="34">
        <v>103116</v>
      </c>
      <c r="AB24" s="34">
        <v>234753</v>
      </c>
      <c r="AC24" s="34">
        <v>377772</v>
      </c>
      <c r="AD24" s="37">
        <f t="shared" si="1"/>
        <v>0</v>
      </c>
      <c r="AE24" s="37">
        <f t="shared" si="2"/>
        <v>0</v>
      </c>
      <c r="AF24" s="37">
        <f t="shared" si="3"/>
        <v>0</v>
      </c>
      <c r="AG24" s="37">
        <f t="shared" si="4"/>
        <v>0</v>
      </c>
      <c r="AH24" s="37">
        <f t="shared" si="5"/>
        <v>0</v>
      </c>
      <c r="AI24" s="37">
        <f t="shared" si="6"/>
        <v>0</v>
      </c>
      <c r="AJ24" s="37">
        <f t="shared" si="7"/>
        <v>0</v>
      </c>
      <c r="AK24" s="37">
        <f t="shared" si="8"/>
        <v>0</v>
      </c>
      <c r="AL24" s="37">
        <f t="shared" si="9"/>
        <v>0</v>
      </c>
      <c r="AM24" s="37">
        <f t="shared" si="10"/>
        <v>0</v>
      </c>
      <c r="AN24" s="37">
        <f t="shared" si="11"/>
        <v>0</v>
      </c>
      <c r="AO24" s="37">
        <f t="shared" si="12"/>
        <v>0</v>
      </c>
    </row>
    <row r="25" spans="1:41" s="21" customFormat="1" ht="15.75">
      <c r="A25" s="17" t="s">
        <v>124</v>
      </c>
      <c r="B25" s="18" t="s">
        <v>47</v>
      </c>
      <c r="C25" s="19">
        <v>25381869</v>
      </c>
      <c r="D25" s="19">
        <v>36039743</v>
      </c>
      <c r="E25" s="19">
        <v>3680885</v>
      </c>
      <c r="F25" s="19">
        <v>3782608</v>
      </c>
      <c r="G25" s="19">
        <v>21700984</v>
      </c>
      <c r="H25" s="19">
        <v>32257135</v>
      </c>
      <c r="I25" s="19">
        <v>2663724</v>
      </c>
      <c r="J25" s="19">
        <v>2404097</v>
      </c>
      <c r="K25" s="19">
        <v>1266041</v>
      </c>
      <c r="L25" s="19">
        <v>1344399</v>
      </c>
      <c r="M25" s="19">
        <v>21452104</v>
      </c>
      <c r="N25" s="19">
        <v>32291247</v>
      </c>
      <c r="O25" s="19">
        <v>8141916</v>
      </c>
      <c r="P25" s="20">
        <v>22.6</v>
      </c>
      <c r="R25" s="35">
        <v>25381869</v>
      </c>
      <c r="S25" s="36">
        <v>36039743</v>
      </c>
      <c r="T25" s="36">
        <v>3680885</v>
      </c>
      <c r="U25" s="36">
        <v>3782608</v>
      </c>
      <c r="V25" s="36">
        <v>21700984</v>
      </c>
      <c r="W25" s="36">
        <v>32257135</v>
      </c>
      <c r="X25" s="35">
        <v>2663724</v>
      </c>
      <c r="Y25" s="36">
        <v>2404097</v>
      </c>
      <c r="Z25" s="36">
        <v>1266041</v>
      </c>
      <c r="AA25" s="36">
        <v>1344399</v>
      </c>
      <c r="AB25" s="36">
        <v>21452104</v>
      </c>
      <c r="AC25" s="36">
        <v>32291247</v>
      </c>
      <c r="AD25" s="37">
        <f t="shared" si="1"/>
        <v>0</v>
      </c>
      <c r="AE25" s="37">
        <f t="shared" si="2"/>
        <v>0</v>
      </c>
      <c r="AF25" s="37">
        <f t="shared" si="3"/>
        <v>0</v>
      </c>
      <c r="AG25" s="37">
        <f t="shared" si="4"/>
        <v>0</v>
      </c>
      <c r="AH25" s="37">
        <f t="shared" si="5"/>
        <v>0</v>
      </c>
      <c r="AI25" s="37">
        <f t="shared" si="6"/>
        <v>0</v>
      </c>
      <c r="AJ25" s="37">
        <f t="shared" si="7"/>
        <v>0</v>
      </c>
      <c r="AK25" s="37">
        <f t="shared" si="8"/>
        <v>0</v>
      </c>
      <c r="AL25" s="37">
        <f t="shared" si="9"/>
        <v>0</v>
      </c>
      <c r="AM25" s="37">
        <f t="shared" si="10"/>
        <v>0</v>
      </c>
      <c r="AN25" s="37">
        <f t="shared" si="11"/>
        <v>0</v>
      </c>
      <c r="AO25" s="37">
        <f t="shared" si="12"/>
        <v>0</v>
      </c>
    </row>
    <row r="26" spans="1:41" ht="15.75">
      <c r="A26" s="14" t="s">
        <v>48</v>
      </c>
      <c r="B26" s="7" t="s">
        <v>49</v>
      </c>
      <c r="C26" s="3">
        <v>17567999</v>
      </c>
      <c r="D26" s="3">
        <v>27942870</v>
      </c>
      <c r="E26" s="3">
        <v>982580</v>
      </c>
      <c r="F26" s="3">
        <v>723643</v>
      </c>
      <c r="G26" s="3">
        <v>16585419</v>
      </c>
      <c r="H26" s="3">
        <v>27219227</v>
      </c>
      <c r="I26" s="3">
        <v>734334</v>
      </c>
      <c r="J26" s="3">
        <v>542777</v>
      </c>
      <c r="K26" s="3">
        <v>426050</v>
      </c>
      <c r="L26" s="3">
        <v>345312</v>
      </c>
      <c r="M26" s="3">
        <v>16407615</v>
      </c>
      <c r="N26" s="3">
        <v>27054781</v>
      </c>
      <c r="O26" s="3">
        <v>177811</v>
      </c>
      <c r="P26" s="2">
        <v>0.6</v>
      </c>
      <c r="R26" s="35">
        <v>17567999</v>
      </c>
      <c r="S26" s="36">
        <v>27942870</v>
      </c>
      <c r="T26" s="36">
        <v>982580</v>
      </c>
      <c r="U26" s="36">
        <v>723643</v>
      </c>
      <c r="V26" s="36">
        <v>16585419</v>
      </c>
      <c r="W26" s="36">
        <v>27219227</v>
      </c>
      <c r="X26" s="35">
        <v>734334</v>
      </c>
      <c r="Y26" s="36">
        <v>542777</v>
      </c>
      <c r="Z26" s="36">
        <v>426050</v>
      </c>
      <c r="AA26" s="36">
        <v>345312</v>
      </c>
      <c r="AB26" s="36">
        <v>16407615</v>
      </c>
      <c r="AC26" s="36">
        <v>27054781</v>
      </c>
      <c r="AD26" s="37">
        <f t="shared" si="1"/>
        <v>0</v>
      </c>
      <c r="AE26" s="37">
        <f t="shared" si="2"/>
        <v>0</v>
      </c>
      <c r="AF26" s="37">
        <f t="shared" si="3"/>
        <v>0</v>
      </c>
      <c r="AG26" s="37">
        <f t="shared" si="4"/>
        <v>0</v>
      </c>
      <c r="AH26" s="37">
        <f t="shared" si="5"/>
        <v>0</v>
      </c>
      <c r="AI26" s="37">
        <f t="shared" si="6"/>
        <v>0</v>
      </c>
      <c r="AJ26" s="37">
        <f t="shared" si="7"/>
        <v>0</v>
      </c>
      <c r="AK26" s="37">
        <f t="shared" si="8"/>
        <v>0</v>
      </c>
      <c r="AL26" s="37">
        <f t="shared" si="9"/>
        <v>0</v>
      </c>
      <c r="AM26" s="37">
        <f t="shared" si="10"/>
        <v>0</v>
      </c>
      <c r="AN26" s="37">
        <f t="shared" si="11"/>
        <v>0</v>
      </c>
      <c r="AO26" s="37">
        <f t="shared" si="12"/>
        <v>0</v>
      </c>
    </row>
    <row r="27" spans="1:41" ht="26.25">
      <c r="A27" s="14" t="s">
        <v>50</v>
      </c>
      <c r="B27" s="7" t="s">
        <v>51</v>
      </c>
      <c r="C27" s="3">
        <v>7813870</v>
      </c>
      <c r="D27" s="3">
        <v>7964105</v>
      </c>
      <c r="E27" s="3">
        <v>2698305</v>
      </c>
      <c r="F27" s="3">
        <v>2992724</v>
      </c>
      <c r="G27" s="3">
        <v>5115565</v>
      </c>
      <c r="H27" s="3">
        <v>4971381</v>
      </c>
      <c r="I27" s="3">
        <v>1929390</v>
      </c>
      <c r="J27" s="3">
        <v>1850211</v>
      </c>
      <c r="K27" s="3">
        <v>839991</v>
      </c>
      <c r="L27" s="3">
        <v>994587</v>
      </c>
      <c r="M27" s="3">
        <v>5044489</v>
      </c>
      <c r="N27" s="3">
        <v>5119307</v>
      </c>
      <c r="O27" s="3">
        <v>7964105</v>
      </c>
      <c r="P27" s="2">
        <v>100</v>
      </c>
      <c r="R27" s="35">
        <v>7813870</v>
      </c>
      <c r="S27" s="36">
        <v>7964105</v>
      </c>
      <c r="T27" s="36">
        <v>2698305</v>
      </c>
      <c r="U27" s="36">
        <v>2992724</v>
      </c>
      <c r="V27" s="36">
        <v>5115565</v>
      </c>
      <c r="W27" s="36">
        <v>4971381</v>
      </c>
      <c r="X27" s="35">
        <v>1929390</v>
      </c>
      <c r="Y27" s="36">
        <v>1850211</v>
      </c>
      <c r="Z27" s="36">
        <v>839991</v>
      </c>
      <c r="AA27" s="36">
        <v>994587</v>
      </c>
      <c r="AB27" s="36">
        <v>5044489</v>
      </c>
      <c r="AC27" s="36">
        <v>5119307</v>
      </c>
      <c r="AD27" s="37">
        <f t="shared" si="1"/>
        <v>0</v>
      </c>
      <c r="AE27" s="37">
        <f t="shared" si="2"/>
        <v>0</v>
      </c>
      <c r="AF27" s="37">
        <f t="shared" si="3"/>
        <v>0</v>
      </c>
      <c r="AG27" s="37">
        <f t="shared" si="4"/>
        <v>0</v>
      </c>
      <c r="AH27" s="37">
        <f t="shared" si="5"/>
        <v>0</v>
      </c>
      <c r="AI27" s="37">
        <f t="shared" si="6"/>
        <v>0</v>
      </c>
      <c r="AJ27" s="37">
        <f t="shared" si="7"/>
        <v>0</v>
      </c>
      <c r="AK27" s="37">
        <f t="shared" si="8"/>
        <v>0</v>
      </c>
      <c r="AL27" s="37">
        <f t="shared" si="9"/>
        <v>0</v>
      </c>
      <c r="AM27" s="37">
        <f t="shared" si="10"/>
        <v>0</v>
      </c>
      <c r="AN27" s="37">
        <f t="shared" si="11"/>
        <v>0</v>
      </c>
      <c r="AO27" s="37">
        <f t="shared" si="12"/>
        <v>0</v>
      </c>
    </row>
    <row r="28" spans="1:41" ht="26.25">
      <c r="A28" s="14" t="s">
        <v>52</v>
      </c>
      <c r="B28" s="7" t="s">
        <v>53</v>
      </c>
      <c r="C28" s="3" t="s">
        <v>34</v>
      </c>
      <c r="D28" s="3">
        <v>132768</v>
      </c>
      <c r="E28" s="3" t="s">
        <v>34</v>
      </c>
      <c r="F28" s="3">
        <v>66241</v>
      </c>
      <c r="G28" s="3" t="s">
        <v>34</v>
      </c>
      <c r="H28" s="3">
        <v>66527</v>
      </c>
      <c r="I28" s="3" t="s">
        <v>34</v>
      </c>
      <c r="J28" s="3">
        <v>11109</v>
      </c>
      <c r="K28" s="3" t="s">
        <v>34</v>
      </c>
      <c r="L28" s="3">
        <v>4500</v>
      </c>
      <c r="M28" s="3" t="s">
        <v>34</v>
      </c>
      <c r="N28" s="3">
        <v>117159</v>
      </c>
      <c r="O28" s="3" t="s">
        <v>34</v>
      </c>
      <c r="P28" s="2" t="s">
        <v>34</v>
      </c>
      <c r="R28" s="35" t="s">
        <v>34</v>
      </c>
      <c r="S28" s="36">
        <v>132768</v>
      </c>
      <c r="T28" s="36" t="s">
        <v>34</v>
      </c>
      <c r="U28" s="36">
        <v>66241</v>
      </c>
      <c r="V28" s="36" t="s">
        <v>34</v>
      </c>
      <c r="W28" s="36">
        <v>66527</v>
      </c>
      <c r="X28" s="35" t="s">
        <v>34</v>
      </c>
      <c r="Y28" s="36">
        <v>11109</v>
      </c>
      <c r="Z28" s="36" t="s">
        <v>34</v>
      </c>
      <c r="AA28" s="36">
        <v>4500</v>
      </c>
      <c r="AB28" s="36" t="s">
        <v>34</v>
      </c>
      <c r="AC28" s="36">
        <v>117159</v>
      </c>
      <c r="AD28" s="37" t="e">
        <f t="shared" si="1"/>
        <v>#VALUE!</v>
      </c>
      <c r="AE28" s="37">
        <f t="shared" si="2"/>
        <v>0</v>
      </c>
      <c r="AF28" s="37" t="e">
        <f t="shared" si="3"/>
        <v>#VALUE!</v>
      </c>
      <c r="AG28" s="37">
        <f t="shared" si="4"/>
        <v>0</v>
      </c>
      <c r="AH28" s="37" t="e">
        <f t="shared" si="5"/>
        <v>#VALUE!</v>
      </c>
      <c r="AI28" s="37">
        <f t="shared" si="6"/>
        <v>0</v>
      </c>
      <c r="AJ28" s="37" t="e">
        <f t="shared" si="7"/>
        <v>#VALUE!</v>
      </c>
      <c r="AK28" s="37">
        <f t="shared" si="8"/>
        <v>0</v>
      </c>
      <c r="AL28" s="37" t="e">
        <f t="shared" si="9"/>
        <v>#VALUE!</v>
      </c>
      <c r="AM28" s="37">
        <f t="shared" si="10"/>
        <v>0</v>
      </c>
      <c r="AN28" s="37" t="e">
        <f t="shared" si="11"/>
        <v>#VALUE!</v>
      </c>
      <c r="AO28" s="37">
        <f t="shared" si="12"/>
        <v>0</v>
      </c>
    </row>
    <row r="29" spans="1:41" s="21" customFormat="1" ht="51.75">
      <c r="A29" s="17" t="s">
        <v>125</v>
      </c>
      <c r="B29" s="18" t="s">
        <v>54</v>
      </c>
      <c r="C29" s="19">
        <v>33272502</v>
      </c>
      <c r="D29" s="19">
        <v>32857888</v>
      </c>
      <c r="E29" s="19">
        <v>5890431</v>
      </c>
      <c r="F29" s="19">
        <v>5564891</v>
      </c>
      <c r="G29" s="19">
        <v>27382071</v>
      </c>
      <c r="H29" s="19">
        <v>27292997</v>
      </c>
      <c r="I29" s="19">
        <v>9851498</v>
      </c>
      <c r="J29" s="19">
        <v>9291183</v>
      </c>
      <c r="K29" s="19">
        <v>8964776</v>
      </c>
      <c r="L29" s="19">
        <v>9576497</v>
      </c>
      <c r="M29" s="19">
        <v>14456228</v>
      </c>
      <c r="N29" s="19">
        <v>13990208</v>
      </c>
      <c r="O29" s="19">
        <v>6034842</v>
      </c>
      <c r="P29" s="20">
        <v>18.399999999999999</v>
      </c>
      <c r="R29" s="35">
        <v>33272502</v>
      </c>
      <c r="S29" s="36">
        <v>32857888</v>
      </c>
      <c r="T29" s="36">
        <v>5890431</v>
      </c>
      <c r="U29" s="36">
        <v>5564891</v>
      </c>
      <c r="V29" s="36">
        <v>27382071</v>
      </c>
      <c r="W29" s="36">
        <v>27292997</v>
      </c>
      <c r="X29" s="35">
        <v>9851498</v>
      </c>
      <c r="Y29" s="36">
        <v>9291183</v>
      </c>
      <c r="Z29" s="36">
        <v>8964776</v>
      </c>
      <c r="AA29" s="36">
        <v>9576497</v>
      </c>
      <c r="AB29" s="36">
        <v>14456228</v>
      </c>
      <c r="AC29" s="36">
        <v>13990208</v>
      </c>
      <c r="AD29" s="37">
        <f t="shared" si="1"/>
        <v>0</v>
      </c>
      <c r="AE29" s="37">
        <f t="shared" si="2"/>
        <v>0</v>
      </c>
      <c r="AF29" s="37">
        <f t="shared" si="3"/>
        <v>0</v>
      </c>
      <c r="AG29" s="37">
        <f t="shared" si="4"/>
        <v>0</v>
      </c>
      <c r="AH29" s="37">
        <f t="shared" si="5"/>
        <v>0</v>
      </c>
      <c r="AI29" s="37">
        <f t="shared" si="6"/>
        <v>0</v>
      </c>
      <c r="AJ29" s="37">
        <f t="shared" si="7"/>
        <v>0</v>
      </c>
      <c r="AK29" s="37">
        <f t="shared" si="8"/>
        <v>0</v>
      </c>
      <c r="AL29" s="37">
        <f t="shared" si="9"/>
        <v>0</v>
      </c>
      <c r="AM29" s="37">
        <f t="shared" si="10"/>
        <v>0</v>
      </c>
      <c r="AN29" s="37">
        <f t="shared" si="11"/>
        <v>0</v>
      </c>
      <c r="AO29" s="37">
        <f t="shared" si="12"/>
        <v>0</v>
      </c>
    </row>
    <row r="30" spans="1:41" ht="51.75">
      <c r="A30" s="14" t="s">
        <v>55</v>
      </c>
      <c r="B30" s="7" t="s">
        <v>56</v>
      </c>
      <c r="C30" s="3">
        <v>29580371</v>
      </c>
      <c r="D30" s="3">
        <v>29141319</v>
      </c>
      <c r="E30" s="3">
        <v>4003826</v>
      </c>
      <c r="F30" s="3">
        <v>3765240</v>
      </c>
      <c r="G30" s="3">
        <v>25576545</v>
      </c>
      <c r="H30" s="3">
        <v>25376079</v>
      </c>
      <c r="I30" s="3">
        <v>9634752</v>
      </c>
      <c r="J30" s="3">
        <v>9018129</v>
      </c>
      <c r="K30" s="3">
        <v>7787534</v>
      </c>
      <c r="L30" s="3">
        <v>8604612</v>
      </c>
      <c r="M30" s="3">
        <v>12158085</v>
      </c>
      <c r="N30" s="3">
        <v>11518578</v>
      </c>
      <c r="O30" s="3">
        <v>3844820</v>
      </c>
      <c r="P30" s="2">
        <v>13.2</v>
      </c>
      <c r="R30" s="35">
        <v>29580371</v>
      </c>
      <c r="S30" s="36">
        <v>29141319</v>
      </c>
      <c r="T30" s="36">
        <v>4003826</v>
      </c>
      <c r="U30" s="36">
        <v>3765240</v>
      </c>
      <c r="V30" s="36">
        <v>25576545</v>
      </c>
      <c r="W30" s="36">
        <v>25376079</v>
      </c>
      <c r="X30" s="35">
        <v>9634752</v>
      </c>
      <c r="Y30" s="36">
        <v>9018129</v>
      </c>
      <c r="Z30" s="36">
        <v>7787534</v>
      </c>
      <c r="AA30" s="36">
        <v>8604612</v>
      </c>
      <c r="AB30" s="36">
        <v>12158085</v>
      </c>
      <c r="AC30" s="36">
        <v>11518578</v>
      </c>
      <c r="AD30" s="37">
        <f t="shared" si="1"/>
        <v>0</v>
      </c>
      <c r="AE30" s="37">
        <f t="shared" si="2"/>
        <v>0</v>
      </c>
      <c r="AF30" s="37">
        <f t="shared" si="3"/>
        <v>0</v>
      </c>
      <c r="AG30" s="37">
        <f t="shared" si="4"/>
        <v>0</v>
      </c>
      <c r="AH30" s="37">
        <f t="shared" si="5"/>
        <v>0</v>
      </c>
      <c r="AI30" s="37">
        <f t="shared" si="6"/>
        <v>0</v>
      </c>
      <c r="AJ30" s="37">
        <f t="shared" si="7"/>
        <v>0</v>
      </c>
      <c r="AK30" s="37">
        <f t="shared" si="8"/>
        <v>0</v>
      </c>
      <c r="AL30" s="37">
        <f t="shared" si="9"/>
        <v>0</v>
      </c>
      <c r="AM30" s="37">
        <f t="shared" si="10"/>
        <v>0</v>
      </c>
      <c r="AN30" s="37">
        <f t="shared" si="11"/>
        <v>0</v>
      </c>
      <c r="AO30" s="37">
        <f t="shared" si="12"/>
        <v>0</v>
      </c>
    </row>
    <row r="31" spans="1:41" ht="39">
      <c r="A31" s="14" t="s">
        <v>57</v>
      </c>
      <c r="B31" s="7" t="s">
        <v>58</v>
      </c>
      <c r="C31" s="3">
        <v>3692131</v>
      </c>
      <c r="D31" s="3">
        <v>3716569</v>
      </c>
      <c r="E31" s="3">
        <v>1886605</v>
      </c>
      <c r="F31" s="3">
        <v>1799651</v>
      </c>
      <c r="G31" s="3">
        <v>1805526</v>
      </c>
      <c r="H31" s="3">
        <v>1916918</v>
      </c>
      <c r="I31" s="3">
        <v>216746</v>
      </c>
      <c r="J31" s="3">
        <v>273054</v>
      </c>
      <c r="K31" s="3">
        <v>1177242</v>
      </c>
      <c r="L31" s="3">
        <v>971885</v>
      </c>
      <c r="M31" s="3">
        <v>2298143</v>
      </c>
      <c r="N31" s="3">
        <v>2471630</v>
      </c>
      <c r="O31" s="3">
        <v>2190022</v>
      </c>
      <c r="P31" s="2">
        <v>58.9</v>
      </c>
      <c r="R31" s="35">
        <v>3692131</v>
      </c>
      <c r="S31" s="36">
        <v>3716569</v>
      </c>
      <c r="T31" s="36">
        <v>1886605</v>
      </c>
      <c r="U31" s="36">
        <v>1799651</v>
      </c>
      <c r="V31" s="36">
        <v>1805526</v>
      </c>
      <c r="W31" s="36">
        <v>1916918</v>
      </c>
      <c r="X31" s="35">
        <v>216746</v>
      </c>
      <c r="Y31" s="36">
        <v>273054</v>
      </c>
      <c r="Z31" s="36">
        <v>1177242</v>
      </c>
      <c r="AA31" s="36">
        <v>971885</v>
      </c>
      <c r="AB31" s="36">
        <v>2298143</v>
      </c>
      <c r="AC31" s="36">
        <v>2471630</v>
      </c>
      <c r="AD31" s="37">
        <f t="shared" si="1"/>
        <v>0</v>
      </c>
      <c r="AE31" s="37">
        <f t="shared" si="2"/>
        <v>0</v>
      </c>
      <c r="AF31" s="37">
        <f t="shared" si="3"/>
        <v>0</v>
      </c>
      <c r="AG31" s="37">
        <f t="shared" si="4"/>
        <v>0</v>
      </c>
      <c r="AH31" s="37">
        <f t="shared" si="5"/>
        <v>0</v>
      </c>
      <c r="AI31" s="37">
        <f t="shared" si="6"/>
        <v>0</v>
      </c>
      <c r="AJ31" s="37">
        <f t="shared" si="7"/>
        <v>0</v>
      </c>
      <c r="AK31" s="37">
        <f t="shared" si="8"/>
        <v>0</v>
      </c>
      <c r="AL31" s="37">
        <f t="shared" si="9"/>
        <v>0</v>
      </c>
      <c r="AM31" s="37">
        <f t="shared" si="10"/>
        <v>0</v>
      </c>
      <c r="AN31" s="37">
        <f t="shared" si="11"/>
        <v>0</v>
      </c>
      <c r="AO31" s="37">
        <f t="shared" si="12"/>
        <v>0</v>
      </c>
    </row>
    <row r="32" spans="1:41" s="21" customFormat="1" ht="26.25">
      <c r="A32" s="17" t="s">
        <v>126</v>
      </c>
      <c r="B32" s="18" t="s">
        <v>59</v>
      </c>
      <c r="C32" s="19">
        <v>40793832</v>
      </c>
      <c r="D32" s="19">
        <v>49727877</v>
      </c>
      <c r="E32" s="19">
        <v>32610510</v>
      </c>
      <c r="F32" s="19">
        <v>42649561</v>
      </c>
      <c r="G32" s="19">
        <v>8183322</v>
      </c>
      <c r="H32" s="19">
        <v>7078316</v>
      </c>
      <c r="I32" s="19">
        <v>19178008</v>
      </c>
      <c r="J32" s="19">
        <v>19430484</v>
      </c>
      <c r="K32" s="19">
        <v>18641469</v>
      </c>
      <c r="L32" s="19">
        <v>25573296</v>
      </c>
      <c r="M32" s="19">
        <v>2974355</v>
      </c>
      <c r="N32" s="19">
        <v>4724097</v>
      </c>
      <c r="O32" s="19">
        <v>8129865</v>
      </c>
      <c r="P32" s="20">
        <v>16.3</v>
      </c>
      <c r="R32" s="35">
        <v>40793832</v>
      </c>
      <c r="S32" s="36">
        <v>49727877</v>
      </c>
      <c r="T32" s="36">
        <v>32610510</v>
      </c>
      <c r="U32" s="36">
        <v>42649561</v>
      </c>
      <c r="V32" s="36">
        <v>8183322</v>
      </c>
      <c r="W32" s="36">
        <v>7078316</v>
      </c>
      <c r="X32" s="35">
        <v>19178008</v>
      </c>
      <c r="Y32" s="36">
        <v>19430484</v>
      </c>
      <c r="Z32" s="36">
        <v>18641469</v>
      </c>
      <c r="AA32" s="36">
        <v>25573296</v>
      </c>
      <c r="AB32" s="36">
        <v>2974355</v>
      </c>
      <c r="AC32" s="36">
        <v>4724097</v>
      </c>
      <c r="AD32" s="37">
        <f t="shared" si="1"/>
        <v>0</v>
      </c>
      <c r="AE32" s="37">
        <f t="shared" si="2"/>
        <v>0</v>
      </c>
      <c r="AF32" s="37">
        <f t="shared" si="3"/>
        <v>0</v>
      </c>
      <c r="AG32" s="37">
        <f t="shared" si="4"/>
        <v>0</v>
      </c>
      <c r="AH32" s="37">
        <f t="shared" si="5"/>
        <v>0</v>
      </c>
      <c r="AI32" s="37">
        <f t="shared" si="6"/>
        <v>0</v>
      </c>
      <c r="AJ32" s="37">
        <f t="shared" si="7"/>
        <v>0</v>
      </c>
      <c r="AK32" s="37">
        <f t="shared" si="8"/>
        <v>0</v>
      </c>
      <c r="AL32" s="37">
        <f t="shared" si="9"/>
        <v>0</v>
      </c>
      <c r="AM32" s="37">
        <f t="shared" si="10"/>
        <v>0</v>
      </c>
      <c r="AN32" s="37">
        <f t="shared" si="11"/>
        <v>0</v>
      </c>
      <c r="AO32" s="37">
        <f t="shared" si="12"/>
        <v>0</v>
      </c>
    </row>
    <row r="33" spans="1:41" ht="26.25">
      <c r="A33" s="14" t="s">
        <v>60</v>
      </c>
      <c r="B33" s="7" t="s">
        <v>61</v>
      </c>
      <c r="C33" s="3">
        <v>791057</v>
      </c>
      <c r="D33" s="3">
        <v>1146339</v>
      </c>
      <c r="E33" s="3">
        <v>355696</v>
      </c>
      <c r="F33" s="3">
        <v>699619</v>
      </c>
      <c r="G33" s="3">
        <v>435361</v>
      </c>
      <c r="H33" s="3">
        <v>446720</v>
      </c>
      <c r="I33" s="3">
        <v>666366</v>
      </c>
      <c r="J33" s="3">
        <v>855466</v>
      </c>
      <c r="K33" s="3">
        <v>53645</v>
      </c>
      <c r="L33" s="3">
        <v>53800</v>
      </c>
      <c r="M33" s="3">
        <v>71046</v>
      </c>
      <c r="N33" s="3">
        <v>237073</v>
      </c>
      <c r="O33" s="3" t="s">
        <v>34</v>
      </c>
      <c r="P33" s="2" t="s">
        <v>34</v>
      </c>
      <c r="R33" s="35">
        <v>791057</v>
      </c>
      <c r="S33" s="36">
        <v>1146339</v>
      </c>
      <c r="T33" s="36">
        <v>355696</v>
      </c>
      <c r="U33" s="36">
        <v>699619</v>
      </c>
      <c r="V33" s="36">
        <v>435361</v>
      </c>
      <c r="W33" s="36">
        <v>446720</v>
      </c>
      <c r="X33" s="35">
        <v>666366</v>
      </c>
      <c r="Y33" s="36">
        <v>855466</v>
      </c>
      <c r="Z33" s="36">
        <v>53645</v>
      </c>
      <c r="AA33" s="36">
        <v>53800</v>
      </c>
      <c r="AB33" s="36">
        <v>71046</v>
      </c>
      <c r="AC33" s="36">
        <v>237073</v>
      </c>
      <c r="AD33" s="37">
        <f t="shared" si="1"/>
        <v>0</v>
      </c>
      <c r="AE33" s="37">
        <f t="shared" si="2"/>
        <v>0</v>
      </c>
      <c r="AF33" s="37">
        <f t="shared" si="3"/>
        <v>0</v>
      </c>
      <c r="AG33" s="37">
        <f t="shared" si="4"/>
        <v>0</v>
      </c>
      <c r="AH33" s="37">
        <f t="shared" si="5"/>
        <v>0</v>
      </c>
      <c r="AI33" s="37">
        <f t="shared" si="6"/>
        <v>0</v>
      </c>
      <c r="AJ33" s="37">
        <f t="shared" si="7"/>
        <v>0</v>
      </c>
      <c r="AK33" s="37">
        <f t="shared" si="8"/>
        <v>0</v>
      </c>
      <c r="AL33" s="37">
        <f t="shared" si="9"/>
        <v>0</v>
      </c>
      <c r="AM33" s="37">
        <f t="shared" si="10"/>
        <v>0</v>
      </c>
      <c r="AN33" s="37">
        <f t="shared" si="11"/>
        <v>0</v>
      </c>
      <c r="AO33" s="37">
        <f t="shared" si="12"/>
        <v>0</v>
      </c>
    </row>
    <row r="34" spans="1:41" ht="26.25">
      <c r="A34" s="14" t="s">
        <v>62</v>
      </c>
      <c r="B34" s="7" t="s">
        <v>63</v>
      </c>
      <c r="C34" s="3">
        <v>5408150</v>
      </c>
      <c r="D34" s="3">
        <v>5486183</v>
      </c>
      <c r="E34" s="3">
        <v>4757173</v>
      </c>
      <c r="F34" s="3">
        <v>4849747</v>
      </c>
      <c r="G34" s="3">
        <v>650977</v>
      </c>
      <c r="H34" s="3">
        <v>636436</v>
      </c>
      <c r="I34" s="3">
        <v>2715646</v>
      </c>
      <c r="J34" s="3">
        <v>2624365</v>
      </c>
      <c r="K34" s="3">
        <v>1758390</v>
      </c>
      <c r="L34" s="3">
        <v>1544295</v>
      </c>
      <c r="M34" s="3">
        <v>934114</v>
      </c>
      <c r="N34" s="3">
        <v>1317523</v>
      </c>
      <c r="O34" s="3">
        <v>5486183</v>
      </c>
      <c r="P34" s="2">
        <v>100</v>
      </c>
      <c r="R34" s="35">
        <v>5408150</v>
      </c>
      <c r="S34" s="36">
        <v>5486183</v>
      </c>
      <c r="T34" s="36">
        <v>4757173</v>
      </c>
      <c r="U34" s="36">
        <v>4849747</v>
      </c>
      <c r="V34" s="36">
        <v>650977</v>
      </c>
      <c r="W34" s="36">
        <v>636436</v>
      </c>
      <c r="X34" s="35">
        <v>2715646</v>
      </c>
      <c r="Y34" s="36">
        <v>2624365</v>
      </c>
      <c r="Z34" s="36">
        <v>1758390</v>
      </c>
      <c r="AA34" s="36">
        <v>1544295</v>
      </c>
      <c r="AB34" s="36">
        <v>934114</v>
      </c>
      <c r="AC34" s="36">
        <v>1317523</v>
      </c>
      <c r="AD34" s="37">
        <f t="shared" si="1"/>
        <v>0</v>
      </c>
      <c r="AE34" s="37">
        <f t="shared" si="2"/>
        <v>0</v>
      </c>
      <c r="AF34" s="37">
        <f t="shared" si="3"/>
        <v>0</v>
      </c>
      <c r="AG34" s="37">
        <f t="shared" si="4"/>
        <v>0</v>
      </c>
      <c r="AH34" s="37">
        <f t="shared" si="5"/>
        <v>0</v>
      </c>
      <c r="AI34" s="37">
        <f t="shared" si="6"/>
        <v>0</v>
      </c>
      <c r="AJ34" s="37">
        <f t="shared" si="7"/>
        <v>0</v>
      </c>
      <c r="AK34" s="37">
        <f t="shared" si="8"/>
        <v>0</v>
      </c>
      <c r="AL34" s="37">
        <f t="shared" si="9"/>
        <v>0</v>
      </c>
      <c r="AM34" s="37">
        <f t="shared" si="10"/>
        <v>0</v>
      </c>
      <c r="AN34" s="37">
        <f t="shared" si="11"/>
        <v>0</v>
      </c>
      <c r="AO34" s="37">
        <f t="shared" si="12"/>
        <v>0</v>
      </c>
    </row>
    <row r="35" spans="1:41" ht="26.25">
      <c r="A35" s="14" t="s">
        <v>64</v>
      </c>
      <c r="B35" s="7" t="s">
        <v>65</v>
      </c>
      <c r="C35" s="3">
        <v>5407285</v>
      </c>
      <c r="D35" s="3">
        <v>8062253</v>
      </c>
      <c r="E35" s="3">
        <v>4200304</v>
      </c>
      <c r="F35" s="3">
        <v>6541046</v>
      </c>
      <c r="G35" s="3">
        <v>1206981</v>
      </c>
      <c r="H35" s="3">
        <v>1521207</v>
      </c>
      <c r="I35" s="3">
        <v>3024607</v>
      </c>
      <c r="J35" s="3">
        <v>3229096</v>
      </c>
      <c r="K35" s="3">
        <v>1793089</v>
      </c>
      <c r="L35" s="3">
        <v>3985003</v>
      </c>
      <c r="M35" s="3">
        <v>589589</v>
      </c>
      <c r="N35" s="3">
        <v>848154</v>
      </c>
      <c r="O35" s="3" t="s">
        <v>34</v>
      </c>
      <c r="P35" s="2" t="s">
        <v>34</v>
      </c>
      <c r="R35" s="35">
        <v>5407285</v>
      </c>
      <c r="S35" s="36">
        <v>8062253</v>
      </c>
      <c r="T35" s="36">
        <v>4200304</v>
      </c>
      <c r="U35" s="36">
        <v>6541046</v>
      </c>
      <c r="V35" s="36">
        <v>1206981</v>
      </c>
      <c r="W35" s="36">
        <v>1521207</v>
      </c>
      <c r="X35" s="35">
        <v>3024607</v>
      </c>
      <c r="Y35" s="36">
        <v>3229096</v>
      </c>
      <c r="Z35" s="36">
        <v>1793089</v>
      </c>
      <c r="AA35" s="36">
        <v>3985003</v>
      </c>
      <c r="AB35" s="36">
        <v>589589</v>
      </c>
      <c r="AC35" s="36">
        <v>848154</v>
      </c>
      <c r="AD35" s="37">
        <f t="shared" si="1"/>
        <v>0</v>
      </c>
      <c r="AE35" s="37">
        <f t="shared" si="2"/>
        <v>0</v>
      </c>
      <c r="AF35" s="37">
        <f t="shared" si="3"/>
        <v>0</v>
      </c>
      <c r="AG35" s="37">
        <f t="shared" si="4"/>
        <v>0</v>
      </c>
      <c r="AH35" s="37">
        <f t="shared" si="5"/>
        <v>0</v>
      </c>
      <c r="AI35" s="37">
        <f t="shared" si="6"/>
        <v>0</v>
      </c>
      <c r="AJ35" s="37">
        <f t="shared" si="7"/>
        <v>0</v>
      </c>
      <c r="AK35" s="37">
        <f t="shared" si="8"/>
        <v>0</v>
      </c>
      <c r="AL35" s="37">
        <f t="shared" si="9"/>
        <v>0</v>
      </c>
      <c r="AM35" s="37">
        <f t="shared" si="10"/>
        <v>0</v>
      </c>
      <c r="AN35" s="37">
        <f t="shared" si="11"/>
        <v>0</v>
      </c>
      <c r="AO35" s="37">
        <f t="shared" si="12"/>
        <v>0</v>
      </c>
    </row>
    <row r="36" spans="1:41" ht="39">
      <c r="A36" s="14" t="s">
        <v>66</v>
      </c>
      <c r="B36" s="7" t="s">
        <v>67</v>
      </c>
      <c r="C36" s="3">
        <v>29187340</v>
      </c>
      <c r="D36" s="3">
        <v>35033102</v>
      </c>
      <c r="E36" s="3">
        <v>23297337</v>
      </c>
      <c r="F36" s="3">
        <v>30559149</v>
      </c>
      <c r="G36" s="3">
        <v>5890003</v>
      </c>
      <c r="H36" s="3">
        <v>4473953</v>
      </c>
      <c r="I36" s="3">
        <v>12771389</v>
      </c>
      <c r="J36" s="3">
        <v>12721557</v>
      </c>
      <c r="K36" s="3">
        <v>15036345</v>
      </c>
      <c r="L36" s="3">
        <v>19990198</v>
      </c>
      <c r="M36" s="3">
        <v>1379606</v>
      </c>
      <c r="N36" s="3">
        <v>2321347</v>
      </c>
      <c r="O36" s="3">
        <v>2643682</v>
      </c>
      <c r="P36" s="2">
        <v>7.5</v>
      </c>
      <c r="R36" s="35">
        <v>29187340</v>
      </c>
      <c r="S36" s="36">
        <v>35033102</v>
      </c>
      <c r="T36" s="36">
        <v>23297337</v>
      </c>
      <c r="U36" s="36">
        <v>30559149</v>
      </c>
      <c r="V36" s="36">
        <v>5890003</v>
      </c>
      <c r="W36" s="36">
        <v>4473953</v>
      </c>
      <c r="X36" s="35">
        <v>12771389</v>
      </c>
      <c r="Y36" s="36">
        <v>12721557</v>
      </c>
      <c r="Z36" s="36">
        <v>15036345</v>
      </c>
      <c r="AA36" s="36">
        <v>19990198</v>
      </c>
      <c r="AB36" s="36">
        <v>1379606</v>
      </c>
      <c r="AC36" s="36">
        <v>2321347</v>
      </c>
      <c r="AD36" s="37">
        <f t="shared" si="1"/>
        <v>0</v>
      </c>
      <c r="AE36" s="37">
        <f t="shared" si="2"/>
        <v>0</v>
      </c>
      <c r="AF36" s="37">
        <f t="shared" si="3"/>
        <v>0</v>
      </c>
      <c r="AG36" s="37">
        <f t="shared" si="4"/>
        <v>0</v>
      </c>
      <c r="AH36" s="37">
        <f t="shared" si="5"/>
        <v>0</v>
      </c>
      <c r="AI36" s="37">
        <f t="shared" si="6"/>
        <v>0</v>
      </c>
      <c r="AJ36" s="37">
        <f t="shared" si="7"/>
        <v>0</v>
      </c>
      <c r="AK36" s="37">
        <f t="shared" si="8"/>
        <v>0</v>
      </c>
      <c r="AL36" s="37">
        <f t="shared" si="9"/>
        <v>0</v>
      </c>
      <c r="AM36" s="37">
        <f t="shared" si="10"/>
        <v>0</v>
      </c>
      <c r="AN36" s="37">
        <f t="shared" si="11"/>
        <v>0</v>
      </c>
      <c r="AO36" s="37">
        <f t="shared" si="12"/>
        <v>0</v>
      </c>
    </row>
    <row r="37" spans="1:41" s="21" customFormat="1" ht="52.5" thickBot="1">
      <c r="A37" s="17" t="s">
        <v>127</v>
      </c>
      <c r="B37" s="18" t="s">
        <v>68</v>
      </c>
      <c r="C37" s="19">
        <v>6274404</v>
      </c>
      <c r="D37" s="19">
        <v>6874175</v>
      </c>
      <c r="E37" s="19">
        <v>5309346</v>
      </c>
      <c r="F37" s="19">
        <v>5711050</v>
      </c>
      <c r="G37" s="19">
        <v>965058</v>
      </c>
      <c r="H37" s="19">
        <v>1163125</v>
      </c>
      <c r="I37" s="19">
        <v>1602981</v>
      </c>
      <c r="J37" s="19">
        <v>1540339</v>
      </c>
      <c r="K37" s="19">
        <v>4082901</v>
      </c>
      <c r="L37" s="19">
        <v>4842569</v>
      </c>
      <c r="M37" s="19">
        <v>588522</v>
      </c>
      <c r="N37" s="19">
        <v>491267</v>
      </c>
      <c r="O37" s="19">
        <v>6817616</v>
      </c>
      <c r="P37" s="20">
        <v>99.2</v>
      </c>
      <c r="R37" s="35">
        <v>6274404</v>
      </c>
      <c r="S37" s="36">
        <v>6874175</v>
      </c>
      <c r="T37" s="36">
        <v>5309346</v>
      </c>
      <c r="U37" s="36">
        <v>5711050</v>
      </c>
      <c r="V37" s="36">
        <v>965058</v>
      </c>
      <c r="W37" s="36">
        <v>1163125</v>
      </c>
      <c r="X37" s="35">
        <v>1602981</v>
      </c>
      <c r="Y37" s="36">
        <v>1540339</v>
      </c>
      <c r="Z37" s="36">
        <v>4082901</v>
      </c>
      <c r="AA37" s="36">
        <v>4842569</v>
      </c>
      <c r="AB37" s="36">
        <v>588522</v>
      </c>
      <c r="AC37" s="36">
        <v>491267</v>
      </c>
      <c r="AD37" s="37">
        <f t="shared" si="1"/>
        <v>0</v>
      </c>
      <c r="AE37" s="37">
        <f t="shared" si="2"/>
        <v>0</v>
      </c>
      <c r="AF37" s="37">
        <f t="shared" si="3"/>
        <v>0</v>
      </c>
      <c r="AG37" s="37">
        <f t="shared" si="4"/>
        <v>0</v>
      </c>
      <c r="AH37" s="37">
        <f t="shared" si="5"/>
        <v>0</v>
      </c>
      <c r="AI37" s="37">
        <f t="shared" si="6"/>
        <v>0</v>
      </c>
      <c r="AJ37" s="37">
        <f t="shared" si="7"/>
        <v>0</v>
      </c>
      <c r="AK37" s="37">
        <f t="shared" si="8"/>
        <v>0</v>
      </c>
      <c r="AL37" s="37">
        <f t="shared" si="9"/>
        <v>0</v>
      </c>
      <c r="AM37" s="37">
        <f t="shared" si="10"/>
        <v>0</v>
      </c>
      <c r="AN37" s="37">
        <f t="shared" si="11"/>
        <v>0</v>
      </c>
      <c r="AO37" s="37">
        <f t="shared" si="12"/>
        <v>0</v>
      </c>
    </row>
    <row r="38" spans="1:41" ht="39">
      <c r="A38" s="14" t="s">
        <v>69</v>
      </c>
      <c r="B38" s="7" t="s">
        <v>70</v>
      </c>
      <c r="C38" s="3">
        <v>6267678</v>
      </c>
      <c r="D38" s="3">
        <v>6867535</v>
      </c>
      <c r="E38" s="3">
        <v>5309261</v>
      </c>
      <c r="F38" s="3">
        <v>5711000</v>
      </c>
      <c r="G38" s="3">
        <v>958417</v>
      </c>
      <c r="H38" s="3">
        <v>1156535</v>
      </c>
      <c r="I38" s="3">
        <v>1604714</v>
      </c>
      <c r="J38" s="3">
        <v>1542366</v>
      </c>
      <c r="K38" s="3">
        <v>4082901</v>
      </c>
      <c r="L38" s="3">
        <v>4842569</v>
      </c>
      <c r="M38" s="3">
        <v>580063</v>
      </c>
      <c r="N38" s="3">
        <v>482600</v>
      </c>
      <c r="O38" s="3">
        <v>6817616</v>
      </c>
      <c r="P38" s="2">
        <v>99.3</v>
      </c>
      <c r="R38" s="33">
        <v>6267678</v>
      </c>
      <c r="S38" s="34">
        <v>6867535</v>
      </c>
      <c r="T38" s="34">
        <v>5309261</v>
      </c>
      <c r="U38" s="34">
        <v>5711000</v>
      </c>
      <c r="V38" s="34">
        <v>958417</v>
      </c>
      <c r="W38" s="34">
        <v>1156535</v>
      </c>
      <c r="X38" s="33">
        <v>1604714</v>
      </c>
      <c r="Y38" s="34">
        <v>1542366</v>
      </c>
      <c r="Z38" s="34">
        <v>4082901</v>
      </c>
      <c r="AA38" s="34">
        <v>4842569</v>
      </c>
      <c r="AB38" s="34">
        <v>580063</v>
      </c>
      <c r="AC38" s="34">
        <v>482600</v>
      </c>
      <c r="AD38" s="37">
        <f t="shared" si="1"/>
        <v>0</v>
      </c>
      <c r="AE38" s="37">
        <f t="shared" si="2"/>
        <v>0</v>
      </c>
      <c r="AF38" s="37">
        <f t="shared" si="3"/>
        <v>0</v>
      </c>
      <c r="AG38" s="37">
        <f t="shared" si="4"/>
        <v>0</v>
      </c>
      <c r="AH38" s="37">
        <f t="shared" si="5"/>
        <v>0</v>
      </c>
      <c r="AI38" s="37">
        <f t="shared" si="6"/>
        <v>0</v>
      </c>
      <c r="AJ38" s="37">
        <f t="shared" si="7"/>
        <v>0</v>
      </c>
      <c r="AK38" s="37">
        <f t="shared" si="8"/>
        <v>0</v>
      </c>
      <c r="AL38" s="37">
        <f t="shared" si="9"/>
        <v>0</v>
      </c>
      <c r="AM38" s="37">
        <f t="shared" si="10"/>
        <v>0</v>
      </c>
      <c r="AN38" s="37">
        <f t="shared" si="11"/>
        <v>0</v>
      </c>
      <c r="AO38" s="37">
        <f t="shared" si="12"/>
        <v>0</v>
      </c>
    </row>
    <row r="39" spans="1:41" ht="39">
      <c r="A39" s="14" t="s">
        <v>71</v>
      </c>
      <c r="B39" s="7" t="s">
        <v>72</v>
      </c>
      <c r="C39" s="3">
        <v>6726</v>
      </c>
      <c r="D39" s="3">
        <v>6640</v>
      </c>
      <c r="E39" s="3">
        <v>85</v>
      </c>
      <c r="F39" s="3">
        <v>50</v>
      </c>
      <c r="G39" s="3">
        <v>6641</v>
      </c>
      <c r="H39" s="3">
        <v>6590</v>
      </c>
      <c r="I39" s="3">
        <v>-1733</v>
      </c>
      <c r="J39" s="3">
        <v>-2027</v>
      </c>
      <c r="K39" s="3" t="s">
        <v>34</v>
      </c>
      <c r="L39" s="3" t="s">
        <v>34</v>
      </c>
      <c r="M39" s="3">
        <v>8459</v>
      </c>
      <c r="N39" s="3">
        <v>8667</v>
      </c>
      <c r="O39" s="3" t="s">
        <v>34</v>
      </c>
      <c r="P39" s="2" t="s">
        <v>34</v>
      </c>
      <c r="R39" s="35">
        <v>6726</v>
      </c>
      <c r="S39" s="36">
        <v>6640</v>
      </c>
      <c r="T39" s="36">
        <v>85</v>
      </c>
      <c r="U39" s="36">
        <v>50</v>
      </c>
      <c r="V39" s="36">
        <v>6641</v>
      </c>
      <c r="W39" s="36">
        <v>6590</v>
      </c>
      <c r="X39" s="35">
        <v>-1733</v>
      </c>
      <c r="Y39" s="36">
        <v>-2027</v>
      </c>
      <c r="Z39" s="36" t="s">
        <v>34</v>
      </c>
      <c r="AA39" s="36" t="s">
        <v>34</v>
      </c>
      <c r="AB39" s="36">
        <v>8459</v>
      </c>
      <c r="AC39" s="36">
        <v>8667</v>
      </c>
      <c r="AD39" s="37">
        <f t="shared" si="1"/>
        <v>0</v>
      </c>
      <c r="AE39" s="37">
        <f t="shared" si="2"/>
        <v>0</v>
      </c>
      <c r="AF39" s="37">
        <f t="shared" si="3"/>
        <v>0</v>
      </c>
      <c r="AG39" s="37">
        <f t="shared" si="4"/>
        <v>0</v>
      </c>
      <c r="AH39" s="37">
        <f t="shared" si="5"/>
        <v>0</v>
      </c>
      <c r="AI39" s="37">
        <f t="shared" si="6"/>
        <v>0</v>
      </c>
      <c r="AJ39" s="37">
        <f t="shared" si="7"/>
        <v>0</v>
      </c>
      <c r="AK39" s="37">
        <f t="shared" si="8"/>
        <v>0</v>
      </c>
      <c r="AL39" s="37" t="e">
        <f t="shared" si="9"/>
        <v>#VALUE!</v>
      </c>
      <c r="AM39" s="37" t="e">
        <f t="shared" si="10"/>
        <v>#VALUE!</v>
      </c>
      <c r="AN39" s="37">
        <f t="shared" si="11"/>
        <v>0</v>
      </c>
      <c r="AO39" s="37">
        <f t="shared" si="12"/>
        <v>0</v>
      </c>
    </row>
    <row r="40" spans="1:41" s="21" customFormat="1" ht="39">
      <c r="A40" s="17" t="s">
        <v>128</v>
      </c>
      <c r="B40" s="18" t="s">
        <v>73</v>
      </c>
      <c r="C40" s="19">
        <v>781</v>
      </c>
      <c r="D40" s="19">
        <v>1378</v>
      </c>
      <c r="E40" s="19" t="s">
        <v>34</v>
      </c>
      <c r="F40" s="19" t="s">
        <v>34</v>
      </c>
      <c r="G40" s="19">
        <v>781</v>
      </c>
      <c r="H40" s="19">
        <v>1378</v>
      </c>
      <c r="I40" s="19">
        <v>146</v>
      </c>
      <c r="J40" s="19">
        <v>114</v>
      </c>
      <c r="K40" s="19" t="s">
        <v>34</v>
      </c>
      <c r="L40" s="19" t="s">
        <v>34</v>
      </c>
      <c r="M40" s="19">
        <v>635</v>
      </c>
      <c r="N40" s="19">
        <v>1264</v>
      </c>
      <c r="O40" s="19" t="s">
        <v>34</v>
      </c>
      <c r="P40" s="20" t="s">
        <v>34</v>
      </c>
      <c r="R40" s="35">
        <v>781</v>
      </c>
      <c r="S40" s="36">
        <v>1378</v>
      </c>
      <c r="T40" s="36" t="s">
        <v>34</v>
      </c>
      <c r="U40" s="36" t="s">
        <v>34</v>
      </c>
      <c r="V40" s="36">
        <v>781</v>
      </c>
      <c r="W40" s="36">
        <v>1378</v>
      </c>
      <c r="X40" s="35">
        <v>146</v>
      </c>
      <c r="Y40" s="36">
        <v>114</v>
      </c>
      <c r="Z40" s="36" t="s">
        <v>34</v>
      </c>
      <c r="AA40" s="36" t="s">
        <v>34</v>
      </c>
      <c r="AB40" s="36">
        <v>635</v>
      </c>
      <c r="AC40" s="36">
        <v>1264</v>
      </c>
      <c r="AD40" s="37">
        <f t="shared" si="1"/>
        <v>0</v>
      </c>
      <c r="AE40" s="37">
        <f t="shared" si="2"/>
        <v>0</v>
      </c>
      <c r="AF40" s="37" t="e">
        <f t="shared" si="3"/>
        <v>#VALUE!</v>
      </c>
      <c r="AG40" s="37" t="e">
        <f t="shared" si="4"/>
        <v>#VALUE!</v>
      </c>
      <c r="AH40" s="37">
        <f t="shared" si="5"/>
        <v>0</v>
      </c>
      <c r="AI40" s="37">
        <f t="shared" si="6"/>
        <v>0</v>
      </c>
      <c r="AJ40" s="37">
        <f t="shared" si="7"/>
        <v>0</v>
      </c>
      <c r="AK40" s="37">
        <f t="shared" si="8"/>
        <v>0</v>
      </c>
      <c r="AL40" s="37" t="e">
        <f t="shared" si="9"/>
        <v>#VALUE!</v>
      </c>
      <c r="AM40" s="37" t="e">
        <f t="shared" si="10"/>
        <v>#VALUE!</v>
      </c>
      <c r="AN40" s="37">
        <f t="shared" si="11"/>
        <v>0</v>
      </c>
      <c r="AO40" s="37">
        <f t="shared" si="12"/>
        <v>0</v>
      </c>
    </row>
    <row r="41" spans="1:41" ht="26.25">
      <c r="A41" s="14" t="s">
        <v>74</v>
      </c>
      <c r="B41" s="7" t="s">
        <v>75</v>
      </c>
      <c r="C41" s="3">
        <v>781</v>
      </c>
      <c r="D41" s="3">
        <v>1378</v>
      </c>
      <c r="E41" s="3" t="s">
        <v>34</v>
      </c>
      <c r="F41" s="3" t="s">
        <v>34</v>
      </c>
      <c r="G41" s="3">
        <v>781</v>
      </c>
      <c r="H41" s="3">
        <v>1378</v>
      </c>
      <c r="I41" s="3">
        <v>146</v>
      </c>
      <c r="J41" s="3">
        <v>114</v>
      </c>
      <c r="K41" s="3" t="s">
        <v>34</v>
      </c>
      <c r="L41" s="3" t="s">
        <v>34</v>
      </c>
      <c r="M41" s="3">
        <v>635</v>
      </c>
      <c r="N41" s="3">
        <v>1264</v>
      </c>
      <c r="O41" s="3" t="s">
        <v>34</v>
      </c>
      <c r="P41" s="2" t="s">
        <v>34</v>
      </c>
      <c r="R41" s="35">
        <v>781</v>
      </c>
      <c r="S41" s="36">
        <v>1378</v>
      </c>
      <c r="T41" s="36" t="s">
        <v>34</v>
      </c>
      <c r="U41" s="36" t="s">
        <v>34</v>
      </c>
      <c r="V41" s="36">
        <v>781</v>
      </c>
      <c r="W41" s="36">
        <v>1378</v>
      </c>
      <c r="X41" s="35">
        <v>146</v>
      </c>
      <c r="Y41" s="36">
        <v>114</v>
      </c>
      <c r="Z41" s="36" t="s">
        <v>34</v>
      </c>
      <c r="AA41" s="36" t="s">
        <v>34</v>
      </c>
      <c r="AB41" s="36">
        <v>635</v>
      </c>
      <c r="AC41" s="36">
        <v>1264</v>
      </c>
      <c r="AD41" s="37">
        <f t="shared" si="1"/>
        <v>0</v>
      </c>
      <c r="AE41" s="37">
        <f t="shared" si="2"/>
        <v>0</v>
      </c>
      <c r="AF41" s="37" t="e">
        <f t="shared" si="3"/>
        <v>#VALUE!</v>
      </c>
      <c r="AG41" s="37" t="e">
        <f t="shared" si="4"/>
        <v>#VALUE!</v>
      </c>
      <c r="AH41" s="37">
        <f t="shared" si="5"/>
        <v>0</v>
      </c>
      <c r="AI41" s="37">
        <f t="shared" si="6"/>
        <v>0</v>
      </c>
      <c r="AJ41" s="37">
        <f t="shared" si="7"/>
        <v>0</v>
      </c>
      <c r="AK41" s="37">
        <f t="shared" si="8"/>
        <v>0</v>
      </c>
      <c r="AL41" s="37" t="e">
        <f t="shared" si="9"/>
        <v>#VALUE!</v>
      </c>
      <c r="AM41" s="37" t="e">
        <f t="shared" si="10"/>
        <v>#VALUE!</v>
      </c>
      <c r="AN41" s="37">
        <f t="shared" si="11"/>
        <v>0</v>
      </c>
      <c r="AO41" s="37">
        <f t="shared" si="12"/>
        <v>0</v>
      </c>
    </row>
    <row r="42" spans="1:41" s="21" customFormat="1" ht="39">
      <c r="A42" s="17" t="s">
        <v>129</v>
      </c>
      <c r="B42" s="18" t="s">
        <v>76</v>
      </c>
      <c r="C42" s="19">
        <v>7468979</v>
      </c>
      <c r="D42" s="19">
        <v>113313321</v>
      </c>
      <c r="E42" s="19">
        <v>5081652</v>
      </c>
      <c r="F42" s="19">
        <v>12991318</v>
      </c>
      <c r="G42" s="19">
        <v>2387327</v>
      </c>
      <c r="H42" s="19">
        <v>100322003</v>
      </c>
      <c r="I42" s="19">
        <v>5035583</v>
      </c>
      <c r="J42" s="19">
        <v>6285301</v>
      </c>
      <c r="K42" s="19">
        <v>2349684</v>
      </c>
      <c r="L42" s="19">
        <v>106695836</v>
      </c>
      <c r="M42" s="19">
        <v>83712</v>
      </c>
      <c r="N42" s="19">
        <v>332184</v>
      </c>
      <c r="O42" s="19">
        <v>112445650</v>
      </c>
      <c r="P42" s="20">
        <v>99.2</v>
      </c>
      <c r="R42" s="35">
        <v>7468979</v>
      </c>
      <c r="S42" s="36">
        <v>113313321</v>
      </c>
      <c r="T42" s="36">
        <v>5081652</v>
      </c>
      <c r="U42" s="36">
        <v>12991318</v>
      </c>
      <c r="V42" s="36">
        <v>2387327</v>
      </c>
      <c r="W42" s="36">
        <v>100322003</v>
      </c>
      <c r="X42" s="35">
        <v>5035583</v>
      </c>
      <c r="Y42" s="36">
        <v>6285301</v>
      </c>
      <c r="Z42" s="36">
        <v>2349684</v>
      </c>
      <c r="AA42" s="36">
        <v>106695836</v>
      </c>
      <c r="AB42" s="36">
        <v>83712</v>
      </c>
      <c r="AC42" s="36">
        <v>332184</v>
      </c>
      <c r="AD42" s="37">
        <f t="shared" si="1"/>
        <v>0</v>
      </c>
      <c r="AE42" s="37">
        <f t="shared" si="2"/>
        <v>0</v>
      </c>
      <c r="AF42" s="37">
        <f t="shared" si="3"/>
        <v>0</v>
      </c>
      <c r="AG42" s="37">
        <f t="shared" si="4"/>
        <v>0</v>
      </c>
      <c r="AH42" s="37">
        <f t="shared" si="5"/>
        <v>0</v>
      </c>
      <c r="AI42" s="37">
        <f t="shared" si="6"/>
        <v>0</v>
      </c>
      <c r="AJ42" s="37">
        <f t="shared" si="7"/>
        <v>0</v>
      </c>
      <c r="AK42" s="37">
        <f t="shared" si="8"/>
        <v>0</v>
      </c>
      <c r="AL42" s="37">
        <f t="shared" si="9"/>
        <v>0</v>
      </c>
      <c r="AM42" s="37">
        <f t="shared" si="10"/>
        <v>0</v>
      </c>
      <c r="AN42" s="37">
        <f t="shared" si="11"/>
        <v>0</v>
      </c>
      <c r="AO42" s="37">
        <f t="shared" si="12"/>
        <v>0</v>
      </c>
    </row>
    <row r="43" spans="1:41" ht="64.5">
      <c r="A43" s="14" t="s">
        <v>77</v>
      </c>
      <c r="B43" s="7" t="s">
        <v>78</v>
      </c>
      <c r="C43" s="3">
        <v>7468979</v>
      </c>
      <c r="D43" s="3">
        <v>113313321</v>
      </c>
      <c r="E43" s="3">
        <v>5081652</v>
      </c>
      <c r="F43" s="3">
        <v>12991318</v>
      </c>
      <c r="G43" s="3">
        <v>2387327</v>
      </c>
      <c r="H43" s="3">
        <v>100322003</v>
      </c>
      <c r="I43" s="3">
        <v>5035583</v>
      </c>
      <c r="J43" s="3">
        <v>6285301</v>
      </c>
      <c r="K43" s="3">
        <v>2349684</v>
      </c>
      <c r="L43" s="3">
        <v>106695836</v>
      </c>
      <c r="M43" s="3">
        <v>83712</v>
      </c>
      <c r="N43" s="3">
        <v>332184</v>
      </c>
      <c r="O43" s="3">
        <v>112445650</v>
      </c>
      <c r="P43" s="2">
        <v>99.2</v>
      </c>
      <c r="R43" s="35">
        <v>7468979</v>
      </c>
      <c r="S43" s="36">
        <v>113313321</v>
      </c>
      <c r="T43" s="36">
        <v>5081652</v>
      </c>
      <c r="U43" s="36">
        <v>12991318</v>
      </c>
      <c r="V43" s="36">
        <v>2387327</v>
      </c>
      <c r="W43" s="36">
        <v>100322003</v>
      </c>
      <c r="X43" s="35">
        <v>5035583</v>
      </c>
      <c r="Y43" s="36">
        <v>6285301</v>
      </c>
      <c r="Z43" s="36">
        <v>2349684</v>
      </c>
      <c r="AA43" s="36">
        <v>106695836</v>
      </c>
      <c r="AB43" s="36">
        <v>83712</v>
      </c>
      <c r="AC43" s="36">
        <v>332184</v>
      </c>
      <c r="AD43" s="37">
        <f t="shared" si="1"/>
        <v>0</v>
      </c>
      <c r="AE43" s="37">
        <f t="shared" si="2"/>
        <v>0</v>
      </c>
      <c r="AF43" s="37">
        <f t="shared" si="3"/>
        <v>0</v>
      </c>
      <c r="AG43" s="37">
        <f t="shared" si="4"/>
        <v>0</v>
      </c>
      <c r="AH43" s="37">
        <f t="shared" si="5"/>
        <v>0</v>
      </c>
      <c r="AI43" s="37">
        <f t="shared" si="6"/>
        <v>0</v>
      </c>
      <c r="AJ43" s="37">
        <f t="shared" si="7"/>
        <v>0</v>
      </c>
      <c r="AK43" s="37">
        <f t="shared" si="8"/>
        <v>0</v>
      </c>
      <c r="AL43" s="37">
        <f t="shared" si="9"/>
        <v>0</v>
      </c>
      <c r="AM43" s="37">
        <f t="shared" si="10"/>
        <v>0</v>
      </c>
      <c r="AN43" s="37">
        <f t="shared" si="11"/>
        <v>0</v>
      </c>
      <c r="AO43" s="37">
        <f t="shared" si="12"/>
        <v>0</v>
      </c>
    </row>
    <row r="44" spans="1:41" s="21" customFormat="1" ht="51.75">
      <c r="A44" s="17" t="s">
        <v>130</v>
      </c>
      <c r="B44" s="18" t="s">
        <v>79</v>
      </c>
      <c r="C44" s="19">
        <v>9103309</v>
      </c>
      <c r="D44" s="19">
        <v>11024128</v>
      </c>
      <c r="E44" s="19">
        <v>7002506</v>
      </c>
      <c r="F44" s="19">
        <v>8137115</v>
      </c>
      <c r="G44" s="19">
        <v>2100803</v>
      </c>
      <c r="H44" s="19">
        <v>2887013</v>
      </c>
      <c r="I44" s="19">
        <v>5754147</v>
      </c>
      <c r="J44" s="19">
        <v>6842813</v>
      </c>
      <c r="K44" s="19">
        <v>694981</v>
      </c>
      <c r="L44" s="19">
        <v>1286285</v>
      </c>
      <c r="M44" s="19">
        <v>2654181</v>
      </c>
      <c r="N44" s="19">
        <v>2895030</v>
      </c>
      <c r="O44" s="19">
        <v>5149479</v>
      </c>
      <c r="P44" s="20">
        <v>46.7</v>
      </c>
      <c r="R44" s="35">
        <v>9103309</v>
      </c>
      <c r="S44" s="36">
        <v>11024128</v>
      </c>
      <c r="T44" s="36">
        <v>7002506</v>
      </c>
      <c r="U44" s="36">
        <v>8137115</v>
      </c>
      <c r="V44" s="36">
        <v>2100803</v>
      </c>
      <c r="W44" s="36">
        <v>2887013</v>
      </c>
      <c r="X44" s="35">
        <v>5754147</v>
      </c>
      <c r="Y44" s="36">
        <v>6842813</v>
      </c>
      <c r="Z44" s="36">
        <v>694981</v>
      </c>
      <c r="AA44" s="36">
        <v>1286285</v>
      </c>
      <c r="AB44" s="36">
        <v>2654181</v>
      </c>
      <c r="AC44" s="36">
        <v>2895030</v>
      </c>
      <c r="AD44" s="37">
        <f t="shared" si="1"/>
        <v>0</v>
      </c>
      <c r="AE44" s="37">
        <f t="shared" si="2"/>
        <v>0</v>
      </c>
      <c r="AF44" s="37">
        <f t="shared" si="3"/>
        <v>0</v>
      </c>
      <c r="AG44" s="37">
        <f t="shared" si="4"/>
        <v>0</v>
      </c>
      <c r="AH44" s="37">
        <f t="shared" si="5"/>
        <v>0</v>
      </c>
      <c r="AI44" s="37">
        <f t="shared" si="6"/>
        <v>0</v>
      </c>
      <c r="AJ44" s="37">
        <f t="shared" si="7"/>
        <v>0</v>
      </c>
      <c r="AK44" s="37">
        <f t="shared" si="8"/>
        <v>0</v>
      </c>
      <c r="AL44" s="37">
        <f t="shared" si="9"/>
        <v>0</v>
      </c>
      <c r="AM44" s="37">
        <f t="shared" si="10"/>
        <v>0</v>
      </c>
      <c r="AN44" s="37">
        <f t="shared" si="11"/>
        <v>0</v>
      </c>
      <c r="AO44" s="37">
        <f t="shared" si="12"/>
        <v>0</v>
      </c>
    </row>
    <row r="45" spans="1:41" ht="26.25">
      <c r="A45" s="14" t="s">
        <v>80</v>
      </c>
      <c r="B45" s="7" t="s">
        <v>81</v>
      </c>
      <c r="C45" s="3">
        <v>9103309</v>
      </c>
      <c r="D45" s="3">
        <v>11024128</v>
      </c>
      <c r="E45" s="3">
        <v>7002506</v>
      </c>
      <c r="F45" s="3">
        <v>8137115</v>
      </c>
      <c r="G45" s="3">
        <v>2100803</v>
      </c>
      <c r="H45" s="3">
        <v>2887013</v>
      </c>
      <c r="I45" s="3">
        <v>5754147</v>
      </c>
      <c r="J45" s="3">
        <v>6842813</v>
      </c>
      <c r="K45" s="3">
        <v>694981</v>
      </c>
      <c r="L45" s="3">
        <v>1286285</v>
      </c>
      <c r="M45" s="3">
        <v>2654181</v>
      </c>
      <c r="N45" s="3">
        <v>2895030</v>
      </c>
      <c r="O45" s="3">
        <v>5149479</v>
      </c>
      <c r="P45" s="2">
        <v>46.7</v>
      </c>
      <c r="R45" s="35">
        <v>9103309</v>
      </c>
      <c r="S45" s="36">
        <v>11024128</v>
      </c>
      <c r="T45" s="36">
        <v>7002506</v>
      </c>
      <c r="U45" s="36">
        <v>8137115</v>
      </c>
      <c r="V45" s="36">
        <v>2100803</v>
      </c>
      <c r="W45" s="36">
        <v>2887013</v>
      </c>
      <c r="X45" s="35">
        <v>5754147</v>
      </c>
      <c r="Y45" s="36">
        <v>6842813</v>
      </c>
      <c r="Z45" s="36">
        <v>694981</v>
      </c>
      <c r="AA45" s="36">
        <v>1286285</v>
      </c>
      <c r="AB45" s="36">
        <v>2654181</v>
      </c>
      <c r="AC45" s="36">
        <v>2895030</v>
      </c>
      <c r="AD45" s="37">
        <f t="shared" si="1"/>
        <v>0</v>
      </c>
      <c r="AE45" s="37">
        <f t="shared" si="2"/>
        <v>0</v>
      </c>
      <c r="AF45" s="37">
        <f t="shared" si="3"/>
        <v>0</v>
      </c>
      <c r="AG45" s="37">
        <f t="shared" si="4"/>
        <v>0</v>
      </c>
      <c r="AH45" s="37">
        <f t="shared" si="5"/>
        <v>0</v>
      </c>
      <c r="AI45" s="37">
        <f t="shared" si="6"/>
        <v>0</v>
      </c>
      <c r="AJ45" s="37">
        <f t="shared" si="7"/>
        <v>0</v>
      </c>
      <c r="AK45" s="37">
        <f t="shared" si="8"/>
        <v>0</v>
      </c>
      <c r="AL45" s="37">
        <f t="shared" si="9"/>
        <v>0</v>
      </c>
      <c r="AM45" s="37">
        <f t="shared" si="10"/>
        <v>0</v>
      </c>
      <c r="AN45" s="37">
        <f t="shared" si="11"/>
        <v>0</v>
      </c>
      <c r="AO45" s="37">
        <f t="shared" si="12"/>
        <v>0</v>
      </c>
    </row>
    <row r="46" spans="1:41" s="21" customFormat="1" ht="39">
      <c r="A46" s="17" t="s">
        <v>131</v>
      </c>
      <c r="B46" s="18" t="s">
        <v>82</v>
      </c>
      <c r="C46" s="19">
        <v>30732600</v>
      </c>
      <c r="D46" s="19">
        <v>56747237</v>
      </c>
      <c r="E46" s="19">
        <v>21965278</v>
      </c>
      <c r="F46" s="19">
        <v>40925244</v>
      </c>
      <c r="G46" s="19">
        <v>8767322</v>
      </c>
      <c r="H46" s="19">
        <v>15821993</v>
      </c>
      <c r="I46" s="19">
        <v>7535207</v>
      </c>
      <c r="J46" s="19">
        <v>9685938</v>
      </c>
      <c r="K46" s="19">
        <v>2727176</v>
      </c>
      <c r="L46" s="19">
        <v>37107878</v>
      </c>
      <c r="M46" s="19">
        <v>20470217</v>
      </c>
      <c r="N46" s="19">
        <v>9953421</v>
      </c>
      <c r="O46" s="19">
        <v>55873701</v>
      </c>
      <c r="P46" s="20">
        <v>98.5</v>
      </c>
      <c r="R46" s="35">
        <v>30732600</v>
      </c>
      <c r="S46" s="36">
        <v>56747237</v>
      </c>
      <c r="T46" s="36">
        <v>21965278</v>
      </c>
      <c r="U46" s="36">
        <v>40925244</v>
      </c>
      <c r="V46" s="36">
        <v>8767322</v>
      </c>
      <c r="W46" s="36">
        <v>15821993</v>
      </c>
      <c r="X46" s="35">
        <v>7535207</v>
      </c>
      <c r="Y46" s="36">
        <v>9685938</v>
      </c>
      <c r="Z46" s="36">
        <v>2727176</v>
      </c>
      <c r="AA46" s="36">
        <v>37107878</v>
      </c>
      <c r="AB46" s="36">
        <v>20470217</v>
      </c>
      <c r="AC46" s="36">
        <v>9953421</v>
      </c>
      <c r="AD46" s="37">
        <f t="shared" si="1"/>
        <v>0</v>
      </c>
      <c r="AE46" s="37">
        <f t="shared" si="2"/>
        <v>0</v>
      </c>
      <c r="AF46" s="37">
        <f t="shared" si="3"/>
        <v>0</v>
      </c>
      <c r="AG46" s="37">
        <f t="shared" si="4"/>
        <v>0</v>
      </c>
      <c r="AH46" s="37">
        <f t="shared" si="5"/>
        <v>0</v>
      </c>
      <c r="AI46" s="37">
        <f t="shared" si="6"/>
        <v>0</v>
      </c>
      <c r="AJ46" s="37">
        <f t="shared" si="7"/>
        <v>0</v>
      </c>
      <c r="AK46" s="37">
        <f t="shared" si="8"/>
        <v>0</v>
      </c>
      <c r="AL46" s="37">
        <f t="shared" si="9"/>
        <v>0</v>
      </c>
      <c r="AM46" s="37">
        <f t="shared" si="10"/>
        <v>0</v>
      </c>
      <c r="AN46" s="37">
        <f t="shared" si="11"/>
        <v>0</v>
      </c>
      <c r="AO46" s="37">
        <f t="shared" si="12"/>
        <v>0</v>
      </c>
    </row>
    <row r="47" spans="1:41" ht="26.25">
      <c r="A47" s="14" t="s">
        <v>83</v>
      </c>
      <c r="B47" s="7" t="s">
        <v>84</v>
      </c>
      <c r="C47" s="3" t="s">
        <v>34</v>
      </c>
      <c r="D47" s="3">
        <v>35</v>
      </c>
      <c r="E47" s="3" t="s">
        <v>34</v>
      </c>
      <c r="F47" s="3" t="s">
        <v>34</v>
      </c>
      <c r="G47" s="3" t="s">
        <v>34</v>
      </c>
      <c r="H47" s="3">
        <v>35</v>
      </c>
      <c r="I47" s="3" t="s">
        <v>34</v>
      </c>
      <c r="J47" s="3">
        <v>30</v>
      </c>
      <c r="K47" s="3" t="s">
        <v>34</v>
      </c>
      <c r="L47" s="3" t="s">
        <v>34</v>
      </c>
      <c r="M47" s="3" t="s">
        <v>34</v>
      </c>
      <c r="N47" s="3">
        <v>5</v>
      </c>
      <c r="O47" s="3" t="s">
        <v>34</v>
      </c>
      <c r="P47" s="2" t="s">
        <v>34</v>
      </c>
      <c r="R47" s="35" t="s">
        <v>34</v>
      </c>
      <c r="S47" s="36">
        <v>35</v>
      </c>
      <c r="T47" s="36" t="s">
        <v>34</v>
      </c>
      <c r="U47" s="36" t="s">
        <v>34</v>
      </c>
      <c r="V47" s="36" t="s">
        <v>34</v>
      </c>
      <c r="W47" s="36">
        <v>35</v>
      </c>
      <c r="X47" s="35" t="s">
        <v>34</v>
      </c>
      <c r="Y47" s="36">
        <v>30</v>
      </c>
      <c r="Z47" s="36" t="s">
        <v>34</v>
      </c>
      <c r="AA47" s="36" t="s">
        <v>34</v>
      </c>
      <c r="AB47" s="36" t="s">
        <v>34</v>
      </c>
      <c r="AC47" s="36">
        <v>5</v>
      </c>
      <c r="AD47" s="37" t="e">
        <f t="shared" si="1"/>
        <v>#VALUE!</v>
      </c>
      <c r="AE47" s="37">
        <f t="shared" si="2"/>
        <v>0</v>
      </c>
      <c r="AF47" s="37" t="e">
        <f t="shared" si="3"/>
        <v>#VALUE!</v>
      </c>
      <c r="AG47" s="37" t="e">
        <f t="shared" si="4"/>
        <v>#VALUE!</v>
      </c>
      <c r="AH47" s="37" t="e">
        <f t="shared" si="5"/>
        <v>#VALUE!</v>
      </c>
      <c r="AI47" s="37">
        <f t="shared" si="6"/>
        <v>0</v>
      </c>
      <c r="AJ47" s="37" t="e">
        <f t="shared" si="7"/>
        <v>#VALUE!</v>
      </c>
      <c r="AK47" s="37">
        <f t="shared" si="8"/>
        <v>0</v>
      </c>
      <c r="AL47" s="37" t="e">
        <f t="shared" si="9"/>
        <v>#VALUE!</v>
      </c>
      <c r="AM47" s="37" t="e">
        <f t="shared" si="10"/>
        <v>#VALUE!</v>
      </c>
      <c r="AN47" s="37" t="e">
        <f t="shared" si="11"/>
        <v>#VALUE!</v>
      </c>
      <c r="AO47" s="37">
        <f t="shared" si="12"/>
        <v>0</v>
      </c>
    </row>
    <row r="48" spans="1:41" ht="39">
      <c r="A48" s="14" t="s">
        <v>85</v>
      </c>
      <c r="B48" s="7" t="s">
        <v>86</v>
      </c>
      <c r="C48" s="3">
        <v>9450255</v>
      </c>
      <c r="D48" s="3">
        <v>11168993</v>
      </c>
      <c r="E48" s="3">
        <v>3127244</v>
      </c>
      <c r="F48" s="3">
        <v>4145867</v>
      </c>
      <c r="G48" s="3">
        <v>6323011</v>
      </c>
      <c r="H48" s="3">
        <v>7023126</v>
      </c>
      <c r="I48" s="3">
        <v>4916897</v>
      </c>
      <c r="J48" s="3">
        <v>7539894</v>
      </c>
      <c r="K48" s="3">
        <v>153758</v>
      </c>
      <c r="L48" s="3">
        <v>577717</v>
      </c>
      <c r="M48" s="3">
        <v>4379600</v>
      </c>
      <c r="N48" s="3">
        <v>3051382</v>
      </c>
      <c r="O48" s="3">
        <v>11168009</v>
      </c>
      <c r="P48" s="2">
        <v>100</v>
      </c>
      <c r="R48" s="35">
        <v>9450255</v>
      </c>
      <c r="S48" s="36">
        <v>11168993</v>
      </c>
      <c r="T48" s="36">
        <v>3127244</v>
      </c>
      <c r="U48" s="36">
        <v>4145867</v>
      </c>
      <c r="V48" s="36">
        <v>6323011</v>
      </c>
      <c r="W48" s="36">
        <v>7023126</v>
      </c>
      <c r="X48" s="35">
        <v>4916897</v>
      </c>
      <c r="Y48" s="36">
        <v>7539894</v>
      </c>
      <c r="Z48" s="36">
        <v>153758</v>
      </c>
      <c r="AA48" s="36">
        <v>577717</v>
      </c>
      <c r="AB48" s="36">
        <v>4379600</v>
      </c>
      <c r="AC48" s="36">
        <v>3051382</v>
      </c>
      <c r="AD48" s="37">
        <f t="shared" si="1"/>
        <v>0</v>
      </c>
      <c r="AE48" s="37">
        <f t="shared" si="2"/>
        <v>0</v>
      </c>
      <c r="AF48" s="37">
        <f t="shared" si="3"/>
        <v>0</v>
      </c>
      <c r="AG48" s="37">
        <f t="shared" si="4"/>
        <v>0</v>
      </c>
      <c r="AH48" s="37">
        <f t="shared" si="5"/>
        <v>0</v>
      </c>
      <c r="AI48" s="37">
        <f t="shared" si="6"/>
        <v>0</v>
      </c>
      <c r="AJ48" s="37">
        <f t="shared" si="7"/>
        <v>0</v>
      </c>
      <c r="AK48" s="37">
        <f t="shared" si="8"/>
        <v>0</v>
      </c>
      <c r="AL48" s="37">
        <f t="shared" si="9"/>
        <v>0</v>
      </c>
      <c r="AM48" s="37">
        <f t="shared" si="10"/>
        <v>0</v>
      </c>
      <c r="AN48" s="37">
        <f t="shared" si="11"/>
        <v>0</v>
      </c>
      <c r="AO48" s="37">
        <f t="shared" si="12"/>
        <v>0</v>
      </c>
    </row>
    <row r="49" spans="1:41" ht="65.25" thickBot="1">
      <c r="A49" s="14" t="s">
        <v>87</v>
      </c>
      <c r="B49" s="7" t="s">
        <v>88</v>
      </c>
      <c r="C49" s="3">
        <v>21276770</v>
      </c>
      <c r="D49" s="3">
        <v>45574314</v>
      </c>
      <c r="E49" s="3">
        <v>18833313</v>
      </c>
      <c r="F49" s="3">
        <v>36775894</v>
      </c>
      <c r="G49" s="3">
        <v>2443457</v>
      </c>
      <c r="H49" s="3">
        <v>8798420</v>
      </c>
      <c r="I49" s="3">
        <v>2619602</v>
      </c>
      <c r="J49" s="3">
        <v>2148587</v>
      </c>
      <c r="K49" s="3">
        <v>2572648</v>
      </c>
      <c r="L49" s="3">
        <v>36529273</v>
      </c>
      <c r="M49" s="3">
        <v>16084520</v>
      </c>
      <c r="N49" s="3">
        <v>6896454</v>
      </c>
      <c r="O49" s="3">
        <v>44701797</v>
      </c>
      <c r="P49" s="2">
        <v>98.1</v>
      </c>
      <c r="R49" s="35">
        <v>21276770</v>
      </c>
      <c r="S49" s="36">
        <v>45574314</v>
      </c>
      <c r="T49" s="36">
        <v>18833313</v>
      </c>
      <c r="U49" s="36">
        <v>36775894</v>
      </c>
      <c r="V49" s="36">
        <v>2443457</v>
      </c>
      <c r="W49" s="36">
        <v>8798420</v>
      </c>
      <c r="X49" s="35">
        <v>2619602</v>
      </c>
      <c r="Y49" s="36">
        <v>2148587</v>
      </c>
      <c r="Z49" s="36">
        <v>2572648</v>
      </c>
      <c r="AA49" s="36">
        <v>36529273</v>
      </c>
      <c r="AB49" s="36">
        <v>16084520</v>
      </c>
      <c r="AC49" s="36">
        <v>6896454</v>
      </c>
      <c r="AD49" s="37">
        <f t="shared" si="1"/>
        <v>0</v>
      </c>
      <c r="AE49" s="37">
        <f t="shared" si="2"/>
        <v>0</v>
      </c>
      <c r="AF49" s="37">
        <f t="shared" si="3"/>
        <v>0</v>
      </c>
      <c r="AG49" s="37">
        <f t="shared" si="4"/>
        <v>0</v>
      </c>
      <c r="AH49" s="37">
        <f t="shared" si="5"/>
        <v>0</v>
      </c>
      <c r="AI49" s="37">
        <f t="shared" si="6"/>
        <v>0</v>
      </c>
      <c r="AJ49" s="37">
        <f t="shared" si="7"/>
        <v>0</v>
      </c>
      <c r="AK49" s="37">
        <f t="shared" si="8"/>
        <v>0</v>
      </c>
      <c r="AL49" s="37">
        <f t="shared" si="9"/>
        <v>0</v>
      </c>
      <c r="AM49" s="37">
        <f t="shared" si="10"/>
        <v>0</v>
      </c>
      <c r="AN49" s="37">
        <f t="shared" si="11"/>
        <v>0</v>
      </c>
      <c r="AO49" s="37">
        <f t="shared" si="12"/>
        <v>0</v>
      </c>
    </row>
    <row r="50" spans="1:41" ht="39.75" thickBot="1">
      <c r="A50" s="14" t="s">
        <v>89</v>
      </c>
      <c r="B50" s="7" t="s">
        <v>90</v>
      </c>
      <c r="C50" s="3">
        <v>5575</v>
      </c>
      <c r="D50" s="3">
        <v>3895</v>
      </c>
      <c r="E50" s="3">
        <v>4721</v>
      </c>
      <c r="F50" s="3">
        <v>3483</v>
      </c>
      <c r="G50" s="3">
        <v>854</v>
      </c>
      <c r="H50" s="3">
        <v>412</v>
      </c>
      <c r="I50" s="3">
        <v>-1292</v>
      </c>
      <c r="J50" s="3">
        <v>-2573</v>
      </c>
      <c r="K50" s="3">
        <v>770</v>
      </c>
      <c r="L50" s="3">
        <v>888</v>
      </c>
      <c r="M50" s="3">
        <v>6097</v>
      </c>
      <c r="N50" s="3">
        <v>5580</v>
      </c>
      <c r="O50" s="3">
        <v>3895</v>
      </c>
      <c r="P50" s="2">
        <v>100</v>
      </c>
      <c r="R50" s="35">
        <v>5575</v>
      </c>
      <c r="S50" s="36">
        <v>3895</v>
      </c>
      <c r="T50" s="36">
        <v>4721</v>
      </c>
      <c r="U50" s="36">
        <v>3483</v>
      </c>
      <c r="V50" s="36">
        <v>854</v>
      </c>
      <c r="W50" s="36">
        <v>412</v>
      </c>
      <c r="X50" s="33">
        <v>-1292</v>
      </c>
      <c r="Y50" s="34">
        <v>-2573</v>
      </c>
      <c r="Z50" s="34">
        <v>770</v>
      </c>
      <c r="AA50" s="34">
        <v>888</v>
      </c>
      <c r="AB50" s="34">
        <v>6097</v>
      </c>
      <c r="AC50" s="34">
        <v>5580</v>
      </c>
      <c r="AD50" s="37">
        <f t="shared" si="1"/>
        <v>0</v>
      </c>
      <c r="AE50" s="37">
        <f t="shared" si="2"/>
        <v>0</v>
      </c>
      <c r="AF50" s="37">
        <f t="shared" si="3"/>
        <v>0</v>
      </c>
      <c r="AG50" s="37">
        <f t="shared" si="4"/>
        <v>0</v>
      </c>
      <c r="AH50" s="37">
        <f t="shared" si="5"/>
        <v>0</v>
      </c>
      <c r="AI50" s="37">
        <f t="shared" si="6"/>
        <v>0</v>
      </c>
      <c r="AJ50" s="37">
        <f t="shared" si="7"/>
        <v>0</v>
      </c>
      <c r="AK50" s="37">
        <f t="shared" si="8"/>
        <v>0</v>
      </c>
      <c r="AL50" s="37">
        <f t="shared" si="9"/>
        <v>0</v>
      </c>
      <c r="AM50" s="37">
        <f t="shared" si="10"/>
        <v>0</v>
      </c>
      <c r="AN50" s="37">
        <f t="shared" si="11"/>
        <v>0</v>
      </c>
      <c r="AO50" s="37">
        <f t="shared" si="12"/>
        <v>0</v>
      </c>
    </row>
    <row r="51" spans="1:41" s="21" customFormat="1" ht="64.5">
      <c r="A51" s="17" t="s">
        <v>132</v>
      </c>
      <c r="B51" s="18" t="s">
        <v>91</v>
      </c>
      <c r="C51" s="19">
        <v>3490898</v>
      </c>
      <c r="D51" s="19">
        <v>3924909</v>
      </c>
      <c r="E51" s="19">
        <v>3099678</v>
      </c>
      <c r="F51" s="19">
        <v>3521007</v>
      </c>
      <c r="G51" s="19">
        <v>391220</v>
      </c>
      <c r="H51" s="19">
        <v>403902</v>
      </c>
      <c r="I51" s="19">
        <v>1230009</v>
      </c>
      <c r="J51" s="19">
        <v>1505181</v>
      </c>
      <c r="K51" s="19">
        <v>297508</v>
      </c>
      <c r="L51" s="19">
        <v>364510</v>
      </c>
      <c r="M51" s="19">
        <v>1963381</v>
      </c>
      <c r="N51" s="19">
        <v>2055218</v>
      </c>
      <c r="O51" s="19">
        <v>2800826</v>
      </c>
      <c r="P51" s="20">
        <v>71.400000000000006</v>
      </c>
      <c r="R51" s="33">
        <v>3490898</v>
      </c>
      <c r="S51" s="34">
        <v>3924909</v>
      </c>
      <c r="T51" s="34">
        <v>3099678</v>
      </c>
      <c r="U51" s="34">
        <v>3521007</v>
      </c>
      <c r="V51" s="34">
        <v>391220</v>
      </c>
      <c r="W51" s="34">
        <v>403902</v>
      </c>
      <c r="X51" s="35">
        <v>1230009</v>
      </c>
      <c r="Y51" s="36">
        <v>1505181</v>
      </c>
      <c r="Z51" s="36">
        <v>297508</v>
      </c>
      <c r="AA51" s="36">
        <v>364510</v>
      </c>
      <c r="AB51" s="36">
        <v>1963381</v>
      </c>
      <c r="AC51" s="36">
        <v>2055218</v>
      </c>
      <c r="AD51" s="37">
        <f t="shared" si="1"/>
        <v>0</v>
      </c>
      <c r="AE51" s="37">
        <f t="shared" si="2"/>
        <v>0</v>
      </c>
      <c r="AF51" s="37">
        <f t="shared" si="3"/>
        <v>0</v>
      </c>
      <c r="AG51" s="37">
        <f t="shared" si="4"/>
        <v>0</v>
      </c>
      <c r="AH51" s="37">
        <f t="shared" si="5"/>
        <v>0</v>
      </c>
      <c r="AI51" s="37">
        <f t="shared" si="6"/>
        <v>0</v>
      </c>
      <c r="AJ51" s="37">
        <f t="shared" si="7"/>
        <v>0</v>
      </c>
      <c r="AK51" s="37">
        <f t="shared" si="8"/>
        <v>0</v>
      </c>
      <c r="AL51" s="37">
        <f t="shared" si="9"/>
        <v>0</v>
      </c>
      <c r="AM51" s="37">
        <f t="shared" si="10"/>
        <v>0</v>
      </c>
      <c r="AN51" s="37">
        <f t="shared" si="11"/>
        <v>0</v>
      </c>
      <c r="AO51" s="37">
        <f t="shared" si="12"/>
        <v>0</v>
      </c>
    </row>
    <row r="52" spans="1:41" ht="15.75">
      <c r="A52" s="14" t="s">
        <v>92</v>
      </c>
      <c r="B52" s="7" t="s">
        <v>93</v>
      </c>
      <c r="C52" s="3">
        <v>1776661</v>
      </c>
      <c r="D52" s="3">
        <v>2147475</v>
      </c>
      <c r="E52" s="3">
        <v>1619575</v>
      </c>
      <c r="F52" s="3">
        <v>1992993</v>
      </c>
      <c r="G52" s="3">
        <v>157086</v>
      </c>
      <c r="H52" s="3">
        <v>154482</v>
      </c>
      <c r="I52" s="3">
        <v>206127</v>
      </c>
      <c r="J52" s="3">
        <v>515367</v>
      </c>
      <c r="K52" s="3">
        <v>84199</v>
      </c>
      <c r="L52" s="3">
        <v>101708</v>
      </c>
      <c r="M52" s="3">
        <v>1486335</v>
      </c>
      <c r="N52" s="3">
        <v>1530400</v>
      </c>
      <c r="O52" s="3">
        <v>2041269</v>
      </c>
      <c r="P52" s="2">
        <v>95.1</v>
      </c>
      <c r="R52" s="35">
        <v>1776661</v>
      </c>
      <c r="S52" s="36">
        <v>2147475</v>
      </c>
      <c r="T52" s="36">
        <v>1619575</v>
      </c>
      <c r="U52" s="36">
        <v>1992993</v>
      </c>
      <c r="V52" s="36">
        <v>157086</v>
      </c>
      <c r="W52" s="36">
        <v>154482</v>
      </c>
      <c r="X52" s="35">
        <v>206127</v>
      </c>
      <c r="Y52" s="36">
        <v>515367</v>
      </c>
      <c r="Z52" s="36">
        <v>84199</v>
      </c>
      <c r="AA52" s="36">
        <v>101708</v>
      </c>
      <c r="AB52" s="36">
        <v>1486335</v>
      </c>
      <c r="AC52" s="36">
        <v>1530400</v>
      </c>
      <c r="AD52" s="37">
        <f t="shared" si="1"/>
        <v>0</v>
      </c>
      <c r="AE52" s="37">
        <f t="shared" si="2"/>
        <v>0</v>
      </c>
      <c r="AF52" s="37">
        <f t="shared" si="3"/>
        <v>0</v>
      </c>
      <c r="AG52" s="37">
        <f t="shared" si="4"/>
        <v>0</v>
      </c>
      <c r="AH52" s="37">
        <f t="shared" si="5"/>
        <v>0</v>
      </c>
      <c r="AI52" s="37">
        <f t="shared" si="6"/>
        <v>0</v>
      </c>
      <c r="AJ52" s="37">
        <f t="shared" si="7"/>
        <v>0</v>
      </c>
      <c r="AK52" s="37">
        <f t="shared" si="8"/>
        <v>0</v>
      </c>
      <c r="AL52" s="37">
        <f t="shared" si="9"/>
        <v>0</v>
      </c>
      <c r="AM52" s="37">
        <f t="shared" si="10"/>
        <v>0</v>
      </c>
      <c r="AN52" s="37">
        <f t="shared" si="11"/>
        <v>0</v>
      </c>
      <c r="AO52" s="37">
        <f t="shared" si="12"/>
        <v>0</v>
      </c>
    </row>
    <row r="53" spans="1:41" ht="51.75">
      <c r="A53" s="14" t="s">
        <v>94</v>
      </c>
      <c r="B53" s="7" t="s">
        <v>95</v>
      </c>
      <c r="C53" s="3">
        <v>646313</v>
      </c>
      <c r="D53" s="3">
        <v>759557</v>
      </c>
      <c r="E53" s="3">
        <v>630156</v>
      </c>
      <c r="F53" s="3">
        <v>741535</v>
      </c>
      <c r="G53" s="3">
        <v>16157</v>
      </c>
      <c r="H53" s="3">
        <v>18022</v>
      </c>
      <c r="I53" s="3">
        <v>533835</v>
      </c>
      <c r="J53" s="3">
        <v>484785</v>
      </c>
      <c r="K53" s="3">
        <v>102899</v>
      </c>
      <c r="L53" s="3">
        <v>262802</v>
      </c>
      <c r="M53" s="3">
        <v>9579</v>
      </c>
      <c r="N53" s="3">
        <v>11970</v>
      </c>
      <c r="O53" s="3">
        <v>759557</v>
      </c>
      <c r="P53" s="2">
        <v>100</v>
      </c>
      <c r="R53" s="35">
        <v>646313</v>
      </c>
      <c r="S53" s="36">
        <v>759557</v>
      </c>
      <c r="T53" s="36">
        <v>630156</v>
      </c>
      <c r="U53" s="36">
        <v>741535</v>
      </c>
      <c r="V53" s="36">
        <v>16157</v>
      </c>
      <c r="W53" s="36">
        <v>18022</v>
      </c>
      <c r="X53" s="35">
        <v>533835</v>
      </c>
      <c r="Y53" s="36">
        <v>484785</v>
      </c>
      <c r="Z53" s="36">
        <v>102899</v>
      </c>
      <c r="AA53" s="36">
        <v>262802</v>
      </c>
      <c r="AB53" s="36">
        <v>9579</v>
      </c>
      <c r="AC53" s="36">
        <v>11970</v>
      </c>
      <c r="AD53" s="37">
        <f t="shared" si="1"/>
        <v>0</v>
      </c>
      <c r="AE53" s="37">
        <f t="shared" si="2"/>
        <v>0</v>
      </c>
      <c r="AF53" s="37">
        <f t="shared" si="3"/>
        <v>0</v>
      </c>
      <c r="AG53" s="37">
        <f t="shared" si="4"/>
        <v>0</v>
      </c>
      <c r="AH53" s="37">
        <f t="shared" si="5"/>
        <v>0</v>
      </c>
      <c r="AI53" s="37">
        <f t="shared" si="6"/>
        <v>0</v>
      </c>
      <c r="AJ53" s="37">
        <f t="shared" si="7"/>
        <v>0</v>
      </c>
      <c r="AK53" s="37">
        <f t="shared" si="8"/>
        <v>0</v>
      </c>
      <c r="AL53" s="37">
        <f t="shared" si="9"/>
        <v>0</v>
      </c>
      <c r="AM53" s="37">
        <f t="shared" si="10"/>
        <v>0</v>
      </c>
      <c r="AN53" s="37">
        <f t="shared" si="11"/>
        <v>0</v>
      </c>
      <c r="AO53" s="37">
        <f t="shared" si="12"/>
        <v>0</v>
      </c>
    </row>
    <row r="54" spans="1:41" ht="26.25">
      <c r="A54" s="14" t="s">
        <v>96</v>
      </c>
      <c r="B54" s="7" t="s">
        <v>97</v>
      </c>
      <c r="C54" s="3">
        <v>1051681</v>
      </c>
      <c r="D54" s="3">
        <v>1002318</v>
      </c>
      <c r="E54" s="3">
        <v>834932</v>
      </c>
      <c r="F54" s="3">
        <v>772621</v>
      </c>
      <c r="G54" s="3">
        <v>216749</v>
      </c>
      <c r="H54" s="3">
        <v>229697</v>
      </c>
      <c r="I54" s="3">
        <v>483679</v>
      </c>
      <c r="J54" s="3">
        <v>498441</v>
      </c>
      <c r="K54" s="3">
        <v>110410</v>
      </c>
      <c r="L54" s="3" t="s">
        <v>34</v>
      </c>
      <c r="M54" s="3">
        <v>457592</v>
      </c>
      <c r="N54" s="3">
        <v>503877</v>
      </c>
      <c r="O54" s="3" t="s">
        <v>34</v>
      </c>
      <c r="P54" s="2" t="s">
        <v>34</v>
      </c>
      <c r="R54" s="35">
        <v>1051681</v>
      </c>
      <c r="S54" s="36">
        <v>1002318</v>
      </c>
      <c r="T54" s="36">
        <v>834932</v>
      </c>
      <c r="U54" s="36">
        <v>772621</v>
      </c>
      <c r="V54" s="36">
        <v>216749</v>
      </c>
      <c r="W54" s="36">
        <v>229697</v>
      </c>
      <c r="X54" s="35">
        <v>483679</v>
      </c>
      <c r="Y54" s="36">
        <v>498441</v>
      </c>
      <c r="Z54" s="36">
        <v>110410</v>
      </c>
      <c r="AA54" s="36" t="s">
        <v>34</v>
      </c>
      <c r="AB54" s="36">
        <v>457592</v>
      </c>
      <c r="AC54" s="36">
        <v>503877</v>
      </c>
      <c r="AD54" s="37">
        <f t="shared" si="1"/>
        <v>0</v>
      </c>
      <c r="AE54" s="37">
        <f t="shared" si="2"/>
        <v>0</v>
      </c>
      <c r="AF54" s="37">
        <f t="shared" si="3"/>
        <v>0</v>
      </c>
      <c r="AG54" s="37">
        <f t="shared" si="4"/>
        <v>0</v>
      </c>
      <c r="AH54" s="37">
        <f t="shared" si="5"/>
        <v>0</v>
      </c>
      <c r="AI54" s="37">
        <f t="shared" si="6"/>
        <v>0</v>
      </c>
      <c r="AJ54" s="37">
        <f t="shared" si="7"/>
        <v>0</v>
      </c>
      <c r="AK54" s="37">
        <f t="shared" si="8"/>
        <v>0</v>
      </c>
      <c r="AL54" s="37">
        <f t="shared" si="9"/>
        <v>0</v>
      </c>
      <c r="AM54" s="37" t="e">
        <f t="shared" si="10"/>
        <v>#VALUE!</v>
      </c>
      <c r="AN54" s="37">
        <f t="shared" si="11"/>
        <v>0</v>
      </c>
      <c r="AO54" s="37">
        <f t="shared" si="12"/>
        <v>0</v>
      </c>
    </row>
    <row r="55" spans="1:41" ht="102.75">
      <c r="A55" s="14" t="s">
        <v>98</v>
      </c>
      <c r="B55" s="7" t="s">
        <v>99</v>
      </c>
      <c r="C55" s="3">
        <v>16243</v>
      </c>
      <c r="D55" s="3">
        <v>15559</v>
      </c>
      <c r="E55" s="3">
        <v>15015</v>
      </c>
      <c r="F55" s="3">
        <v>13858</v>
      </c>
      <c r="G55" s="3">
        <v>1228</v>
      </c>
      <c r="H55" s="3">
        <v>1701</v>
      </c>
      <c r="I55" s="3">
        <v>6368</v>
      </c>
      <c r="J55" s="3">
        <v>6588</v>
      </c>
      <c r="K55" s="3" t="s">
        <v>34</v>
      </c>
      <c r="L55" s="3" t="s">
        <v>34</v>
      </c>
      <c r="M55" s="3">
        <v>9875</v>
      </c>
      <c r="N55" s="3">
        <v>8971</v>
      </c>
      <c r="O55" s="3" t="s">
        <v>34</v>
      </c>
      <c r="P55" s="2" t="s">
        <v>34</v>
      </c>
      <c r="R55" s="35">
        <v>16243</v>
      </c>
      <c r="S55" s="36">
        <v>15559</v>
      </c>
      <c r="T55" s="36">
        <v>15015</v>
      </c>
      <c r="U55" s="36">
        <v>13858</v>
      </c>
      <c r="V55" s="36">
        <v>1228</v>
      </c>
      <c r="W55" s="36">
        <v>1701</v>
      </c>
      <c r="X55" s="35">
        <v>6368</v>
      </c>
      <c r="Y55" s="36">
        <v>6588</v>
      </c>
      <c r="Z55" s="36" t="s">
        <v>34</v>
      </c>
      <c r="AA55" s="36" t="s">
        <v>34</v>
      </c>
      <c r="AB55" s="36">
        <v>9875</v>
      </c>
      <c r="AC55" s="36">
        <v>8971</v>
      </c>
      <c r="AD55" s="37">
        <f t="shared" si="1"/>
        <v>0</v>
      </c>
      <c r="AE55" s="37">
        <f t="shared" si="2"/>
        <v>0</v>
      </c>
      <c r="AF55" s="37">
        <f t="shared" si="3"/>
        <v>0</v>
      </c>
      <c r="AG55" s="37">
        <f t="shared" si="4"/>
        <v>0</v>
      </c>
      <c r="AH55" s="37">
        <f t="shared" si="5"/>
        <v>0</v>
      </c>
      <c r="AI55" s="37">
        <f t="shared" si="6"/>
        <v>0</v>
      </c>
      <c r="AJ55" s="37">
        <f t="shared" si="7"/>
        <v>0</v>
      </c>
      <c r="AK55" s="37">
        <f t="shared" si="8"/>
        <v>0</v>
      </c>
      <c r="AL55" s="37" t="e">
        <f t="shared" si="9"/>
        <v>#VALUE!</v>
      </c>
      <c r="AM55" s="37" t="e">
        <f t="shared" si="10"/>
        <v>#VALUE!</v>
      </c>
      <c r="AN55" s="37">
        <f t="shared" si="11"/>
        <v>0</v>
      </c>
      <c r="AO55" s="37">
        <f t="shared" si="12"/>
        <v>0</v>
      </c>
    </row>
    <row r="56" spans="1:41" s="21" customFormat="1" ht="77.25">
      <c r="A56" s="17" t="s">
        <v>133</v>
      </c>
      <c r="B56" s="18" t="s">
        <v>100</v>
      </c>
      <c r="C56" s="19">
        <v>125267</v>
      </c>
      <c r="D56" s="19">
        <v>167743</v>
      </c>
      <c r="E56" s="19">
        <v>107369</v>
      </c>
      <c r="F56" s="19">
        <v>147702</v>
      </c>
      <c r="G56" s="19">
        <v>17898</v>
      </c>
      <c r="H56" s="19">
        <v>20041</v>
      </c>
      <c r="I56" s="19">
        <v>7028</v>
      </c>
      <c r="J56" s="19">
        <v>25043</v>
      </c>
      <c r="K56" s="19">
        <v>102947</v>
      </c>
      <c r="L56" s="19" t="s">
        <v>34</v>
      </c>
      <c r="M56" s="19">
        <v>15292</v>
      </c>
      <c r="N56" s="19">
        <v>142700</v>
      </c>
      <c r="O56" s="19" t="s">
        <v>34</v>
      </c>
      <c r="P56" s="20" t="s">
        <v>34</v>
      </c>
      <c r="R56" s="35">
        <v>125267</v>
      </c>
      <c r="S56" s="36">
        <v>167743</v>
      </c>
      <c r="T56" s="36">
        <v>107369</v>
      </c>
      <c r="U56" s="36">
        <v>147702</v>
      </c>
      <c r="V56" s="36">
        <v>17898</v>
      </c>
      <c r="W56" s="36">
        <v>20041</v>
      </c>
      <c r="X56" s="35">
        <v>7028</v>
      </c>
      <c r="Y56" s="36">
        <v>25043</v>
      </c>
      <c r="Z56" s="36">
        <v>102947</v>
      </c>
      <c r="AA56" s="36" t="s">
        <v>34</v>
      </c>
      <c r="AB56" s="36">
        <v>15292</v>
      </c>
      <c r="AC56" s="36">
        <v>142700</v>
      </c>
      <c r="AD56" s="37">
        <f t="shared" si="1"/>
        <v>0</v>
      </c>
      <c r="AE56" s="37">
        <f t="shared" si="2"/>
        <v>0</v>
      </c>
      <c r="AF56" s="37">
        <f t="shared" si="3"/>
        <v>0</v>
      </c>
      <c r="AG56" s="37">
        <f t="shared" si="4"/>
        <v>0</v>
      </c>
      <c r="AH56" s="37">
        <f t="shared" si="5"/>
        <v>0</v>
      </c>
      <c r="AI56" s="37">
        <f t="shared" si="6"/>
        <v>0</v>
      </c>
      <c r="AJ56" s="37">
        <f t="shared" si="7"/>
        <v>0</v>
      </c>
      <c r="AK56" s="37">
        <f t="shared" si="8"/>
        <v>0</v>
      </c>
      <c r="AL56" s="37">
        <f t="shared" si="9"/>
        <v>0</v>
      </c>
      <c r="AM56" s="37" t="e">
        <f t="shared" si="10"/>
        <v>#VALUE!</v>
      </c>
      <c r="AN56" s="37">
        <f t="shared" si="11"/>
        <v>0</v>
      </c>
      <c r="AO56" s="37">
        <f t="shared" si="12"/>
        <v>0</v>
      </c>
    </row>
    <row r="57" spans="1:41" ht="64.5">
      <c r="A57" s="14" t="s">
        <v>101</v>
      </c>
      <c r="B57" s="7" t="s">
        <v>102</v>
      </c>
      <c r="C57" s="3">
        <v>125267</v>
      </c>
      <c r="D57" s="3">
        <v>167743</v>
      </c>
      <c r="E57" s="3">
        <v>107369</v>
      </c>
      <c r="F57" s="3">
        <v>147702</v>
      </c>
      <c r="G57" s="3">
        <v>17898</v>
      </c>
      <c r="H57" s="3">
        <v>20041</v>
      </c>
      <c r="I57" s="3">
        <v>7028</v>
      </c>
      <c r="J57" s="3">
        <v>25043</v>
      </c>
      <c r="K57" s="3">
        <v>102947</v>
      </c>
      <c r="L57" s="3" t="s">
        <v>34</v>
      </c>
      <c r="M57" s="3">
        <v>15292</v>
      </c>
      <c r="N57" s="3">
        <v>142700</v>
      </c>
      <c r="O57" s="3" t="s">
        <v>34</v>
      </c>
      <c r="P57" s="2" t="s">
        <v>34</v>
      </c>
      <c r="R57" s="35">
        <v>125267</v>
      </c>
      <c r="S57" s="36">
        <v>167743</v>
      </c>
      <c r="T57" s="36">
        <v>107369</v>
      </c>
      <c r="U57" s="36">
        <v>147702</v>
      </c>
      <c r="V57" s="36">
        <v>17898</v>
      </c>
      <c r="W57" s="36">
        <v>20041</v>
      </c>
      <c r="X57" s="35">
        <v>7028</v>
      </c>
      <c r="Y57" s="36">
        <v>25043</v>
      </c>
      <c r="Z57" s="36">
        <v>102947</v>
      </c>
      <c r="AA57" s="36" t="s">
        <v>34</v>
      </c>
      <c r="AB57" s="36">
        <v>15292</v>
      </c>
      <c r="AC57" s="36">
        <v>142700</v>
      </c>
      <c r="AD57" s="37">
        <f t="shared" si="1"/>
        <v>0</v>
      </c>
      <c r="AE57" s="37">
        <f t="shared" si="2"/>
        <v>0</v>
      </c>
      <c r="AF57" s="37">
        <f t="shared" si="3"/>
        <v>0</v>
      </c>
      <c r="AG57" s="37">
        <f t="shared" si="4"/>
        <v>0</v>
      </c>
      <c r="AH57" s="37">
        <f t="shared" si="5"/>
        <v>0</v>
      </c>
      <c r="AI57" s="37">
        <f t="shared" si="6"/>
        <v>0</v>
      </c>
      <c r="AJ57" s="37">
        <f t="shared" si="7"/>
        <v>0</v>
      </c>
      <c r="AK57" s="37">
        <f t="shared" si="8"/>
        <v>0</v>
      </c>
      <c r="AL57" s="37">
        <f t="shared" si="9"/>
        <v>0</v>
      </c>
      <c r="AM57" s="37" t="e">
        <f t="shared" si="10"/>
        <v>#VALUE!</v>
      </c>
      <c r="AN57" s="37">
        <f t="shared" si="11"/>
        <v>0</v>
      </c>
      <c r="AO57" s="37">
        <f t="shared" si="12"/>
        <v>0</v>
      </c>
    </row>
    <row r="58" spans="1:41" s="21" customFormat="1" ht="15.75">
      <c r="A58" s="17" t="s">
        <v>134</v>
      </c>
      <c r="B58" s="18" t="s">
        <v>103</v>
      </c>
      <c r="C58" s="19">
        <v>1157</v>
      </c>
      <c r="D58" s="19">
        <v>1017</v>
      </c>
      <c r="E58" s="19" t="s">
        <v>34</v>
      </c>
      <c r="F58" s="19" t="s">
        <v>34</v>
      </c>
      <c r="G58" s="19">
        <v>1157</v>
      </c>
      <c r="H58" s="19">
        <v>1017</v>
      </c>
      <c r="I58" s="19">
        <v>651</v>
      </c>
      <c r="J58" s="19">
        <v>934</v>
      </c>
      <c r="K58" s="19" t="s">
        <v>34</v>
      </c>
      <c r="L58" s="19" t="s">
        <v>34</v>
      </c>
      <c r="M58" s="19">
        <v>506</v>
      </c>
      <c r="N58" s="19">
        <v>83</v>
      </c>
      <c r="O58" s="19" t="s">
        <v>34</v>
      </c>
      <c r="P58" s="20" t="s">
        <v>34</v>
      </c>
      <c r="R58" s="35">
        <v>1157</v>
      </c>
      <c r="S58" s="36">
        <v>1017</v>
      </c>
      <c r="T58" s="36" t="s">
        <v>34</v>
      </c>
      <c r="U58" s="36" t="s">
        <v>34</v>
      </c>
      <c r="V58" s="36">
        <v>1157</v>
      </c>
      <c r="W58" s="36">
        <v>1017</v>
      </c>
      <c r="X58" s="35">
        <v>651</v>
      </c>
      <c r="Y58" s="36">
        <v>934</v>
      </c>
      <c r="Z58" s="36" t="s">
        <v>34</v>
      </c>
      <c r="AA58" s="36" t="s">
        <v>34</v>
      </c>
      <c r="AB58" s="36">
        <v>506</v>
      </c>
      <c r="AC58" s="36">
        <v>83</v>
      </c>
      <c r="AD58" s="37">
        <f t="shared" si="1"/>
        <v>0</v>
      </c>
      <c r="AE58" s="37">
        <f t="shared" si="2"/>
        <v>0</v>
      </c>
      <c r="AF58" s="37" t="e">
        <f t="shared" si="3"/>
        <v>#VALUE!</v>
      </c>
      <c r="AG58" s="37" t="e">
        <f t="shared" si="4"/>
        <v>#VALUE!</v>
      </c>
      <c r="AH58" s="37">
        <f t="shared" si="5"/>
        <v>0</v>
      </c>
      <c r="AI58" s="37">
        <f t="shared" si="6"/>
        <v>0</v>
      </c>
      <c r="AJ58" s="37">
        <f t="shared" si="7"/>
        <v>0</v>
      </c>
      <c r="AK58" s="37">
        <f t="shared" si="8"/>
        <v>0</v>
      </c>
      <c r="AL58" s="37" t="e">
        <f t="shared" si="9"/>
        <v>#VALUE!</v>
      </c>
      <c r="AM58" s="37" t="e">
        <f t="shared" si="10"/>
        <v>#VALUE!</v>
      </c>
      <c r="AN58" s="37">
        <f t="shared" si="11"/>
        <v>0</v>
      </c>
      <c r="AO58" s="37">
        <f t="shared" si="12"/>
        <v>0</v>
      </c>
    </row>
    <row r="59" spans="1:41" ht="16.5" thickBot="1">
      <c r="A59" s="14" t="s">
        <v>104</v>
      </c>
      <c r="B59" s="7" t="s">
        <v>105</v>
      </c>
      <c r="C59" s="3">
        <v>1157</v>
      </c>
      <c r="D59" s="3">
        <v>1017</v>
      </c>
      <c r="E59" s="3" t="s">
        <v>34</v>
      </c>
      <c r="F59" s="3" t="s">
        <v>34</v>
      </c>
      <c r="G59" s="3">
        <v>1157</v>
      </c>
      <c r="H59" s="3">
        <v>1017</v>
      </c>
      <c r="I59" s="3">
        <v>651</v>
      </c>
      <c r="J59" s="3">
        <v>934</v>
      </c>
      <c r="K59" s="3" t="s">
        <v>34</v>
      </c>
      <c r="L59" s="3" t="s">
        <v>34</v>
      </c>
      <c r="M59" s="3">
        <v>506</v>
      </c>
      <c r="N59" s="3">
        <v>83</v>
      </c>
      <c r="O59" s="3" t="s">
        <v>34</v>
      </c>
      <c r="P59" s="2" t="s">
        <v>34</v>
      </c>
      <c r="R59" s="35">
        <v>1157</v>
      </c>
      <c r="S59" s="36">
        <v>1017</v>
      </c>
      <c r="T59" s="36" t="s">
        <v>34</v>
      </c>
      <c r="U59" s="36" t="s">
        <v>34</v>
      </c>
      <c r="V59" s="36">
        <v>1157</v>
      </c>
      <c r="W59" s="36">
        <v>1017</v>
      </c>
      <c r="X59" s="35">
        <v>651</v>
      </c>
      <c r="Y59" s="36">
        <v>934</v>
      </c>
      <c r="Z59" s="36" t="s">
        <v>34</v>
      </c>
      <c r="AA59" s="36" t="s">
        <v>34</v>
      </c>
      <c r="AB59" s="36">
        <v>506</v>
      </c>
      <c r="AC59" s="36">
        <v>83</v>
      </c>
      <c r="AD59" s="37">
        <f t="shared" si="1"/>
        <v>0</v>
      </c>
      <c r="AE59" s="37">
        <f t="shared" si="2"/>
        <v>0</v>
      </c>
      <c r="AF59" s="37" t="e">
        <f t="shared" si="3"/>
        <v>#VALUE!</v>
      </c>
      <c r="AG59" s="37" t="e">
        <f t="shared" si="4"/>
        <v>#VALUE!</v>
      </c>
      <c r="AH59" s="37">
        <f t="shared" si="5"/>
        <v>0</v>
      </c>
      <c r="AI59" s="37">
        <f t="shared" si="6"/>
        <v>0</v>
      </c>
      <c r="AJ59" s="37">
        <f t="shared" si="7"/>
        <v>0</v>
      </c>
      <c r="AK59" s="37">
        <f t="shared" si="8"/>
        <v>0</v>
      </c>
      <c r="AL59" s="37" t="e">
        <f t="shared" si="9"/>
        <v>#VALUE!</v>
      </c>
      <c r="AM59" s="37" t="e">
        <f t="shared" si="10"/>
        <v>#VALUE!</v>
      </c>
      <c r="AN59" s="37">
        <f t="shared" si="11"/>
        <v>0</v>
      </c>
      <c r="AO59" s="37">
        <f t="shared" si="12"/>
        <v>0</v>
      </c>
    </row>
    <row r="60" spans="1:41" s="21" customFormat="1" ht="51.75">
      <c r="A60" s="17" t="s">
        <v>135</v>
      </c>
      <c r="B60" s="18" t="s">
        <v>106</v>
      </c>
      <c r="C60" s="19">
        <v>1142</v>
      </c>
      <c r="D60" s="19">
        <v>1290</v>
      </c>
      <c r="E60" s="19">
        <v>99</v>
      </c>
      <c r="F60" s="19">
        <v>99</v>
      </c>
      <c r="G60" s="19">
        <v>1043</v>
      </c>
      <c r="H60" s="19">
        <v>1191</v>
      </c>
      <c r="I60" s="19">
        <v>873</v>
      </c>
      <c r="J60" s="19">
        <v>1083</v>
      </c>
      <c r="K60" s="19" t="s">
        <v>34</v>
      </c>
      <c r="L60" s="19" t="s">
        <v>34</v>
      </c>
      <c r="M60" s="19">
        <v>269</v>
      </c>
      <c r="N60" s="19">
        <v>207</v>
      </c>
      <c r="O60" s="19" t="s">
        <v>34</v>
      </c>
      <c r="P60" s="20" t="s">
        <v>34</v>
      </c>
      <c r="R60" s="33">
        <v>1142</v>
      </c>
      <c r="S60" s="34">
        <v>1290</v>
      </c>
      <c r="T60" s="34">
        <v>99</v>
      </c>
      <c r="U60" s="34">
        <v>99</v>
      </c>
      <c r="V60" s="34">
        <v>1043</v>
      </c>
      <c r="W60" s="34">
        <v>1191</v>
      </c>
      <c r="X60" s="33">
        <v>873</v>
      </c>
      <c r="Y60" s="34">
        <v>1083</v>
      </c>
      <c r="Z60" s="34" t="s">
        <v>34</v>
      </c>
      <c r="AA60" s="34" t="s">
        <v>34</v>
      </c>
      <c r="AB60" s="34">
        <v>269</v>
      </c>
      <c r="AC60" s="34">
        <v>207</v>
      </c>
      <c r="AD60" s="37">
        <f t="shared" si="1"/>
        <v>0</v>
      </c>
      <c r="AE60" s="37">
        <f t="shared" si="2"/>
        <v>0</v>
      </c>
      <c r="AF60" s="37">
        <f t="shared" si="3"/>
        <v>0</v>
      </c>
      <c r="AG60" s="37">
        <f t="shared" si="4"/>
        <v>0</v>
      </c>
      <c r="AH60" s="37">
        <f t="shared" si="5"/>
        <v>0</v>
      </c>
      <c r="AI60" s="37">
        <f t="shared" si="6"/>
        <v>0</v>
      </c>
      <c r="AJ60" s="37">
        <f t="shared" si="7"/>
        <v>0</v>
      </c>
      <c r="AK60" s="37">
        <f t="shared" si="8"/>
        <v>0</v>
      </c>
      <c r="AL60" s="37" t="e">
        <f t="shared" si="9"/>
        <v>#VALUE!</v>
      </c>
      <c r="AM60" s="37" t="e">
        <f t="shared" si="10"/>
        <v>#VALUE!</v>
      </c>
      <c r="AN60" s="37">
        <f t="shared" si="11"/>
        <v>0</v>
      </c>
      <c r="AO60" s="37">
        <f t="shared" si="12"/>
        <v>0</v>
      </c>
    </row>
    <row r="61" spans="1:41" ht="39">
      <c r="A61" s="14" t="s">
        <v>107</v>
      </c>
      <c r="B61" s="7" t="s">
        <v>108</v>
      </c>
      <c r="C61" s="3">
        <v>1142</v>
      </c>
      <c r="D61" s="3">
        <v>1290</v>
      </c>
      <c r="E61" s="3">
        <v>99</v>
      </c>
      <c r="F61" s="3">
        <v>99</v>
      </c>
      <c r="G61" s="3">
        <v>1043</v>
      </c>
      <c r="H61" s="3">
        <v>1191</v>
      </c>
      <c r="I61" s="3">
        <v>873</v>
      </c>
      <c r="J61" s="3">
        <v>1083</v>
      </c>
      <c r="K61" s="3" t="s">
        <v>34</v>
      </c>
      <c r="L61" s="3" t="s">
        <v>34</v>
      </c>
      <c r="M61" s="3">
        <v>269</v>
      </c>
      <c r="N61" s="3">
        <v>207</v>
      </c>
      <c r="O61" s="3" t="s">
        <v>34</v>
      </c>
      <c r="P61" s="2" t="s">
        <v>34</v>
      </c>
      <c r="R61" s="35">
        <v>1142</v>
      </c>
      <c r="S61" s="36">
        <v>1290</v>
      </c>
      <c r="T61" s="36">
        <v>99</v>
      </c>
      <c r="U61" s="36">
        <v>99</v>
      </c>
      <c r="V61" s="36">
        <v>1043</v>
      </c>
      <c r="W61" s="36">
        <v>1191</v>
      </c>
      <c r="X61" s="35">
        <v>873</v>
      </c>
      <c r="Y61" s="36">
        <v>1083</v>
      </c>
      <c r="Z61" s="36" t="s">
        <v>34</v>
      </c>
      <c r="AA61" s="36" t="s">
        <v>34</v>
      </c>
      <c r="AB61" s="36">
        <v>269</v>
      </c>
      <c r="AC61" s="36">
        <v>207</v>
      </c>
      <c r="AD61" s="37">
        <f t="shared" si="1"/>
        <v>0</v>
      </c>
      <c r="AE61" s="37">
        <f t="shared" si="2"/>
        <v>0</v>
      </c>
      <c r="AF61" s="37">
        <f t="shared" si="3"/>
        <v>0</v>
      </c>
      <c r="AG61" s="37">
        <f t="shared" si="4"/>
        <v>0</v>
      </c>
      <c r="AH61" s="37">
        <f t="shared" si="5"/>
        <v>0</v>
      </c>
      <c r="AI61" s="37">
        <f t="shared" si="6"/>
        <v>0</v>
      </c>
      <c r="AJ61" s="37">
        <f t="shared" si="7"/>
        <v>0</v>
      </c>
      <c r="AK61" s="37">
        <f t="shared" si="8"/>
        <v>0</v>
      </c>
      <c r="AL61" s="37" t="e">
        <f t="shared" si="9"/>
        <v>#VALUE!</v>
      </c>
      <c r="AM61" s="37" t="e">
        <f t="shared" si="10"/>
        <v>#VALUE!</v>
      </c>
      <c r="AN61" s="37">
        <f t="shared" si="11"/>
        <v>0</v>
      </c>
      <c r="AO61" s="37">
        <f t="shared" si="12"/>
        <v>0</v>
      </c>
    </row>
    <row r="62" spans="1:41" s="21" customFormat="1" ht="51.75">
      <c r="A62" s="17" t="s">
        <v>136</v>
      </c>
      <c r="B62" s="18" t="s">
        <v>109</v>
      </c>
      <c r="C62" s="19">
        <v>236</v>
      </c>
      <c r="D62" s="19">
        <v>205</v>
      </c>
      <c r="E62" s="19" t="s">
        <v>34</v>
      </c>
      <c r="F62" s="19" t="s">
        <v>34</v>
      </c>
      <c r="G62" s="19">
        <v>236</v>
      </c>
      <c r="H62" s="19">
        <v>205</v>
      </c>
      <c r="I62" s="19">
        <v>218</v>
      </c>
      <c r="J62" s="19">
        <v>192</v>
      </c>
      <c r="K62" s="19" t="s">
        <v>34</v>
      </c>
      <c r="L62" s="19" t="s">
        <v>34</v>
      </c>
      <c r="M62" s="19">
        <v>18</v>
      </c>
      <c r="N62" s="19">
        <v>13</v>
      </c>
      <c r="O62" s="19" t="s">
        <v>34</v>
      </c>
      <c r="P62" s="20" t="s">
        <v>34</v>
      </c>
      <c r="R62" s="35">
        <v>236</v>
      </c>
      <c r="S62" s="36">
        <v>205</v>
      </c>
      <c r="T62" s="36" t="s">
        <v>34</v>
      </c>
      <c r="U62" s="36" t="s">
        <v>34</v>
      </c>
      <c r="V62" s="36">
        <v>236</v>
      </c>
      <c r="W62" s="36">
        <v>205</v>
      </c>
      <c r="X62" s="35">
        <v>218</v>
      </c>
      <c r="Y62" s="36">
        <v>192</v>
      </c>
      <c r="Z62" s="36" t="s">
        <v>34</v>
      </c>
      <c r="AA62" s="36" t="s">
        <v>34</v>
      </c>
      <c r="AB62" s="36">
        <v>18</v>
      </c>
      <c r="AC62" s="36">
        <v>13</v>
      </c>
      <c r="AD62" s="37">
        <f t="shared" si="1"/>
        <v>0</v>
      </c>
      <c r="AE62" s="37">
        <f t="shared" si="2"/>
        <v>0</v>
      </c>
      <c r="AF62" s="37" t="e">
        <f t="shared" si="3"/>
        <v>#VALUE!</v>
      </c>
      <c r="AG62" s="37" t="e">
        <f t="shared" si="4"/>
        <v>#VALUE!</v>
      </c>
      <c r="AH62" s="37">
        <f t="shared" si="5"/>
        <v>0</v>
      </c>
      <c r="AI62" s="37">
        <f t="shared" si="6"/>
        <v>0</v>
      </c>
      <c r="AJ62" s="37">
        <f t="shared" si="7"/>
        <v>0</v>
      </c>
      <c r="AK62" s="37">
        <f t="shared" si="8"/>
        <v>0</v>
      </c>
      <c r="AL62" s="37" t="e">
        <f t="shared" si="9"/>
        <v>#VALUE!</v>
      </c>
      <c r="AM62" s="37" t="e">
        <f t="shared" si="10"/>
        <v>#VALUE!</v>
      </c>
      <c r="AN62" s="37">
        <f t="shared" si="11"/>
        <v>0</v>
      </c>
      <c r="AO62" s="37">
        <f t="shared" si="12"/>
        <v>0</v>
      </c>
    </row>
    <row r="63" spans="1:41" ht="26.25">
      <c r="A63" s="14" t="s">
        <v>110</v>
      </c>
      <c r="B63" s="7" t="s">
        <v>111</v>
      </c>
      <c r="C63" s="3">
        <v>236</v>
      </c>
      <c r="D63" s="3">
        <v>205</v>
      </c>
      <c r="E63" s="3" t="s">
        <v>34</v>
      </c>
      <c r="F63" s="3" t="s">
        <v>34</v>
      </c>
      <c r="G63" s="3">
        <v>236</v>
      </c>
      <c r="H63" s="3">
        <v>205</v>
      </c>
      <c r="I63" s="3">
        <v>218</v>
      </c>
      <c r="J63" s="3">
        <v>192</v>
      </c>
      <c r="K63" s="3" t="s">
        <v>34</v>
      </c>
      <c r="L63" s="3" t="s">
        <v>34</v>
      </c>
      <c r="M63" s="3">
        <v>18</v>
      </c>
      <c r="N63" s="3">
        <v>13</v>
      </c>
      <c r="O63" s="3" t="s">
        <v>34</v>
      </c>
      <c r="P63" s="2" t="s">
        <v>34</v>
      </c>
      <c r="R63" s="35">
        <v>236</v>
      </c>
      <c r="S63" s="36">
        <v>205</v>
      </c>
      <c r="T63" s="36" t="s">
        <v>34</v>
      </c>
      <c r="U63" s="36" t="s">
        <v>34</v>
      </c>
      <c r="V63" s="36">
        <v>236</v>
      </c>
      <c r="W63" s="36">
        <v>205</v>
      </c>
      <c r="X63" s="35">
        <v>218</v>
      </c>
      <c r="Y63" s="36">
        <v>192</v>
      </c>
      <c r="Z63" s="36" t="s">
        <v>34</v>
      </c>
      <c r="AA63" s="36" t="s">
        <v>34</v>
      </c>
      <c r="AB63" s="36">
        <v>18</v>
      </c>
      <c r="AC63" s="36">
        <v>13</v>
      </c>
      <c r="AD63" s="37">
        <f t="shared" si="1"/>
        <v>0</v>
      </c>
      <c r="AE63" s="37">
        <f t="shared" si="2"/>
        <v>0</v>
      </c>
      <c r="AF63" s="37" t="e">
        <f t="shared" si="3"/>
        <v>#VALUE!</v>
      </c>
      <c r="AG63" s="37" t="e">
        <f t="shared" si="4"/>
        <v>#VALUE!</v>
      </c>
      <c r="AH63" s="37">
        <f t="shared" si="5"/>
        <v>0</v>
      </c>
      <c r="AI63" s="37">
        <f t="shared" si="6"/>
        <v>0</v>
      </c>
      <c r="AJ63" s="37">
        <f t="shared" si="7"/>
        <v>0</v>
      </c>
      <c r="AK63" s="37">
        <f t="shared" si="8"/>
        <v>0</v>
      </c>
      <c r="AL63" s="37" t="e">
        <f t="shared" si="9"/>
        <v>#VALUE!</v>
      </c>
      <c r="AM63" s="37" t="e">
        <f t="shared" si="10"/>
        <v>#VALUE!</v>
      </c>
      <c r="AN63" s="37">
        <f t="shared" si="11"/>
        <v>0</v>
      </c>
      <c r="AO63" s="37">
        <f t="shared" si="12"/>
        <v>0</v>
      </c>
    </row>
    <row r="64" spans="1:41" s="21" customFormat="1" ht="26.25">
      <c r="A64" s="17" t="s">
        <v>137</v>
      </c>
      <c r="B64" s="18" t="s">
        <v>112</v>
      </c>
      <c r="C64" s="19">
        <v>656629</v>
      </c>
      <c r="D64" s="19">
        <v>705135</v>
      </c>
      <c r="E64" s="19">
        <v>25557</v>
      </c>
      <c r="F64" s="19">
        <v>21102</v>
      </c>
      <c r="G64" s="19">
        <v>631072</v>
      </c>
      <c r="H64" s="19">
        <v>684033</v>
      </c>
      <c r="I64" s="19">
        <v>553594</v>
      </c>
      <c r="J64" s="19">
        <v>632892</v>
      </c>
      <c r="K64" s="19">
        <v>265</v>
      </c>
      <c r="L64" s="19">
        <v>176</v>
      </c>
      <c r="M64" s="19">
        <v>102770</v>
      </c>
      <c r="N64" s="19">
        <v>72067</v>
      </c>
      <c r="O64" s="19">
        <v>14792</v>
      </c>
      <c r="P64" s="20">
        <v>2.1</v>
      </c>
      <c r="R64" s="35">
        <v>656629</v>
      </c>
      <c r="S64" s="36">
        <v>705135</v>
      </c>
      <c r="T64" s="36">
        <v>25557</v>
      </c>
      <c r="U64" s="36">
        <v>21102</v>
      </c>
      <c r="V64" s="36">
        <v>631072</v>
      </c>
      <c r="W64" s="36">
        <v>684033</v>
      </c>
      <c r="X64" s="35">
        <v>553594</v>
      </c>
      <c r="Y64" s="36">
        <v>632892</v>
      </c>
      <c r="Z64" s="36">
        <v>265</v>
      </c>
      <c r="AA64" s="36">
        <v>176</v>
      </c>
      <c r="AB64" s="36">
        <v>102770</v>
      </c>
      <c r="AC64" s="36">
        <v>72067</v>
      </c>
      <c r="AD64" s="37">
        <f t="shared" si="1"/>
        <v>0</v>
      </c>
      <c r="AE64" s="37">
        <f t="shared" si="2"/>
        <v>0</v>
      </c>
      <c r="AF64" s="37">
        <f t="shared" si="3"/>
        <v>0</v>
      </c>
      <c r="AG64" s="37">
        <f t="shared" si="4"/>
        <v>0</v>
      </c>
      <c r="AH64" s="37">
        <f t="shared" si="5"/>
        <v>0</v>
      </c>
      <c r="AI64" s="37">
        <f t="shared" si="6"/>
        <v>0</v>
      </c>
      <c r="AJ64" s="37">
        <f t="shared" si="7"/>
        <v>0</v>
      </c>
      <c r="AK64" s="37">
        <f t="shared" si="8"/>
        <v>0</v>
      </c>
      <c r="AL64" s="37">
        <f t="shared" si="9"/>
        <v>0</v>
      </c>
      <c r="AM64" s="37">
        <f t="shared" si="10"/>
        <v>0</v>
      </c>
      <c r="AN64" s="37">
        <f t="shared" si="11"/>
        <v>0</v>
      </c>
      <c r="AO64" s="37">
        <f t="shared" si="12"/>
        <v>0</v>
      </c>
    </row>
    <row r="65" spans="1:41" ht="39">
      <c r="A65" s="14" t="s">
        <v>113</v>
      </c>
      <c r="B65" s="7" t="s">
        <v>114</v>
      </c>
      <c r="C65" s="3">
        <v>639388</v>
      </c>
      <c r="D65" s="3">
        <v>690122</v>
      </c>
      <c r="E65" s="3">
        <v>22705</v>
      </c>
      <c r="F65" s="3">
        <v>18518</v>
      </c>
      <c r="G65" s="3">
        <v>616683</v>
      </c>
      <c r="H65" s="3">
        <v>671604</v>
      </c>
      <c r="I65" s="3">
        <v>557471</v>
      </c>
      <c r="J65" s="3">
        <v>642050</v>
      </c>
      <c r="K65" s="3">
        <v>265</v>
      </c>
      <c r="L65" s="3">
        <v>176</v>
      </c>
      <c r="M65" s="3">
        <v>81652</v>
      </c>
      <c r="N65" s="3">
        <v>47896</v>
      </c>
      <c r="O65" s="3" t="s">
        <v>34</v>
      </c>
      <c r="P65" s="2" t="s">
        <v>34</v>
      </c>
      <c r="R65" s="35">
        <v>639388</v>
      </c>
      <c r="S65" s="36">
        <v>690122</v>
      </c>
      <c r="T65" s="36">
        <v>22705</v>
      </c>
      <c r="U65" s="36">
        <v>18518</v>
      </c>
      <c r="V65" s="36">
        <v>616683</v>
      </c>
      <c r="W65" s="36">
        <v>671604</v>
      </c>
      <c r="X65" s="35">
        <v>557471</v>
      </c>
      <c r="Y65" s="36">
        <v>642050</v>
      </c>
      <c r="Z65" s="36">
        <v>265</v>
      </c>
      <c r="AA65" s="36">
        <v>176</v>
      </c>
      <c r="AB65" s="36">
        <v>81652</v>
      </c>
      <c r="AC65" s="36">
        <v>47896</v>
      </c>
      <c r="AD65" s="37">
        <f t="shared" si="1"/>
        <v>0</v>
      </c>
      <c r="AE65" s="37">
        <f t="shared" si="2"/>
        <v>0</v>
      </c>
      <c r="AF65" s="37">
        <f t="shared" si="3"/>
        <v>0</v>
      </c>
      <c r="AG65" s="37">
        <f t="shared" si="4"/>
        <v>0</v>
      </c>
      <c r="AH65" s="37">
        <f t="shared" si="5"/>
        <v>0</v>
      </c>
      <c r="AI65" s="37">
        <f t="shared" si="6"/>
        <v>0</v>
      </c>
      <c r="AJ65" s="37">
        <f t="shared" si="7"/>
        <v>0</v>
      </c>
      <c r="AK65" s="37">
        <f t="shared" si="8"/>
        <v>0</v>
      </c>
      <c r="AL65" s="37">
        <f t="shared" si="9"/>
        <v>0</v>
      </c>
      <c r="AM65" s="37">
        <f t="shared" si="10"/>
        <v>0</v>
      </c>
      <c r="AN65" s="37">
        <f t="shared" si="11"/>
        <v>0</v>
      </c>
      <c r="AO65" s="37">
        <f t="shared" si="12"/>
        <v>0</v>
      </c>
    </row>
    <row r="66" spans="1:41" ht="39">
      <c r="A66" s="14" t="s">
        <v>115</v>
      </c>
      <c r="B66" s="7" t="s">
        <v>116</v>
      </c>
      <c r="C66" s="3">
        <v>17241</v>
      </c>
      <c r="D66" s="3">
        <v>15013</v>
      </c>
      <c r="E66" s="3">
        <v>2852</v>
      </c>
      <c r="F66" s="3">
        <v>2584</v>
      </c>
      <c r="G66" s="3">
        <v>14389</v>
      </c>
      <c r="H66" s="3">
        <v>12429</v>
      </c>
      <c r="I66" s="3">
        <v>-3877</v>
      </c>
      <c r="J66" s="3">
        <v>-9158</v>
      </c>
      <c r="K66" s="3" t="s">
        <v>34</v>
      </c>
      <c r="L66" s="3" t="s">
        <v>34</v>
      </c>
      <c r="M66" s="3">
        <v>21118</v>
      </c>
      <c r="N66" s="3">
        <v>24171</v>
      </c>
      <c r="O66" s="3">
        <v>14792</v>
      </c>
      <c r="P66" s="2">
        <v>98.5</v>
      </c>
      <c r="R66" s="35">
        <v>17241</v>
      </c>
      <c r="S66" s="36">
        <v>15013</v>
      </c>
      <c r="T66" s="36">
        <v>2852</v>
      </c>
      <c r="U66" s="36">
        <v>2584</v>
      </c>
      <c r="V66" s="36">
        <v>14389</v>
      </c>
      <c r="W66" s="36">
        <v>12429</v>
      </c>
      <c r="X66" s="35">
        <v>-3877</v>
      </c>
      <c r="Y66" s="36">
        <v>-9158</v>
      </c>
      <c r="Z66" s="36" t="s">
        <v>34</v>
      </c>
      <c r="AA66" s="36" t="s">
        <v>34</v>
      </c>
      <c r="AB66" s="36">
        <v>21118</v>
      </c>
      <c r="AC66" s="36">
        <v>24171</v>
      </c>
      <c r="AD66" s="37">
        <f t="shared" si="1"/>
        <v>0</v>
      </c>
      <c r="AE66" s="37">
        <f t="shared" si="2"/>
        <v>0</v>
      </c>
      <c r="AF66" s="37">
        <f t="shared" si="3"/>
        <v>0</v>
      </c>
      <c r="AG66" s="37">
        <f t="shared" si="4"/>
        <v>0</v>
      </c>
      <c r="AH66" s="37">
        <f t="shared" si="5"/>
        <v>0</v>
      </c>
      <c r="AI66" s="37">
        <f t="shared" si="6"/>
        <v>0</v>
      </c>
      <c r="AJ66" s="37">
        <f t="shared" si="7"/>
        <v>0</v>
      </c>
      <c r="AK66" s="37">
        <f t="shared" si="8"/>
        <v>0</v>
      </c>
      <c r="AL66" s="37" t="e">
        <f t="shared" si="9"/>
        <v>#VALUE!</v>
      </c>
      <c r="AM66" s="37" t="e">
        <f t="shared" si="10"/>
        <v>#VALUE!</v>
      </c>
      <c r="AN66" s="37">
        <f t="shared" si="11"/>
        <v>0</v>
      </c>
      <c r="AO66" s="37">
        <f t="shared" si="12"/>
        <v>0</v>
      </c>
    </row>
  </sheetData>
  <mergeCells count="16">
    <mergeCell ref="A5:A6"/>
    <mergeCell ref="C5:D5"/>
    <mergeCell ref="E5:F5"/>
    <mergeCell ref="G5:H5"/>
    <mergeCell ref="O4:P4"/>
    <mergeCell ref="M5:N5"/>
    <mergeCell ref="O5:P5"/>
    <mergeCell ref="B5:B6"/>
    <mergeCell ref="I5:J5"/>
    <mergeCell ref="K5:L5"/>
    <mergeCell ref="C1:F1"/>
    <mergeCell ref="C2:F2"/>
    <mergeCell ref="C3:F3"/>
    <mergeCell ref="I1:M1"/>
    <mergeCell ref="I2:M2"/>
    <mergeCell ref="I3:M3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</vt:lpstr>
      <vt:lpstr>'T1'!ExternalData_1</vt:lpstr>
      <vt:lpstr>'T1'!Заголовки_для_печати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2018-02-26T11:13:10Z</cp:lastPrinted>
  <dcterms:created xsi:type="dcterms:W3CDTF">2006-02-28T07:22:55Z</dcterms:created>
  <dcterms:modified xsi:type="dcterms:W3CDTF">2025-08-28T23:30:54Z</dcterms:modified>
</cp:coreProperties>
</file>